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70J9270\Desktop\IT cần\"/>
    </mc:Choice>
  </mc:AlternateContent>
  <xr:revisionPtr revIDLastSave="0" documentId="13_ncr:10001_{F9516689-3E40-4318-A3A9-24987D6B18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ssue" sheetId="13" r:id="rId1"/>
    <sheet name="Sheet1" sheetId="6" r:id="rId2"/>
  </sheets>
  <externalReferences>
    <externalReference r:id="rId3"/>
    <externalReference r:id="rId4"/>
  </externalReferences>
  <definedNames>
    <definedName name="_xlnm._FilterDatabase" localSheetId="0" hidden="1">Issue!$A$4:$BA$4</definedName>
    <definedName name="_xlnm.Print_Area" localSheetId="0">Issue!$A$1:$X$295</definedName>
    <definedName name="_xlnm.Print_Titles" localSheetId="0">Issue!$1:$4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5" i="13" l="1"/>
  <c r="AA5" i="13" s="1"/>
  <c r="Y255" i="13"/>
  <c r="AA255" i="13" s="1"/>
  <c r="Z255" i="13"/>
  <c r="AB255" i="13"/>
  <c r="AD255" i="13"/>
  <c r="AH255" i="13"/>
  <c r="AI255" i="13"/>
  <c r="AJ255" i="13"/>
  <c r="AK255" i="13"/>
  <c r="AL255" i="13"/>
  <c r="AO255" i="13"/>
  <c r="AP255" i="13"/>
  <c r="AR255" i="13"/>
  <c r="Y256" i="13"/>
  <c r="AA256" i="13" s="1"/>
  <c r="Z256" i="13"/>
  <c r="AB256" i="13"/>
  <c r="AD256" i="13"/>
  <c r="AH256" i="13"/>
  <c r="AI256" i="13"/>
  <c r="AJ256" i="13"/>
  <c r="AK256" i="13"/>
  <c r="AL256" i="13"/>
  <c r="AO256" i="13"/>
  <c r="AP256" i="13"/>
  <c r="AR256" i="13"/>
  <c r="Y257" i="13"/>
  <c r="AA257" i="13" s="1"/>
  <c r="Z257" i="13"/>
  <c r="AB257" i="13"/>
  <c r="AD257" i="13"/>
  <c r="AH257" i="13"/>
  <c r="AI257" i="13"/>
  <c r="AJ257" i="13"/>
  <c r="AK257" i="13"/>
  <c r="AL257" i="13"/>
  <c r="AO257" i="13"/>
  <c r="AP257" i="13"/>
  <c r="AR257" i="13"/>
  <c r="Y258" i="13"/>
  <c r="AA258" i="13" s="1"/>
  <c r="Z258" i="13"/>
  <c r="AB258" i="13"/>
  <c r="AD258" i="13"/>
  <c r="AH258" i="13"/>
  <c r="AI258" i="13"/>
  <c r="AJ258" i="13"/>
  <c r="AK258" i="13"/>
  <c r="AL258" i="13"/>
  <c r="AO258" i="13"/>
  <c r="AP258" i="13"/>
  <c r="AR258" i="13"/>
  <c r="Y259" i="13"/>
  <c r="AA259" i="13" s="1"/>
  <c r="Z259" i="13"/>
  <c r="AB259" i="13"/>
  <c r="AD259" i="13"/>
  <c r="AH259" i="13"/>
  <c r="AI259" i="13"/>
  <c r="AJ259" i="13"/>
  <c r="AK259" i="13"/>
  <c r="AL259" i="13"/>
  <c r="AO259" i="13"/>
  <c r="AP259" i="13"/>
  <c r="AR259" i="13"/>
  <c r="Y260" i="13"/>
  <c r="AA260" i="13" s="1"/>
  <c r="Z260" i="13"/>
  <c r="AB260" i="13"/>
  <c r="AD260" i="13"/>
  <c r="AH260" i="13"/>
  <c r="AI260" i="13"/>
  <c r="AJ260" i="13"/>
  <c r="AK260" i="13"/>
  <c r="AL260" i="13"/>
  <c r="AO260" i="13"/>
  <c r="AP260" i="13"/>
  <c r="AR260" i="13"/>
  <c r="Y261" i="13"/>
  <c r="AA261" i="13" s="1"/>
  <c r="Z261" i="13"/>
  <c r="AB261" i="13"/>
  <c r="AD261" i="13"/>
  <c r="AH261" i="13"/>
  <c r="AI261" i="13"/>
  <c r="AJ261" i="13"/>
  <c r="AK261" i="13"/>
  <c r="AL261" i="13"/>
  <c r="AO261" i="13"/>
  <c r="AP261" i="13"/>
  <c r="AR261" i="13"/>
  <c r="Y262" i="13"/>
  <c r="AA262" i="13" s="1"/>
  <c r="Z262" i="13"/>
  <c r="AB262" i="13"/>
  <c r="AD262" i="13"/>
  <c r="AH262" i="13"/>
  <c r="AI262" i="13"/>
  <c r="AJ262" i="13"/>
  <c r="AK262" i="13"/>
  <c r="AL262" i="13"/>
  <c r="AO262" i="13"/>
  <c r="AP262" i="13"/>
  <c r="AR262" i="13"/>
  <c r="Y263" i="13"/>
  <c r="AA263" i="13" s="1"/>
  <c r="Z263" i="13"/>
  <c r="AB263" i="13"/>
  <c r="AD263" i="13"/>
  <c r="AH263" i="13"/>
  <c r="AI263" i="13"/>
  <c r="AJ263" i="13"/>
  <c r="AK263" i="13"/>
  <c r="AL263" i="13"/>
  <c r="AO263" i="13"/>
  <c r="AP263" i="13"/>
  <c r="AR263" i="13"/>
  <c r="Y264" i="13"/>
  <c r="AA264" i="13" s="1"/>
  <c r="Z264" i="13"/>
  <c r="AB264" i="13"/>
  <c r="AD264" i="13"/>
  <c r="AH264" i="13"/>
  <c r="AI264" i="13"/>
  <c r="AJ264" i="13"/>
  <c r="AK264" i="13"/>
  <c r="AL264" i="13"/>
  <c r="AO264" i="13"/>
  <c r="AP264" i="13"/>
  <c r="AR264" i="13"/>
  <c r="Y265" i="13"/>
  <c r="AA265" i="13" s="1"/>
  <c r="Z265" i="13"/>
  <c r="AB265" i="13"/>
  <c r="AD265" i="13"/>
  <c r="AH265" i="13"/>
  <c r="AI265" i="13"/>
  <c r="AJ265" i="13"/>
  <c r="AK265" i="13"/>
  <c r="AL265" i="13"/>
  <c r="AO265" i="13"/>
  <c r="AP265" i="13"/>
  <c r="AR265" i="13"/>
  <c r="Y266" i="13"/>
  <c r="AA266" i="13" s="1"/>
  <c r="Z266" i="13"/>
  <c r="AB266" i="13"/>
  <c r="AD266" i="13"/>
  <c r="AH266" i="13"/>
  <c r="AI266" i="13"/>
  <c r="AJ266" i="13"/>
  <c r="AK266" i="13"/>
  <c r="AL266" i="13"/>
  <c r="AO266" i="13"/>
  <c r="AP266" i="13"/>
  <c r="AR266" i="13"/>
  <c r="Y267" i="13"/>
  <c r="AA267" i="13" s="1"/>
  <c r="Z267" i="13"/>
  <c r="AB267" i="13"/>
  <c r="AD267" i="13"/>
  <c r="AH267" i="13"/>
  <c r="AI267" i="13"/>
  <c r="AJ267" i="13"/>
  <c r="AK267" i="13"/>
  <c r="AL267" i="13"/>
  <c r="AO267" i="13"/>
  <c r="AP267" i="13"/>
  <c r="AR267" i="13"/>
  <c r="Y268" i="13"/>
  <c r="AA268" i="13" s="1"/>
  <c r="Z268" i="13"/>
  <c r="AB268" i="13"/>
  <c r="AD268" i="13"/>
  <c r="AH268" i="13"/>
  <c r="AI268" i="13"/>
  <c r="AJ268" i="13"/>
  <c r="AK268" i="13"/>
  <c r="AL268" i="13"/>
  <c r="AO268" i="13"/>
  <c r="AP268" i="13"/>
  <c r="AR268" i="13"/>
  <c r="Y269" i="13"/>
  <c r="AA269" i="13" s="1"/>
  <c r="Z269" i="13"/>
  <c r="AB269" i="13"/>
  <c r="AD269" i="13"/>
  <c r="AH269" i="13"/>
  <c r="AI269" i="13"/>
  <c r="AJ269" i="13"/>
  <c r="AK269" i="13"/>
  <c r="AL269" i="13"/>
  <c r="AO269" i="13"/>
  <c r="AP269" i="13"/>
  <c r="AR269" i="13"/>
  <c r="Y270" i="13"/>
  <c r="AA270" i="13" s="1"/>
  <c r="Z270" i="13"/>
  <c r="AB270" i="13"/>
  <c r="AD270" i="13"/>
  <c r="AH270" i="13"/>
  <c r="AI270" i="13"/>
  <c r="AJ270" i="13"/>
  <c r="AK270" i="13"/>
  <c r="AL270" i="13"/>
  <c r="AO270" i="13"/>
  <c r="AP270" i="13"/>
  <c r="AR270" i="13"/>
  <c r="Y271" i="13"/>
  <c r="AA271" i="13" s="1"/>
  <c r="Z271" i="13"/>
  <c r="AB271" i="13"/>
  <c r="AD271" i="13"/>
  <c r="AH271" i="13"/>
  <c r="AI271" i="13"/>
  <c r="AJ271" i="13"/>
  <c r="AK271" i="13"/>
  <c r="AL271" i="13"/>
  <c r="AO271" i="13"/>
  <c r="AP271" i="13"/>
  <c r="AR271" i="13"/>
  <c r="Y272" i="13"/>
  <c r="AA272" i="13" s="1"/>
  <c r="Z272" i="13"/>
  <c r="AB272" i="13"/>
  <c r="AD272" i="13"/>
  <c r="AH272" i="13"/>
  <c r="AI272" i="13"/>
  <c r="AJ272" i="13"/>
  <c r="AK272" i="13"/>
  <c r="AL272" i="13"/>
  <c r="AO272" i="13"/>
  <c r="AP272" i="13"/>
  <c r="AR272" i="13"/>
  <c r="Y273" i="13"/>
  <c r="AA273" i="13" s="1"/>
  <c r="Z273" i="13"/>
  <c r="AB273" i="13"/>
  <c r="AD273" i="13"/>
  <c r="AH273" i="13"/>
  <c r="AI273" i="13"/>
  <c r="AJ273" i="13"/>
  <c r="AK273" i="13"/>
  <c r="AL273" i="13"/>
  <c r="AO273" i="13"/>
  <c r="AP273" i="13"/>
  <c r="AR273" i="13"/>
  <c r="Y274" i="13"/>
  <c r="AA274" i="13" s="1"/>
  <c r="Z274" i="13"/>
  <c r="AB274" i="13"/>
  <c r="AD274" i="13"/>
  <c r="AH274" i="13"/>
  <c r="AI274" i="13"/>
  <c r="AJ274" i="13"/>
  <c r="AK274" i="13"/>
  <c r="AL274" i="13"/>
  <c r="AO274" i="13"/>
  <c r="AP274" i="13"/>
  <c r="AR274" i="13"/>
  <c r="Y275" i="13"/>
  <c r="AA275" i="13" s="1"/>
  <c r="Z275" i="13"/>
  <c r="AB275" i="13"/>
  <c r="AD275" i="13"/>
  <c r="AH275" i="13"/>
  <c r="AI275" i="13"/>
  <c r="AJ275" i="13"/>
  <c r="AK275" i="13"/>
  <c r="AL275" i="13"/>
  <c r="AO275" i="13"/>
  <c r="AP275" i="13"/>
  <c r="AR275" i="13"/>
  <c r="Y276" i="13"/>
  <c r="AA276" i="13" s="1"/>
  <c r="Z276" i="13"/>
  <c r="AB276" i="13"/>
  <c r="AD276" i="13"/>
  <c r="AH276" i="13"/>
  <c r="AI276" i="13"/>
  <c r="AJ276" i="13"/>
  <c r="AK276" i="13"/>
  <c r="AL276" i="13"/>
  <c r="AO276" i="13"/>
  <c r="AP276" i="13"/>
  <c r="AR276" i="13"/>
  <c r="Y277" i="13"/>
  <c r="AA277" i="13" s="1"/>
  <c r="Z277" i="13"/>
  <c r="AB277" i="13"/>
  <c r="AD277" i="13"/>
  <c r="AH277" i="13"/>
  <c r="AI277" i="13"/>
  <c r="AJ277" i="13"/>
  <c r="AK277" i="13"/>
  <c r="AL277" i="13"/>
  <c r="AO277" i="13"/>
  <c r="AP277" i="13"/>
  <c r="AR277" i="13"/>
  <c r="Y278" i="13"/>
  <c r="AA278" i="13" s="1"/>
  <c r="Z278" i="13"/>
  <c r="AB278" i="13"/>
  <c r="AD278" i="13"/>
  <c r="AH278" i="13"/>
  <c r="AI278" i="13"/>
  <c r="AJ278" i="13"/>
  <c r="AK278" i="13"/>
  <c r="AL278" i="13"/>
  <c r="AO278" i="13"/>
  <c r="AP278" i="13"/>
  <c r="AR278" i="13"/>
  <c r="Y279" i="13"/>
  <c r="AA279" i="13" s="1"/>
  <c r="Z279" i="13"/>
  <c r="AB279" i="13"/>
  <c r="AD279" i="13"/>
  <c r="AH279" i="13"/>
  <c r="AI279" i="13"/>
  <c r="AJ279" i="13"/>
  <c r="AK279" i="13"/>
  <c r="AL279" i="13"/>
  <c r="AO279" i="13"/>
  <c r="AP279" i="13"/>
  <c r="AR279" i="13"/>
  <c r="Y280" i="13"/>
  <c r="AA280" i="13" s="1"/>
  <c r="Z280" i="13"/>
  <c r="AB280" i="13"/>
  <c r="AD280" i="13"/>
  <c r="AH280" i="13"/>
  <c r="AI280" i="13"/>
  <c r="AJ280" i="13"/>
  <c r="AK280" i="13"/>
  <c r="AL280" i="13"/>
  <c r="AO280" i="13"/>
  <c r="AP280" i="13"/>
  <c r="AR280" i="13"/>
  <c r="Y281" i="13"/>
  <c r="AA281" i="13" s="1"/>
  <c r="Z281" i="13"/>
  <c r="AB281" i="13"/>
  <c r="AD281" i="13"/>
  <c r="AH281" i="13"/>
  <c r="AI281" i="13"/>
  <c r="AJ281" i="13"/>
  <c r="AK281" i="13"/>
  <c r="AL281" i="13"/>
  <c r="AO281" i="13"/>
  <c r="AP281" i="13"/>
  <c r="AR281" i="13"/>
  <c r="Y282" i="13"/>
  <c r="AA282" i="13" s="1"/>
  <c r="Z282" i="13"/>
  <c r="AB282" i="13"/>
  <c r="AD282" i="13"/>
  <c r="AH282" i="13"/>
  <c r="AI282" i="13"/>
  <c r="AJ282" i="13"/>
  <c r="AK282" i="13"/>
  <c r="AL282" i="13"/>
  <c r="AO282" i="13"/>
  <c r="AP282" i="13"/>
  <c r="AR282" i="13"/>
  <c r="Y283" i="13"/>
  <c r="AA283" i="13" s="1"/>
  <c r="Z283" i="13"/>
  <c r="AB283" i="13"/>
  <c r="AD283" i="13"/>
  <c r="AH283" i="13"/>
  <c r="AI283" i="13"/>
  <c r="AJ283" i="13"/>
  <c r="AK283" i="13"/>
  <c r="AL283" i="13"/>
  <c r="AO283" i="13"/>
  <c r="AP283" i="13"/>
  <c r="AR283" i="13"/>
  <c r="Y284" i="13"/>
  <c r="AA284" i="13" s="1"/>
  <c r="Z284" i="13"/>
  <c r="AB284" i="13"/>
  <c r="AD284" i="13"/>
  <c r="AH284" i="13"/>
  <c r="AI284" i="13"/>
  <c r="AJ284" i="13"/>
  <c r="AK284" i="13"/>
  <c r="AL284" i="13"/>
  <c r="AO284" i="13"/>
  <c r="AP284" i="13"/>
  <c r="AR284" i="13"/>
  <c r="Y285" i="13"/>
  <c r="AA285" i="13" s="1"/>
  <c r="Z285" i="13"/>
  <c r="AB285" i="13"/>
  <c r="AD285" i="13"/>
  <c r="AH285" i="13"/>
  <c r="AI285" i="13"/>
  <c r="AJ285" i="13"/>
  <c r="AK285" i="13"/>
  <c r="AL285" i="13"/>
  <c r="AO285" i="13"/>
  <c r="AP285" i="13"/>
  <c r="AR285" i="13"/>
  <c r="Y286" i="13"/>
  <c r="AA286" i="13" s="1"/>
  <c r="Z286" i="13"/>
  <c r="AB286" i="13"/>
  <c r="AD286" i="13"/>
  <c r="AH286" i="13"/>
  <c r="AI286" i="13"/>
  <c r="AJ286" i="13"/>
  <c r="AK286" i="13"/>
  <c r="AL286" i="13"/>
  <c r="AO286" i="13"/>
  <c r="AP286" i="13"/>
  <c r="AR286" i="13"/>
  <c r="Y287" i="13"/>
  <c r="AA287" i="13" s="1"/>
  <c r="Z287" i="13"/>
  <c r="AB287" i="13"/>
  <c r="AD287" i="13"/>
  <c r="AH287" i="13"/>
  <c r="AI287" i="13"/>
  <c r="AJ287" i="13"/>
  <c r="AK287" i="13"/>
  <c r="AL287" i="13"/>
  <c r="AO287" i="13"/>
  <c r="AP287" i="13"/>
  <c r="AR287" i="13"/>
  <c r="Y288" i="13"/>
  <c r="AA288" i="13" s="1"/>
  <c r="Z288" i="13"/>
  <c r="AB288" i="13"/>
  <c r="AD288" i="13"/>
  <c r="AH288" i="13"/>
  <c r="AI288" i="13"/>
  <c r="AJ288" i="13"/>
  <c r="AK288" i="13"/>
  <c r="AL288" i="13"/>
  <c r="AO288" i="13"/>
  <c r="AP288" i="13"/>
  <c r="AR288" i="13"/>
  <c r="Y289" i="13"/>
  <c r="AA289" i="13" s="1"/>
  <c r="Z289" i="13"/>
  <c r="AB289" i="13"/>
  <c r="AD289" i="13"/>
  <c r="AH289" i="13"/>
  <c r="AI289" i="13"/>
  <c r="AJ289" i="13"/>
  <c r="AK289" i="13"/>
  <c r="AL289" i="13"/>
  <c r="AO289" i="13"/>
  <c r="AP289" i="13"/>
  <c r="AR289" i="13"/>
  <c r="Y290" i="13"/>
  <c r="AA290" i="13" s="1"/>
  <c r="Z290" i="13"/>
  <c r="AB290" i="13"/>
  <c r="AD290" i="13"/>
  <c r="AH290" i="13"/>
  <c r="AI290" i="13"/>
  <c r="AJ290" i="13"/>
  <c r="AK290" i="13"/>
  <c r="AL290" i="13"/>
  <c r="AO290" i="13"/>
  <c r="AP290" i="13"/>
  <c r="AR290" i="13"/>
  <c r="AR6" i="13"/>
  <c r="AP6" i="13"/>
  <c r="AO6" i="13"/>
  <c r="AL6" i="13"/>
  <c r="AK6" i="13"/>
  <c r="AJ6" i="13"/>
  <c r="AI6" i="13"/>
  <c r="AH6" i="13"/>
  <c r="AD6" i="13"/>
  <c r="AB6" i="13"/>
  <c r="Z6" i="13"/>
  <c r="Y6" i="13"/>
  <c r="AA6" i="13" s="1"/>
  <c r="E6" i="13"/>
  <c r="AR5" i="13"/>
  <c r="AP5" i="13"/>
  <c r="AO5" i="13"/>
  <c r="AL5" i="13"/>
  <c r="AK5" i="13"/>
  <c r="AJ5" i="13"/>
  <c r="AI5" i="13"/>
  <c r="AH5" i="13"/>
  <c r="AD5" i="13"/>
  <c r="AB5" i="13"/>
  <c r="Z5" i="13"/>
  <c r="AR16" i="13"/>
  <c r="AP16" i="13"/>
  <c r="AO16" i="13"/>
  <c r="AL16" i="13"/>
  <c r="AK16" i="13"/>
  <c r="AJ16" i="13"/>
  <c r="AI16" i="13"/>
  <c r="AH16" i="13"/>
  <c r="AD16" i="13"/>
  <c r="AB16" i="13"/>
  <c r="Z16" i="13"/>
  <c r="Y16" i="13"/>
  <c r="AA16" i="13" s="1"/>
  <c r="E16" i="13"/>
  <c r="AR15" i="13"/>
  <c r="AP15" i="13"/>
  <c r="AO15" i="13"/>
  <c r="AL15" i="13"/>
  <c r="AK15" i="13"/>
  <c r="AJ15" i="13"/>
  <c r="AI15" i="13"/>
  <c r="AH15" i="13"/>
  <c r="AD15" i="13"/>
  <c r="AB15" i="13"/>
  <c r="Z15" i="13"/>
  <c r="Y15" i="13"/>
  <c r="AA15" i="13" s="1"/>
  <c r="E15" i="13"/>
  <c r="AR14" i="13"/>
  <c r="AP14" i="13"/>
  <c r="AO14" i="13"/>
  <c r="AL14" i="13"/>
  <c r="AK14" i="13"/>
  <c r="AJ14" i="13"/>
  <c r="AI14" i="13"/>
  <c r="AH14" i="13"/>
  <c r="AD14" i="13"/>
  <c r="AB14" i="13"/>
  <c r="Z14" i="13"/>
  <c r="Y14" i="13"/>
  <c r="AA14" i="13" s="1"/>
  <c r="E14" i="13"/>
  <c r="AR13" i="13"/>
  <c r="AP13" i="13"/>
  <c r="AO13" i="13"/>
  <c r="AL13" i="13"/>
  <c r="AK13" i="13"/>
  <c r="AJ13" i="13"/>
  <c r="AI13" i="13"/>
  <c r="AH13" i="13"/>
  <c r="AD13" i="13"/>
  <c r="AB13" i="13"/>
  <c r="Z13" i="13"/>
  <c r="Y13" i="13"/>
  <c r="AA13" i="13" s="1"/>
  <c r="E13" i="13"/>
  <c r="AR12" i="13"/>
  <c r="AP12" i="13"/>
  <c r="AO12" i="13"/>
  <c r="AL12" i="13"/>
  <c r="AK12" i="13"/>
  <c r="AJ12" i="13"/>
  <c r="AI12" i="13"/>
  <c r="AH12" i="13"/>
  <c r="AD12" i="13"/>
  <c r="AB12" i="13"/>
  <c r="Z12" i="13"/>
  <c r="Y12" i="13"/>
  <c r="AA12" i="13" s="1"/>
  <c r="E12" i="13"/>
  <c r="AR11" i="13"/>
  <c r="AP11" i="13"/>
  <c r="AO11" i="13"/>
  <c r="AL11" i="13"/>
  <c r="AK11" i="13"/>
  <c r="AJ11" i="13"/>
  <c r="AI11" i="13"/>
  <c r="AH11" i="13"/>
  <c r="AD11" i="13"/>
  <c r="AB11" i="13"/>
  <c r="Z11" i="13"/>
  <c r="Y11" i="13"/>
  <c r="AA11" i="13" s="1"/>
  <c r="E11" i="13"/>
  <c r="AR10" i="13"/>
  <c r="AP10" i="13"/>
  <c r="AO10" i="13"/>
  <c r="AL10" i="13"/>
  <c r="AK10" i="13"/>
  <c r="AJ10" i="13"/>
  <c r="AI10" i="13"/>
  <c r="AH10" i="13"/>
  <c r="AD10" i="13"/>
  <c r="AB10" i="13"/>
  <c r="Z10" i="13"/>
  <c r="Y10" i="13"/>
  <c r="AA10" i="13" s="1"/>
  <c r="E10" i="13"/>
  <c r="AR9" i="13"/>
  <c r="AP9" i="13"/>
  <c r="AO9" i="13"/>
  <c r="AL9" i="13"/>
  <c r="AK9" i="13"/>
  <c r="AJ9" i="13"/>
  <c r="AI9" i="13"/>
  <c r="AH9" i="13"/>
  <c r="AD9" i="13"/>
  <c r="AB9" i="13"/>
  <c r="Z9" i="13"/>
  <c r="Y9" i="13"/>
  <c r="AA9" i="13" s="1"/>
  <c r="E9" i="13"/>
  <c r="AR8" i="13"/>
  <c r="AP8" i="13"/>
  <c r="AO8" i="13"/>
  <c r="AL8" i="13"/>
  <c r="AK8" i="13"/>
  <c r="AJ8" i="13"/>
  <c r="AI8" i="13"/>
  <c r="AH8" i="13"/>
  <c r="AD8" i="13"/>
  <c r="AB8" i="13"/>
  <c r="Z8" i="13"/>
  <c r="Y8" i="13"/>
  <c r="AA8" i="13" s="1"/>
  <c r="E8" i="13"/>
  <c r="AR7" i="13"/>
  <c r="AP7" i="13"/>
  <c r="AO7" i="13"/>
  <c r="AL7" i="13"/>
  <c r="AK7" i="13"/>
  <c r="AJ7" i="13"/>
  <c r="AI7" i="13"/>
  <c r="AH7" i="13"/>
  <c r="AD7" i="13"/>
  <c r="AB7" i="13"/>
  <c r="Z7" i="13"/>
  <c r="Y7" i="13"/>
  <c r="AA7" i="13" s="1"/>
  <c r="E7" i="13"/>
  <c r="AR26" i="13"/>
  <c r="AP26" i="13"/>
  <c r="AO26" i="13"/>
  <c r="AL26" i="13"/>
  <c r="AK26" i="13"/>
  <c r="AJ26" i="13"/>
  <c r="AI26" i="13"/>
  <c r="AH26" i="13"/>
  <c r="AD26" i="13"/>
  <c r="AB26" i="13"/>
  <c r="Z26" i="13"/>
  <c r="Y26" i="13"/>
  <c r="AA26" i="13" s="1"/>
  <c r="E26" i="13"/>
  <c r="AR25" i="13"/>
  <c r="AP25" i="13"/>
  <c r="AO25" i="13"/>
  <c r="AL25" i="13"/>
  <c r="AK25" i="13"/>
  <c r="AJ25" i="13"/>
  <c r="AI25" i="13"/>
  <c r="AH25" i="13"/>
  <c r="AD25" i="13"/>
  <c r="AB25" i="13"/>
  <c r="Z25" i="13"/>
  <c r="Y25" i="13"/>
  <c r="AA25" i="13" s="1"/>
  <c r="E25" i="13"/>
  <c r="AR24" i="13"/>
  <c r="AP24" i="13"/>
  <c r="AO24" i="13"/>
  <c r="AL24" i="13"/>
  <c r="AK24" i="13"/>
  <c r="AJ24" i="13"/>
  <c r="AI24" i="13"/>
  <c r="AH24" i="13"/>
  <c r="AD24" i="13"/>
  <c r="AB24" i="13"/>
  <c r="Z24" i="13"/>
  <c r="Y24" i="13"/>
  <c r="AA24" i="13" s="1"/>
  <c r="E24" i="13"/>
  <c r="AR23" i="13"/>
  <c r="AP23" i="13"/>
  <c r="AO23" i="13"/>
  <c r="AL23" i="13"/>
  <c r="AK23" i="13"/>
  <c r="AJ23" i="13"/>
  <c r="AI23" i="13"/>
  <c r="AH23" i="13"/>
  <c r="AD23" i="13"/>
  <c r="AB23" i="13"/>
  <c r="Z23" i="13"/>
  <c r="Y23" i="13"/>
  <c r="AA23" i="13" s="1"/>
  <c r="E23" i="13"/>
  <c r="AR22" i="13"/>
  <c r="AP22" i="13"/>
  <c r="AO22" i="13"/>
  <c r="AL22" i="13"/>
  <c r="AK22" i="13"/>
  <c r="AJ22" i="13"/>
  <c r="AI22" i="13"/>
  <c r="AH22" i="13"/>
  <c r="AD22" i="13"/>
  <c r="AB22" i="13"/>
  <c r="Z22" i="13"/>
  <c r="Y22" i="13"/>
  <c r="AA22" i="13" s="1"/>
  <c r="E22" i="13"/>
  <c r="AR21" i="13"/>
  <c r="AP21" i="13"/>
  <c r="AO21" i="13"/>
  <c r="AL21" i="13"/>
  <c r="AK21" i="13"/>
  <c r="AJ21" i="13"/>
  <c r="AI21" i="13"/>
  <c r="AH21" i="13"/>
  <c r="AD21" i="13"/>
  <c r="AB21" i="13"/>
  <c r="Z21" i="13"/>
  <c r="Y21" i="13"/>
  <c r="AA21" i="13" s="1"/>
  <c r="E21" i="13"/>
  <c r="AR20" i="13"/>
  <c r="AP20" i="13"/>
  <c r="AO20" i="13"/>
  <c r="AL20" i="13"/>
  <c r="AK20" i="13"/>
  <c r="AJ20" i="13"/>
  <c r="AI20" i="13"/>
  <c r="AH20" i="13"/>
  <c r="AD20" i="13"/>
  <c r="AB20" i="13"/>
  <c r="Z20" i="13"/>
  <c r="Y20" i="13"/>
  <c r="AA20" i="13" s="1"/>
  <c r="E20" i="13"/>
  <c r="AR19" i="13"/>
  <c r="AP19" i="13"/>
  <c r="AO19" i="13"/>
  <c r="AL19" i="13"/>
  <c r="AK19" i="13"/>
  <c r="AJ19" i="13"/>
  <c r="AI19" i="13"/>
  <c r="AH19" i="13"/>
  <c r="AD19" i="13"/>
  <c r="AB19" i="13"/>
  <c r="Z19" i="13"/>
  <c r="Y19" i="13"/>
  <c r="AA19" i="13" s="1"/>
  <c r="E19" i="13"/>
  <c r="AR18" i="13"/>
  <c r="AP18" i="13"/>
  <c r="AO18" i="13"/>
  <c r="AL18" i="13"/>
  <c r="AK18" i="13"/>
  <c r="AJ18" i="13"/>
  <c r="AI18" i="13"/>
  <c r="AH18" i="13"/>
  <c r="AD18" i="13"/>
  <c r="AB18" i="13"/>
  <c r="Z18" i="13"/>
  <c r="Y18" i="13"/>
  <c r="AA18" i="13" s="1"/>
  <c r="E18" i="13"/>
  <c r="AR17" i="13"/>
  <c r="AP17" i="13"/>
  <c r="AO17" i="13"/>
  <c r="AL17" i="13"/>
  <c r="AK17" i="13"/>
  <c r="AJ17" i="13"/>
  <c r="AI17" i="13"/>
  <c r="AH17" i="13"/>
  <c r="AD17" i="13"/>
  <c r="AB17" i="13"/>
  <c r="Z17" i="13"/>
  <c r="Y17" i="13"/>
  <c r="AA17" i="13" s="1"/>
  <c r="E17" i="13"/>
  <c r="AP218" i="13"/>
  <c r="Y27" i="13"/>
  <c r="AA27" i="13" s="1"/>
  <c r="Z27" i="13"/>
  <c r="AB27" i="13"/>
  <c r="AD27" i="13"/>
  <c r="AH27" i="13"/>
  <c r="AI27" i="13"/>
  <c r="AJ27" i="13"/>
  <c r="AK27" i="13"/>
  <c r="AL27" i="13"/>
  <c r="AO27" i="13"/>
  <c r="AP27" i="13"/>
  <c r="Y28" i="13"/>
  <c r="AA28" i="13" s="1"/>
  <c r="Z28" i="13"/>
  <c r="AB28" i="13"/>
  <c r="AD28" i="13"/>
  <c r="AH28" i="13"/>
  <c r="AI28" i="13"/>
  <c r="AJ28" i="13"/>
  <c r="AK28" i="13"/>
  <c r="AL28" i="13"/>
  <c r="AO28" i="13"/>
  <c r="AP28" i="13"/>
  <c r="Y29" i="13"/>
  <c r="AA29" i="13" s="1"/>
  <c r="Z29" i="13"/>
  <c r="AB29" i="13"/>
  <c r="AD29" i="13"/>
  <c r="AH29" i="13"/>
  <c r="AI29" i="13"/>
  <c r="AJ29" i="13"/>
  <c r="AK29" i="13"/>
  <c r="AL29" i="13"/>
  <c r="AO29" i="13"/>
  <c r="AP29" i="13"/>
  <c r="Y30" i="13"/>
  <c r="AA30" i="13" s="1"/>
  <c r="Z30" i="13"/>
  <c r="AB30" i="13"/>
  <c r="AD30" i="13"/>
  <c r="AH30" i="13"/>
  <c r="AI30" i="13"/>
  <c r="AJ30" i="13"/>
  <c r="AK30" i="13"/>
  <c r="AL30" i="13"/>
  <c r="AO30" i="13"/>
  <c r="AP30" i="13"/>
  <c r="Y31" i="13"/>
  <c r="AA31" i="13" s="1"/>
  <c r="Z31" i="13"/>
  <c r="AB31" i="13"/>
  <c r="AD31" i="13"/>
  <c r="AH31" i="13"/>
  <c r="AI31" i="13"/>
  <c r="AJ31" i="13"/>
  <c r="AK31" i="13"/>
  <c r="AL31" i="13"/>
  <c r="AO31" i="13"/>
  <c r="AP31" i="13"/>
  <c r="Y32" i="13"/>
  <c r="AA32" i="13" s="1"/>
  <c r="Z32" i="13"/>
  <c r="AB32" i="13"/>
  <c r="AD32" i="13"/>
  <c r="AH32" i="13"/>
  <c r="AI32" i="13"/>
  <c r="AJ32" i="13"/>
  <c r="AK32" i="13"/>
  <c r="AL32" i="13"/>
  <c r="AO32" i="13"/>
  <c r="AP32" i="13"/>
  <c r="Y33" i="13"/>
  <c r="AA33" i="13" s="1"/>
  <c r="Z33" i="13"/>
  <c r="AB33" i="13"/>
  <c r="AD33" i="13"/>
  <c r="AH33" i="13"/>
  <c r="AI33" i="13"/>
  <c r="AJ33" i="13"/>
  <c r="AK33" i="13"/>
  <c r="AL33" i="13"/>
  <c r="AO33" i="13"/>
  <c r="AP33" i="13"/>
  <c r="Y34" i="13"/>
  <c r="AA34" i="13" s="1"/>
  <c r="Z34" i="13"/>
  <c r="AB34" i="13"/>
  <c r="AD34" i="13"/>
  <c r="AH34" i="13"/>
  <c r="AI34" i="13"/>
  <c r="AJ34" i="13"/>
  <c r="AK34" i="13"/>
  <c r="AL34" i="13"/>
  <c r="AO34" i="13"/>
  <c r="AP34" i="13"/>
  <c r="Y35" i="13"/>
  <c r="AA35" i="13" s="1"/>
  <c r="Z35" i="13"/>
  <c r="AB35" i="13"/>
  <c r="AD35" i="13"/>
  <c r="AH35" i="13"/>
  <c r="AI35" i="13"/>
  <c r="AJ35" i="13"/>
  <c r="AK35" i="13"/>
  <c r="AL35" i="13"/>
  <c r="AO35" i="13"/>
  <c r="AP35" i="13"/>
  <c r="Y36" i="13"/>
  <c r="AA36" i="13" s="1"/>
  <c r="Z36" i="13"/>
  <c r="AB36" i="13"/>
  <c r="AD36" i="13"/>
  <c r="AH36" i="13"/>
  <c r="AI36" i="13"/>
  <c r="AJ36" i="13"/>
  <c r="AK36" i="13"/>
  <c r="AL36" i="13"/>
  <c r="AO36" i="13"/>
  <c r="AP36" i="13"/>
  <c r="Y37" i="13"/>
  <c r="AA37" i="13" s="1"/>
  <c r="Z37" i="13"/>
  <c r="AB37" i="13"/>
  <c r="AD37" i="13"/>
  <c r="AH37" i="13"/>
  <c r="AI37" i="13"/>
  <c r="AJ37" i="13"/>
  <c r="AK37" i="13"/>
  <c r="AL37" i="13"/>
  <c r="AO37" i="13"/>
  <c r="AP37" i="13"/>
  <c r="Y38" i="13"/>
  <c r="AA38" i="13" s="1"/>
  <c r="Z38" i="13"/>
  <c r="AB38" i="13"/>
  <c r="AD38" i="13"/>
  <c r="AH38" i="13"/>
  <c r="AI38" i="13"/>
  <c r="AJ38" i="13"/>
  <c r="AK38" i="13"/>
  <c r="AL38" i="13"/>
  <c r="AO38" i="13"/>
  <c r="AP38" i="13"/>
  <c r="Y39" i="13"/>
  <c r="AA39" i="13" s="1"/>
  <c r="Z39" i="13"/>
  <c r="AB39" i="13"/>
  <c r="AD39" i="13"/>
  <c r="AH39" i="13"/>
  <c r="AI39" i="13"/>
  <c r="AJ39" i="13"/>
  <c r="AK39" i="13"/>
  <c r="AL39" i="13"/>
  <c r="AO39" i="13"/>
  <c r="AP39" i="13"/>
  <c r="Y40" i="13"/>
  <c r="AA40" i="13" s="1"/>
  <c r="Z40" i="13"/>
  <c r="AB40" i="13"/>
  <c r="AD40" i="13"/>
  <c r="AH40" i="13"/>
  <c r="AI40" i="13"/>
  <c r="AJ40" i="13"/>
  <c r="AK40" i="13"/>
  <c r="AL40" i="13"/>
  <c r="AO40" i="13"/>
  <c r="AP40" i="13"/>
  <c r="Y41" i="13"/>
  <c r="AA41" i="13" s="1"/>
  <c r="Z41" i="13"/>
  <c r="AB41" i="13"/>
  <c r="AD41" i="13"/>
  <c r="AH41" i="13"/>
  <c r="AI41" i="13"/>
  <c r="AJ41" i="13"/>
  <c r="AK41" i="13"/>
  <c r="AL41" i="13"/>
  <c r="AO41" i="13"/>
  <c r="AP41" i="13"/>
  <c r="Y42" i="13"/>
  <c r="AA42" i="13" s="1"/>
  <c r="Z42" i="13"/>
  <c r="AB42" i="13"/>
  <c r="AD42" i="13"/>
  <c r="AH42" i="13"/>
  <c r="AI42" i="13"/>
  <c r="AJ42" i="13"/>
  <c r="AK42" i="13"/>
  <c r="AL42" i="13"/>
  <c r="AO42" i="13"/>
  <c r="AP42" i="13"/>
  <c r="Y43" i="13"/>
  <c r="AA43" i="13" s="1"/>
  <c r="Z43" i="13"/>
  <c r="AB43" i="13"/>
  <c r="AD43" i="13"/>
  <c r="AH43" i="13"/>
  <c r="AI43" i="13"/>
  <c r="AJ43" i="13"/>
  <c r="AK43" i="13"/>
  <c r="AL43" i="13"/>
  <c r="AO43" i="13"/>
  <c r="AP43" i="13"/>
  <c r="Y44" i="13"/>
  <c r="AA44" i="13" s="1"/>
  <c r="Z44" i="13"/>
  <c r="AB44" i="13"/>
  <c r="AD44" i="13"/>
  <c r="AH44" i="13"/>
  <c r="AI44" i="13"/>
  <c r="AJ44" i="13"/>
  <c r="AK44" i="13"/>
  <c r="AL44" i="13"/>
  <c r="AO44" i="13"/>
  <c r="AP44" i="13"/>
  <c r="Y45" i="13"/>
  <c r="AA45" i="13" s="1"/>
  <c r="Z45" i="13"/>
  <c r="AB45" i="13"/>
  <c r="AD45" i="13"/>
  <c r="AH45" i="13"/>
  <c r="AI45" i="13"/>
  <c r="AJ45" i="13"/>
  <c r="AK45" i="13"/>
  <c r="AL45" i="13"/>
  <c r="AO45" i="13"/>
  <c r="AP45" i="13"/>
  <c r="Y46" i="13"/>
  <c r="AA46" i="13" s="1"/>
  <c r="Z46" i="13"/>
  <c r="AB46" i="13"/>
  <c r="AD46" i="13"/>
  <c r="AH46" i="13"/>
  <c r="AI46" i="13"/>
  <c r="AJ46" i="13"/>
  <c r="AK46" i="13"/>
  <c r="AL46" i="13"/>
  <c r="AO46" i="13"/>
  <c r="AP46" i="13"/>
  <c r="Y47" i="13"/>
  <c r="AA47" i="13" s="1"/>
  <c r="Z47" i="13"/>
  <c r="AB47" i="13"/>
  <c r="AD47" i="13"/>
  <c r="AH47" i="13"/>
  <c r="AI47" i="13"/>
  <c r="AJ47" i="13"/>
  <c r="AK47" i="13"/>
  <c r="AL47" i="13"/>
  <c r="AO47" i="13"/>
  <c r="AP47" i="13"/>
  <c r="Y48" i="13"/>
  <c r="AA48" i="13" s="1"/>
  <c r="Z48" i="13"/>
  <c r="AB48" i="13"/>
  <c r="AD48" i="13"/>
  <c r="AH48" i="13"/>
  <c r="AI48" i="13"/>
  <c r="AJ48" i="13"/>
  <c r="AK48" i="13"/>
  <c r="AL48" i="13"/>
  <c r="AO48" i="13"/>
  <c r="AP48" i="13"/>
  <c r="Y49" i="13"/>
  <c r="AA49" i="13" s="1"/>
  <c r="Z49" i="13"/>
  <c r="AB49" i="13"/>
  <c r="AD49" i="13"/>
  <c r="AH49" i="13"/>
  <c r="AI49" i="13"/>
  <c r="AJ49" i="13"/>
  <c r="AK49" i="13"/>
  <c r="AL49" i="13"/>
  <c r="AO49" i="13"/>
  <c r="AP49" i="13"/>
  <c r="Y50" i="13"/>
  <c r="AA50" i="13" s="1"/>
  <c r="Z50" i="13"/>
  <c r="AB50" i="13"/>
  <c r="AD50" i="13"/>
  <c r="AH50" i="13"/>
  <c r="AI50" i="13"/>
  <c r="AJ50" i="13"/>
  <c r="AK50" i="13"/>
  <c r="AL50" i="13"/>
  <c r="AO50" i="13"/>
  <c r="AP50" i="13"/>
  <c r="Y51" i="13"/>
  <c r="AA51" i="13" s="1"/>
  <c r="Z51" i="13"/>
  <c r="AB51" i="13"/>
  <c r="AD51" i="13"/>
  <c r="AH51" i="13"/>
  <c r="AI51" i="13"/>
  <c r="AJ51" i="13"/>
  <c r="AK51" i="13"/>
  <c r="AL51" i="13"/>
  <c r="AO51" i="13"/>
  <c r="AP51" i="13"/>
  <c r="Y52" i="13"/>
  <c r="AA52" i="13" s="1"/>
  <c r="Z52" i="13"/>
  <c r="AB52" i="13"/>
  <c r="AD52" i="13"/>
  <c r="AH52" i="13"/>
  <c r="AI52" i="13"/>
  <c r="AJ52" i="13"/>
  <c r="AK52" i="13"/>
  <c r="AL52" i="13"/>
  <c r="AO52" i="13"/>
  <c r="AP52" i="13"/>
  <c r="Y53" i="13"/>
  <c r="AA53" i="13" s="1"/>
  <c r="Z53" i="13"/>
  <c r="AB53" i="13"/>
  <c r="AD53" i="13"/>
  <c r="AH53" i="13"/>
  <c r="AI53" i="13"/>
  <c r="AJ53" i="13"/>
  <c r="AK53" i="13"/>
  <c r="AL53" i="13"/>
  <c r="AO53" i="13"/>
  <c r="AP53" i="13"/>
  <c r="Y54" i="13"/>
  <c r="AA54" i="13" s="1"/>
  <c r="Z54" i="13"/>
  <c r="AB54" i="13"/>
  <c r="AD54" i="13"/>
  <c r="AH54" i="13"/>
  <c r="AI54" i="13"/>
  <c r="AJ54" i="13"/>
  <c r="AK54" i="13"/>
  <c r="AL54" i="13"/>
  <c r="AO54" i="13"/>
  <c r="AP54" i="13"/>
  <c r="Y55" i="13"/>
  <c r="AA55" i="13" s="1"/>
  <c r="Z55" i="13"/>
  <c r="AB55" i="13"/>
  <c r="AD55" i="13"/>
  <c r="AH55" i="13"/>
  <c r="AI55" i="13"/>
  <c r="AJ55" i="13"/>
  <c r="AK55" i="13"/>
  <c r="AL55" i="13"/>
  <c r="AO55" i="13"/>
  <c r="AP55" i="13"/>
  <c r="Y56" i="13"/>
  <c r="AA56" i="13" s="1"/>
  <c r="Z56" i="13"/>
  <c r="AB56" i="13"/>
  <c r="AD56" i="13"/>
  <c r="AH56" i="13"/>
  <c r="AI56" i="13"/>
  <c r="AJ56" i="13"/>
  <c r="AK56" i="13"/>
  <c r="AL56" i="13"/>
  <c r="AO56" i="13"/>
  <c r="AP56" i="13"/>
  <c r="Y57" i="13"/>
  <c r="AA57" i="13" s="1"/>
  <c r="Z57" i="13"/>
  <c r="AB57" i="13"/>
  <c r="AD57" i="13"/>
  <c r="AH57" i="13"/>
  <c r="AI57" i="13"/>
  <c r="AJ57" i="13"/>
  <c r="AK57" i="13"/>
  <c r="AL57" i="13"/>
  <c r="AO57" i="13"/>
  <c r="AP57" i="13"/>
  <c r="Y58" i="13"/>
  <c r="AA58" i="13" s="1"/>
  <c r="Z58" i="13"/>
  <c r="AB58" i="13"/>
  <c r="AD58" i="13"/>
  <c r="AH58" i="13"/>
  <c r="AI58" i="13"/>
  <c r="AJ58" i="13"/>
  <c r="AK58" i="13"/>
  <c r="AL58" i="13"/>
  <c r="AO58" i="13"/>
  <c r="AP58" i="13"/>
  <c r="Y59" i="13"/>
  <c r="AA59" i="13" s="1"/>
  <c r="Z59" i="13"/>
  <c r="AB59" i="13"/>
  <c r="AD59" i="13"/>
  <c r="AH59" i="13"/>
  <c r="AI59" i="13"/>
  <c r="AJ59" i="13"/>
  <c r="AK59" i="13"/>
  <c r="AL59" i="13"/>
  <c r="AO59" i="13"/>
  <c r="AP59" i="13"/>
  <c r="Y60" i="13"/>
  <c r="AA60" i="13" s="1"/>
  <c r="Z60" i="13"/>
  <c r="AB60" i="13"/>
  <c r="AD60" i="13"/>
  <c r="AH60" i="13"/>
  <c r="AI60" i="13"/>
  <c r="AJ60" i="13"/>
  <c r="AK60" i="13"/>
  <c r="AL60" i="13"/>
  <c r="AO60" i="13"/>
  <c r="AP60" i="13"/>
  <c r="Y61" i="13"/>
  <c r="AA61" i="13" s="1"/>
  <c r="Z61" i="13"/>
  <c r="AB61" i="13"/>
  <c r="AD61" i="13"/>
  <c r="AH61" i="13"/>
  <c r="AI61" i="13"/>
  <c r="AJ61" i="13"/>
  <c r="AK61" i="13"/>
  <c r="AL61" i="13"/>
  <c r="AO61" i="13"/>
  <c r="AP61" i="13"/>
  <c r="Y62" i="13"/>
  <c r="AA62" i="13" s="1"/>
  <c r="Z62" i="13"/>
  <c r="AB62" i="13"/>
  <c r="AD62" i="13"/>
  <c r="AH62" i="13"/>
  <c r="AI62" i="13"/>
  <c r="AJ62" i="13"/>
  <c r="AK62" i="13"/>
  <c r="AL62" i="13"/>
  <c r="AO62" i="13"/>
  <c r="AP62" i="13"/>
  <c r="Y63" i="13"/>
  <c r="AA63" i="13" s="1"/>
  <c r="Z63" i="13"/>
  <c r="AB63" i="13"/>
  <c r="AD63" i="13"/>
  <c r="AH63" i="13"/>
  <c r="AI63" i="13"/>
  <c r="AJ63" i="13"/>
  <c r="AK63" i="13"/>
  <c r="AL63" i="13"/>
  <c r="AO63" i="13"/>
  <c r="AP63" i="13"/>
  <c r="Y64" i="13"/>
  <c r="AA64" i="13" s="1"/>
  <c r="Z64" i="13"/>
  <c r="AB64" i="13"/>
  <c r="AD64" i="13"/>
  <c r="AH64" i="13"/>
  <c r="AI64" i="13"/>
  <c r="AJ64" i="13"/>
  <c r="AK64" i="13"/>
  <c r="AL64" i="13"/>
  <c r="AO64" i="13"/>
  <c r="AP64" i="13"/>
  <c r="Y65" i="13"/>
  <c r="AA65" i="13" s="1"/>
  <c r="Z65" i="13"/>
  <c r="AB65" i="13"/>
  <c r="AD65" i="13"/>
  <c r="AH65" i="13"/>
  <c r="AI65" i="13"/>
  <c r="AJ65" i="13"/>
  <c r="AK65" i="13"/>
  <c r="AL65" i="13"/>
  <c r="AO65" i="13"/>
  <c r="AP65" i="13"/>
  <c r="Y66" i="13"/>
  <c r="AA66" i="13" s="1"/>
  <c r="Z66" i="13"/>
  <c r="AB66" i="13"/>
  <c r="AD66" i="13"/>
  <c r="AH66" i="13"/>
  <c r="AI66" i="13"/>
  <c r="AJ66" i="13"/>
  <c r="AK66" i="13"/>
  <c r="AL66" i="13"/>
  <c r="AO66" i="13"/>
  <c r="AP66" i="13"/>
  <c r="Y67" i="13"/>
  <c r="AA67" i="13" s="1"/>
  <c r="Z67" i="13"/>
  <c r="AB67" i="13"/>
  <c r="AD67" i="13"/>
  <c r="AH67" i="13"/>
  <c r="AI67" i="13"/>
  <c r="AJ67" i="13"/>
  <c r="AK67" i="13"/>
  <c r="AL67" i="13"/>
  <c r="AO67" i="13"/>
  <c r="AP67" i="13"/>
  <c r="Y68" i="13"/>
  <c r="AA68" i="13" s="1"/>
  <c r="Z68" i="13"/>
  <c r="AB68" i="13"/>
  <c r="AD68" i="13"/>
  <c r="AH68" i="13"/>
  <c r="AI68" i="13"/>
  <c r="AJ68" i="13"/>
  <c r="AK68" i="13"/>
  <c r="AL68" i="13"/>
  <c r="AO68" i="13"/>
  <c r="AP68" i="13"/>
  <c r="Y69" i="13"/>
  <c r="AA69" i="13" s="1"/>
  <c r="Z69" i="13"/>
  <c r="AB69" i="13"/>
  <c r="AD69" i="13"/>
  <c r="AH69" i="13"/>
  <c r="AI69" i="13"/>
  <c r="AJ69" i="13"/>
  <c r="AK69" i="13"/>
  <c r="AL69" i="13"/>
  <c r="AO69" i="13"/>
  <c r="AP69" i="13"/>
  <c r="Y70" i="13"/>
  <c r="AA70" i="13" s="1"/>
  <c r="Z70" i="13"/>
  <c r="AB70" i="13"/>
  <c r="AD70" i="13"/>
  <c r="AH70" i="13"/>
  <c r="AI70" i="13"/>
  <c r="AJ70" i="13"/>
  <c r="AK70" i="13"/>
  <c r="AL70" i="13"/>
  <c r="AO70" i="13"/>
  <c r="AP70" i="13"/>
  <c r="Y71" i="13"/>
  <c r="AA71" i="13" s="1"/>
  <c r="Z71" i="13"/>
  <c r="AB71" i="13"/>
  <c r="AD71" i="13"/>
  <c r="AH71" i="13"/>
  <c r="AI71" i="13"/>
  <c r="AJ71" i="13"/>
  <c r="AK71" i="13"/>
  <c r="AL71" i="13"/>
  <c r="AO71" i="13"/>
  <c r="AP71" i="13"/>
  <c r="Y72" i="13"/>
  <c r="AA72" i="13" s="1"/>
  <c r="Z72" i="13"/>
  <c r="AB72" i="13"/>
  <c r="AD72" i="13"/>
  <c r="AH72" i="13"/>
  <c r="AI72" i="13"/>
  <c r="AJ72" i="13"/>
  <c r="AK72" i="13"/>
  <c r="AL72" i="13"/>
  <c r="AO72" i="13"/>
  <c r="AP72" i="13"/>
  <c r="Y73" i="13"/>
  <c r="AA73" i="13" s="1"/>
  <c r="Z73" i="13"/>
  <c r="AB73" i="13"/>
  <c r="AD73" i="13"/>
  <c r="AH73" i="13"/>
  <c r="AI73" i="13"/>
  <c r="AJ73" i="13"/>
  <c r="AK73" i="13"/>
  <c r="AL73" i="13"/>
  <c r="AO73" i="13"/>
  <c r="AP73" i="13"/>
  <c r="Y74" i="13"/>
  <c r="AA74" i="13" s="1"/>
  <c r="Z74" i="13"/>
  <c r="AB74" i="13"/>
  <c r="AD74" i="13"/>
  <c r="AH74" i="13"/>
  <c r="AI74" i="13"/>
  <c r="AJ74" i="13"/>
  <c r="AK74" i="13"/>
  <c r="AL74" i="13"/>
  <c r="AO74" i="13"/>
  <c r="AP74" i="13"/>
  <c r="Y75" i="13"/>
  <c r="AA75" i="13" s="1"/>
  <c r="Z75" i="13"/>
  <c r="AB75" i="13"/>
  <c r="AD75" i="13"/>
  <c r="AH75" i="13"/>
  <c r="AI75" i="13"/>
  <c r="AJ75" i="13"/>
  <c r="AK75" i="13"/>
  <c r="AL75" i="13"/>
  <c r="AO75" i="13"/>
  <c r="AP75" i="13"/>
  <c r="Y76" i="13"/>
  <c r="AA76" i="13" s="1"/>
  <c r="Z76" i="13"/>
  <c r="AB76" i="13"/>
  <c r="AD76" i="13"/>
  <c r="AH76" i="13"/>
  <c r="AI76" i="13"/>
  <c r="AJ76" i="13"/>
  <c r="AK76" i="13"/>
  <c r="AL76" i="13"/>
  <c r="AO76" i="13"/>
  <c r="AP76" i="13"/>
  <c r="Y77" i="13"/>
  <c r="AA77" i="13" s="1"/>
  <c r="Z77" i="13"/>
  <c r="AB77" i="13"/>
  <c r="AD77" i="13"/>
  <c r="AH77" i="13"/>
  <c r="AI77" i="13"/>
  <c r="AJ77" i="13"/>
  <c r="AK77" i="13"/>
  <c r="AL77" i="13"/>
  <c r="AO77" i="13"/>
  <c r="AP77" i="13"/>
  <c r="Y78" i="13"/>
  <c r="AA78" i="13" s="1"/>
  <c r="Z78" i="13"/>
  <c r="AB78" i="13"/>
  <c r="AD78" i="13"/>
  <c r="AH78" i="13"/>
  <c r="AI78" i="13"/>
  <c r="AJ78" i="13"/>
  <c r="AK78" i="13"/>
  <c r="AL78" i="13"/>
  <c r="AO78" i="13"/>
  <c r="AP78" i="13"/>
  <c r="Y79" i="13"/>
  <c r="AA79" i="13" s="1"/>
  <c r="Z79" i="13"/>
  <c r="AB79" i="13"/>
  <c r="AD79" i="13"/>
  <c r="AH79" i="13"/>
  <c r="AI79" i="13"/>
  <c r="AJ79" i="13"/>
  <c r="AK79" i="13"/>
  <c r="AL79" i="13"/>
  <c r="AO79" i="13"/>
  <c r="AP79" i="13"/>
  <c r="Y80" i="13"/>
  <c r="AA80" i="13" s="1"/>
  <c r="Z80" i="13"/>
  <c r="AB80" i="13"/>
  <c r="AD80" i="13"/>
  <c r="AH80" i="13"/>
  <c r="AI80" i="13"/>
  <c r="AJ80" i="13"/>
  <c r="AK80" i="13"/>
  <c r="AL80" i="13"/>
  <c r="AO80" i="13"/>
  <c r="AP80" i="13"/>
  <c r="Y81" i="13"/>
  <c r="AA81" i="13" s="1"/>
  <c r="Z81" i="13"/>
  <c r="AB81" i="13"/>
  <c r="AD81" i="13"/>
  <c r="AH81" i="13"/>
  <c r="AI81" i="13"/>
  <c r="AJ81" i="13"/>
  <c r="AK81" i="13"/>
  <c r="AL81" i="13"/>
  <c r="AO81" i="13"/>
  <c r="AP81" i="13"/>
  <c r="Y82" i="13"/>
  <c r="AA82" i="13" s="1"/>
  <c r="Z82" i="13"/>
  <c r="AB82" i="13"/>
  <c r="AD82" i="13"/>
  <c r="AH82" i="13"/>
  <c r="AI82" i="13"/>
  <c r="AJ82" i="13"/>
  <c r="AK82" i="13"/>
  <c r="AL82" i="13"/>
  <c r="AO82" i="13"/>
  <c r="AP82" i="13"/>
  <c r="Y83" i="13"/>
  <c r="AA83" i="13" s="1"/>
  <c r="Z83" i="13"/>
  <c r="AB83" i="13"/>
  <c r="AD83" i="13"/>
  <c r="AH83" i="13"/>
  <c r="AI83" i="13"/>
  <c r="AJ83" i="13"/>
  <c r="AK83" i="13"/>
  <c r="AL83" i="13"/>
  <c r="AO83" i="13"/>
  <c r="AP83" i="13"/>
  <c r="Y84" i="13"/>
  <c r="AA84" i="13" s="1"/>
  <c r="Z84" i="13"/>
  <c r="AB84" i="13"/>
  <c r="AD84" i="13"/>
  <c r="AH84" i="13"/>
  <c r="AI84" i="13"/>
  <c r="AJ84" i="13"/>
  <c r="AK84" i="13"/>
  <c r="AL84" i="13"/>
  <c r="AO84" i="13"/>
  <c r="AP84" i="13"/>
  <c r="Y85" i="13"/>
  <c r="AA85" i="13" s="1"/>
  <c r="Z85" i="13"/>
  <c r="AB85" i="13"/>
  <c r="AD85" i="13"/>
  <c r="AH85" i="13"/>
  <c r="AI85" i="13"/>
  <c r="AJ85" i="13"/>
  <c r="AK85" i="13"/>
  <c r="AL85" i="13"/>
  <c r="AO85" i="13"/>
  <c r="AP85" i="13"/>
  <c r="Y86" i="13"/>
  <c r="AA86" i="13" s="1"/>
  <c r="Z86" i="13"/>
  <c r="AB86" i="13"/>
  <c r="AD86" i="13"/>
  <c r="AH86" i="13"/>
  <c r="AI86" i="13"/>
  <c r="AJ86" i="13"/>
  <c r="AK86" i="13"/>
  <c r="AL86" i="13"/>
  <c r="AO86" i="13"/>
  <c r="AP86" i="13"/>
  <c r="Y87" i="13"/>
  <c r="AA87" i="13" s="1"/>
  <c r="Z87" i="13"/>
  <c r="AB87" i="13"/>
  <c r="AD87" i="13"/>
  <c r="AH87" i="13"/>
  <c r="AI87" i="13"/>
  <c r="AJ87" i="13"/>
  <c r="AK87" i="13"/>
  <c r="AL87" i="13"/>
  <c r="AO87" i="13"/>
  <c r="AP87" i="13"/>
  <c r="Y88" i="13"/>
  <c r="AA88" i="13" s="1"/>
  <c r="Z88" i="13"/>
  <c r="AB88" i="13"/>
  <c r="AD88" i="13"/>
  <c r="AH88" i="13"/>
  <c r="AI88" i="13"/>
  <c r="AJ88" i="13"/>
  <c r="AK88" i="13"/>
  <c r="AL88" i="13"/>
  <c r="AO88" i="13"/>
  <c r="AP88" i="13"/>
  <c r="Y89" i="13"/>
  <c r="AA89" i="13" s="1"/>
  <c r="Z89" i="13"/>
  <c r="AB89" i="13"/>
  <c r="AD89" i="13"/>
  <c r="AH89" i="13"/>
  <c r="AI89" i="13"/>
  <c r="AJ89" i="13"/>
  <c r="AK89" i="13"/>
  <c r="AL89" i="13"/>
  <c r="AO89" i="13"/>
  <c r="AP89" i="13"/>
  <c r="Y90" i="13"/>
  <c r="AA90" i="13" s="1"/>
  <c r="Z90" i="13"/>
  <c r="AB90" i="13"/>
  <c r="AD90" i="13"/>
  <c r="AH90" i="13"/>
  <c r="AI90" i="13"/>
  <c r="AJ90" i="13"/>
  <c r="AK90" i="13"/>
  <c r="AL90" i="13"/>
  <c r="AO90" i="13"/>
  <c r="AP90" i="13"/>
  <c r="Y91" i="13"/>
  <c r="AA91" i="13" s="1"/>
  <c r="Z91" i="13"/>
  <c r="AB91" i="13"/>
  <c r="AD91" i="13"/>
  <c r="AH91" i="13"/>
  <c r="AI91" i="13"/>
  <c r="AJ91" i="13"/>
  <c r="AK91" i="13"/>
  <c r="AL91" i="13"/>
  <c r="AO91" i="13"/>
  <c r="AP91" i="13"/>
  <c r="Y92" i="13"/>
  <c r="AA92" i="13" s="1"/>
  <c r="Z92" i="13"/>
  <c r="AB92" i="13"/>
  <c r="AD92" i="13"/>
  <c r="AH92" i="13"/>
  <c r="AI92" i="13"/>
  <c r="AJ92" i="13"/>
  <c r="AK92" i="13"/>
  <c r="AL92" i="13"/>
  <c r="AO92" i="13"/>
  <c r="AP92" i="13"/>
  <c r="Y93" i="13"/>
  <c r="AA93" i="13" s="1"/>
  <c r="Z93" i="13"/>
  <c r="AB93" i="13"/>
  <c r="AD93" i="13"/>
  <c r="AH93" i="13"/>
  <c r="AI93" i="13"/>
  <c r="AJ93" i="13"/>
  <c r="AK93" i="13"/>
  <c r="AL93" i="13"/>
  <c r="AO93" i="13"/>
  <c r="AP93" i="13"/>
  <c r="Y94" i="13"/>
  <c r="AA94" i="13" s="1"/>
  <c r="Z94" i="13"/>
  <c r="AB94" i="13"/>
  <c r="AD94" i="13"/>
  <c r="AH94" i="13"/>
  <c r="AI94" i="13"/>
  <c r="AJ94" i="13"/>
  <c r="AK94" i="13"/>
  <c r="AL94" i="13"/>
  <c r="AO94" i="13"/>
  <c r="AP94" i="13"/>
  <c r="Y95" i="13"/>
  <c r="AA95" i="13" s="1"/>
  <c r="Z95" i="13"/>
  <c r="AB95" i="13"/>
  <c r="AD95" i="13"/>
  <c r="AH95" i="13"/>
  <c r="AI95" i="13"/>
  <c r="AJ95" i="13"/>
  <c r="AK95" i="13"/>
  <c r="AL95" i="13"/>
  <c r="AO95" i="13"/>
  <c r="AP95" i="13"/>
  <c r="Y96" i="13"/>
  <c r="AA96" i="13" s="1"/>
  <c r="Z96" i="13"/>
  <c r="AB96" i="13"/>
  <c r="AD96" i="13"/>
  <c r="AH96" i="13"/>
  <c r="AI96" i="13"/>
  <c r="AJ96" i="13"/>
  <c r="AK96" i="13"/>
  <c r="AL96" i="13"/>
  <c r="AO96" i="13"/>
  <c r="AP96" i="13"/>
  <c r="Y97" i="13"/>
  <c r="AA97" i="13" s="1"/>
  <c r="Z97" i="13"/>
  <c r="AB97" i="13"/>
  <c r="AD97" i="13"/>
  <c r="AH97" i="13"/>
  <c r="AI97" i="13"/>
  <c r="AJ97" i="13"/>
  <c r="AK97" i="13"/>
  <c r="AL97" i="13"/>
  <c r="AO97" i="13"/>
  <c r="AP97" i="13"/>
  <c r="Y98" i="13"/>
  <c r="AA98" i="13" s="1"/>
  <c r="Z98" i="13"/>
  <c r="AB98" i="13"/>
  <c r="AD98" i="13"/>
  <c r="AH98" i="13"/>
  <c r="AI98" i="13"/>
  <c r="AJ98" i="13"/>
  <c r="AK98" i="13"/>
  <c r="AL98" i="13"/>
  <c r="AO98" i="13"/>
  <c r="AP98" i="13"/>
  <c r="Y99" i="13"/>
  <c r="AA99" i="13" s="1"/>
  <c r="Z99" i="13"/>
  <c r="AB99" i="13"/>
  <c r="AD99" i="13"/>
  <c r="AH99" i="13"/>
  <c r="AI99" i="13"/>
  <c r="AJ99" i="13"/>
  <c r="AK99" i="13"/>
  <c r="AL99" i="13"/>
  <c r="AO99" i="13"/>
  <c r="AP99" i="13"/>
  <c r="Y100" i="13"/>
  <c r="AA100" i="13" s="1"/>
  <c r="Z100" i="13"/>
  <c r="AB100" i="13"/>
  <c r="AD100" i="13"/>
  <c r="AH100" i="13"/>
  <c r="AI100" i="13"/>
  <c r="AJ100" i="13"/>
  <c r="AK100" i="13"/>
  <c r="AL100" i="13"/>
  <c r="AO100" i="13"/>
  <c r="AP100" i="13"/>
  <c r="Y101" i="13"/>
  <c r="AA101" i="13" s="1"/>
  <c r="Z101" i="13"/>
  <c r="AB101" i="13"/>
  <c r="AD101" i="13"/>
  <c r="AH101" i="13"/>
  <c r="AI101" i="13"/>
  <c r="AJ101" i="13"/>
  <c r="AK101" i="13"/>
  <c r="AL101" i="13"/>
  <c r="AO101" i="13"/>
  <c r="AP101" i="13"/>
  <c r="Y102" i="13"/>
  <c r="AA102" i="13" s="1"/>
  <c r="Z102" i="13"/>
  <c r="AB102" i="13"/>
  <c r="AD102" i="13"/>
  <c r="AH102" i="13"/>
  <c r="AI102" i="13"/>
  <c r="AJ102" i="13"/>
  <c r="AK102" i="13"/>
  <c r="AL102" i="13"/>
  <c r="AO102" i="13"/>
  <c r="AP102" i="13"/>
  <c r="Y103" i="13"/>
  <c r="AA103" i="13" s="1"/>
  <c r="Z103" i="13"/>
  <c r="AB103" i="13"/>
  <c r="AD103" i="13"/>
  <c r="AH103" i="13"/>
  <c r="AI103" i="13"/>
  <c r="AJ103" i="13"/>
  <c r="AK103" i="13"/>
  <c r="AL103" i="13"/>
  <c r="AO103" i="13"/>
  <c r="AP103" i="13"/>
  <c r="Y104" i="13"/>
  <c r="AA104" i="13" s="1"/>
  <c r="Z104" i="13"/>
  <c r="AB104" i="13"/>
  <c r="AD104" i="13"/>
  <c r="AH104" i="13"/>
  <c r="AI104" i="13"/>
  <c r="AJ104" i="13"/>
  <c r="AK104" i="13"/>
  <c r="AL104" i="13"/>
  <c r="AO104" i="13"/>
  <c r="AP104" i="13"/>
  <c r="Y105" i="13"/>
  <c r="AA105" i="13" s="1"/>
  <c r="Z105" i="13"/>
  <c r="AB105" i="13"/>
  <c r="AD105" i="13"/>
  <c r="AH105" i="13"/>
  <c r="AI105" i="13"/>
  <c r="AJ105" i="13"/>
  <c r="AK105" i="13"/>
  <c r="AL105" i="13"/>
  <c r="AO105" i="13"/>
  <c r="AP105" i="13"/>
  <c r="Y106" i="13"/>
  <c r="AA106" i="13" s="1"/>
  <c r="Z106" i="13"/>
  <c r="AB106" i="13"/>
  <c r="AD106" i="13"/>
  <c r="AH106" i="13"/>
  <c r="AI106" i="13"/>
  <c r="AJ106" i="13"/>
  <c r="AK106" i="13"/>
  <c r="AL106" i="13"/>
  <c r="AO106" i="13"/>
  <c r="AP106" i="13"/>
  <c r="Y107" i="13"/>
  <c r="AA107" i="13" s="1"/>
  <c r="Z107" i="13"/>
  <c r="AB107" i="13"/>
  <c r="AD107" i="13"/>
  <c r="AH107" i="13"/>
  <c r="AI107" i="13"/>
  <c r="AJ107" i="13"/>
  <c r="AK107" i="13"/>
  <c r="AL107" i="13"/>
  <c r="AO107" i="13"/>
  <c r="AP107" i="13"/>
  <c r="Y108" i="13"/>
  <c r="AA108" i="13" s="1"/>
  <c r="Z108" i="13"/>
  <c r="AB108" i="13"/>
  <c r="AD108" i="13"/>
  <c r="AH108" i="13"/>
  <c r="AI108" i="13"/>
  <c r="AJ108" i="13"/>
  <c r="AK108" i="13"/>
  <c r="AL108" i="13"/>
  <c r="AO108" i="13"/>
  <c r="AP108" i="13"/>
  <c r="Y109" i="13"/>
  <c r="AA109" i="13" s="1"/>
  <c r="Z109" i="13"/>
  <c r="AB109" i="13"/>
  <c r="AD109" i="13"/>
  <c r="AH109" i="13"/>
  <c r="AI109" i="13"/>
  <c r="AJ109" i="13"/>
  <c r="AK109" i="13"/>
  <c r="AL109" i="13"/>
  <c r="AO109" i="13"/>
  <c r="AP109" i="13"/>
  <c r="Y110" i="13"/>
  <c r="AA110" i="13" s="1"/>
  <c r="Z110" i="13"/>
  <c r="AB110" i="13"/>
  <c r="AD110" i="13"/>
  <c r="AH110" i="13"/>
  <c r="AI110" i="13"/>
  <c r="AJ110" i="13"/>
  <c r="AK110" i="13"/>
  <c r="AL110" i="13"/>
  <c r="AO110" i="13"/>
  <c r="AP110" i="13"/>
  <c r="Y111" i="13"/>
  <c r="AA111" i="13" s="1"/>
  <c r="Z111" i="13"/>
  <c r="AB111" i="13"/>
  <c r="AD111" i="13"/>
  <c r="AH111" i="13"/>
  <c r="AI111" i="13"/>
  <c r="AJ111" i="13"/>
  <c r="AK111" i="13"/>
  <c r="AL111" i="13"/>
  <c r="AO111" i="13"/>
  <c r="AP111" i="13"/>
  <c r="Y112" i="13"/>
  <c r="AA112" i="13" s="1"/>
  <c r="Z112" i="13"/>
  <c r="AB112" i="13"/>
  <c r="AD112" i="13"/>
  <c r="AH112" i="13"/>
  <c r="AI112" i="13"/>
  <c r="AJ112" i="13"/>
  <c r="AK112" i="13"/>
  <c r="AL112" i="13"/>
  <c r="AO112" i="13"/>
  <c r="AP112" i="13"/>
  <c r="Y113" i="13"/>
  <c r="AA113" i="13" s="1"/>
  <c r="Z113" i="13"/>
  <c r="AB113" i="13"/>
  <c r="AD113" i="13"/>
  <c r="AH113" i="13"/>
  <c r="AI113" i="13"/>
  <c r="AJ113" i="13"/>
  <c r="AK113" i="13"/>
  <c r="AL113" i="13"/>
  <c r="AO113" i="13"/>
  <c r="AP113" i="13"/>
  <c r="Y114" i="13"/>
  <c r="AA114" i="13" s="1"/>
  <c r="Z114" i="13"/>
  <c r="AB114" i="13"/>
  <c r="AD114" i="13"/>
  <c r="AH114" i="13"/>
  <c r="AI114" i="13"/>
  <c r="AJ114" i="13"/>
  <c r="AK114" i="13"/>
  <c r="AL114" i="13"/>
  <c r="AO114" i="13"/>
  <c r="AP114" i="13"/>
  <c r="Y115" i="13"/>
  <c r="AA115" i="13" s="1"/>
  <c r="Z115" i="13"/>
  <c r="AB115" i="13"/>
  <c r="AD115" i="13"/>
  <c r="AH115" i="13"/>
  <c r="AI115" i="13"/>
  <c r="AJ115" i="13"/>
  <c r="AK115" i="13"/>
  <c r="AL115" i="13"/>
  <c r="AO115" i="13"/>
  <c r="AP115" i="13"/>
  <c r="Y116" i="13"/>
  <c r="AA116" i="13" s="1"/>
  <c r="Z116" i="13"/>
  <c r="AB116" i="13"/>
  <c r="AD116" i="13"/>
  <c r="AH116" i="13"/>
  <c r="AI116" i="13"/>
  <c r="AJ116" i="13"/>
  <c r="AK116" i="13"/>
  <c r="AL116" i="13"/>
  <c r="AO116" i="13"/>
  <c r="AP116" i="13"/>
  <c r="Y117" i="13"/>
  <c r="AA117" i="13" s="1"/>
  <c r="Z117" i="13"/>
  <c r="AB117" i="13"/>
  <c r="AD117" i="13"/>
  <c r="AH117" i="13"/>
  <c r="AI117" i="13"/>
  <c r="AJ117" i="13"/>
  <c r="AK117" i="13"/>
  <c r="AL117" i="13"/>
  <c r="AO117" i="13"/>
  <c r="AP117" i="13"/>
  <c r="Y118" i="13"/>
  <c r="AA118" i="13" s="1"/>
  <c r="Z118" i="13"/>
  <c r="AB118" i="13"/>
  <c r="AD118" i="13"/>
  <c r="AH118" i="13"/>
  <c r="AI118" i="13"/>
  <c r="AJ118" i="13"/>
  <c r="AK118" i="13"/>
  <c r="AL118" i="13"/>
  <c r="AO118" i="13"/>
  <c r="AP118" i="13"/>
  <c r="Y119" i="13"/>
  <c r="AA119" i="13" s="1"/>
  <c r="Z119" i="13"/>
  <c r="AB119" i="13"/>
  <c r="AD119" i="13"/>
  <c r="AH119" i="13"/>
  <c r="AI119" i="13"/>
  <c r="AJ119" i="13"/>
  <c r="AK119" i="13"/>
  <c r="AL119" i="13"/>
  <c r="AO119" i="13"/>
  <c r="AP119" i="13"/>
  <c r="Y120" i="13"/>
  <c r="AA120" i="13" s="1"/>
  <c r="Z120" i="13"/>
  <c r="AB120" i="13"/>
  <c r="AD120" i="13"/>
  <c r="AH120" i="13"/>
  <c r="AI120" i="13"/>
  <c r="AJ120" i="13"/>
  <c r="AK120" i="13"/>
  <c r="AL120" i="13"/>
  <c r="AO120" i="13"/>
  <c r="AP120" i="13"/>
  <c r="Y121" i="13"/>
  <c r="AA121" i="13" s="1"/>
  <c r="Z121" i="13"/>
  <c r="AB121" i="13"/>
  <c r="AD121" i="13"/>
  <c r="AH121" i="13"/>
  <c r="AI121" i="13"/>
  <c r="AJ121" i="13"/>
  <c r="AK121" i="13"/>
  <c r="AL121" i="13"/>
  <c r="AO121" i="13"/>
  <c r="AP121" i="13"/>
  <c r="Y122" i="13"/>
  <c r="AA122" i="13" s="1"/>
  <c r="Z122" i="13"/>
  <c r="AB122" i="13"/>
  <c r="AD122" i="13"/>
  <c r="AH122" i="13"/>
  <c r="AI122" i="13"/>
  <c r="AJ122" i="13"/>
  <c r="AK122" i="13"/>
  <c r="AL122" i="13"/>
  <c r="AO122" i="13"/>
  <c r="AP122" i="13"/>
  <c r="Y123" i="13"/>
  <c r="AA123" i="13" s="1"/>
  <c r="Z123" i="13"/>
  <c r="AB123" i="13"/>
  <c r="AD123" i="13"/>
  <c r="AH123" i="13"/>
  <c r="AI123" i="13"/>
  <c r="AJ123" i="13"/>
  <c r="AK123" i="13"/>
  <c r="AL123" i="13"/>
  <c r="AO123" i="13"/>
  <c r="AP123" i="13"/>
  <c r="Y124" i="13"/>
  <c r="AA124" i="13" s="1"/>
  <c r="Z124" i="13"/>
  <c r="AB124" i="13"/>
  <c r="AD124" i="13"/>
  <c r="AH124" i="13"/>
  <c r="AI124" i="13"/>
  <c r="AJ124" i="13"/>
  <c r="AK124" i="13"/>
  <c r="AL124" i="13"/>
  <c r="AO124" i="13"/>
  <c r="AP124" i="13"/>
  <c r="Y125" i="13"/>
  <c r="AA125" i="13" s="1"/>
  <c r="Z125" i="13"/>
  <c r="AB125" i="13"/>
  <c r="AD125" i="13"/>
  <c r="AH125" i="13"/>
  <c r="AI125" i="13"/>
  <c r="AJ125" i="13"/>
  <c r="AK125" i="13"/>
  <c r="AL125" i="13"/>
  <c r="AO125" i="13"/>
  <c r="AP125" i="13"/>
  <c r="Y126" i="13"/>
  <c r="AA126" i="13" s="1"/>
  <c r="Z126" i="13"/>
  <c r="AB126" i="13"/>
  <c r="AD126" i="13"/>
  <c r="AH126" i="13"/>
  <c r="AI126" i="13"/>
  <c r="AJ126" i="13"/>
  <c r="AK126" i="13"/>
  <c r="AL126" i="13"/>
  <c r="AO126" i="13"/>
  <c r="AP126" i="13"/>
  <c r="Y127" i="13"/>
  <c r="AA127" i="13" s="1"/>
  <c r="Z127" i="13"/>
  <c r="AB127" i="13"/>
  <c r="AD127" i="13"/>
  <c r="AH127" i="13"/>
  <c r="AI127" i="13"/>
  <c r="AJ127" i="13"/>
  <c r="AK127" i="13"/>
  <c r="AL127" i="13"/>
  <c r="AO127" i="13"/>
  <c r="AP127" i="13"/>
  <c r="Y128" i="13"/>
  <c r="AA128" i="13" s="1"/>
  <c r="Z128" i="13"/>
  <c r="AB128" i="13"/>
  <c r="AD128" i="13"/>
  <c r="AH128" i="13"/>
  <c r="AI128" i="13"/>
  <c r="AJ128" i="13"/>
  <c r="AK128" i="13"/>
  <c r="AL128" i="13"/>
  <c r="AO128" i="13"/>
  <c r="AP128" i="13"/>
  <c r="Y129" i="13"/>
  <c r="AA129" i="13" s="1"/>
  <c r="Z129" i="13"/>
  <c r="AB129" i="13"/>
  <c r="AD129" i="13"/>
  <c r="AH129" i="13"/>
  <c r="AI129" i="13"/>
  <c r="AJ129" i="13"/>
  <c r="AK129" i="13"/>
  <c r="AL129" i="13"/>
  <c r="AO129" i="13"/>
  <c r="AP129" i="13"/>
  <c r="Y130" i="13"/>
  <c r="AA130" i="13" s="1"/>
  <c r="Z130" i="13"/>
  <c r="AB130" i="13"/>
  <c r="AD130" i="13"/>
  <c r="AH130" i="13"/>
  <c r="AI130" i="13"/>
  <c r="AJ130" i="13"/>
  <c r="AK130" i="13"/>
  <c r="AL130" i="13"/>
  <c r="AO130" i="13"/>
  <c r="AP130" i="13"/>
  <c r="Y131" i="13"/>
  <c r="AA131" i="13" s="1"/>
  <c r="Z131" i="13"/>
  <c r="AB131" i="13"/>
  <c r="AD131" i="13"/>
  <c r="AH131" i="13"/>
  <c r="AI131" i="13"/>
  <c r="AJ131" i="13"/>
  <c r="AK131" i="13"/>
  <c r="AL131" i="13"/>
  <c r="AO131" i="13"/>
  <c r="AP131" i="13"/>
  <c r="Y132" i="13"/>
  <c r="AA132" i="13" s="1"/>
  <c r="Z132" i="13"/>
  <c r="AB132" i="13"/>
  <c r="AD132" i="13"/>
  <c r="AH132" i="13"/>
  <c r="AI132" i="13"/>
  <c r="AJ132" i="13"/>
  <c r="AK132" i="13"/>
  <c r="AL132" i="13"/>
  <c r="AO132" i="13"/>
  <c r="AP132" i="13"/>
  <c r="Y133" i="13"/>
  <c r="AA133" i="13" s="1"/>
  <c r="Z133" i="13"/>
  <c r="AB133" i="13"/>
  <c r="AD133" i="13"/>
  <c r="AH133" i="13"/>
  <c r="AI133" i="13"/>
  <c r="AJ133" i="13"/>
  <c r="AK133" i="13"/>
  <c r="AL133" i="13"/>
  <c r="AO133" i="13"/>
  <c r="AP133" i="13"/>
  <c r="Y134" i="13"/>
  <c r="AA134" i="13" s="1"/>
  <c r="Z134" i="13"/>
  <c r="AB134" i="13"/>
  <c r="AD134" i="13"/>
  <c r="AH134" i="13"/>
  <c r="AI134" i="13"/>
  <c r="AJ134" i="13"/>
  <c r="AK134" i="13"/>
  <c r="AL134" i="13"/>
  <c r="AO134" i="13"/>
  <c r="AP134" i="13"/>
  <c r="Y135" i="13"/>
  <c r="AA135" i="13" s="1"/>
  <c r="Z135" i="13"/>
  <c r="AB135" i="13"/>
  <c r="AD135" i="13"/>
  <c r="AH135" i="13"/>
  <c r="AI135" i="13"/>
  <c r="AJ135" i="13"/>
  <c r="AK135" i="13"/>
  <c r="AL135" i="13"/>
  <c r="AO135" i="13"/>
  <c r="AP135" i="13"/>
  <c r="Y136" i="13"/>
  <c r="AA136" i="13" s="1"/>
  <c r="Z136" i="13"/>
  <c r="AB136" i="13"/>
  <c r="AD136" i="13"/>
  <c r="AH136" i="13"/>
  <c r="AI136" i="13"/>
  <c r="AJ136" i="13"/>
  <c r="AK136" i="13"/>
  <c r="AL136" i="13"/>
  <c r="AO136" i="13"/>
  <c r="AP136" i="13"/>
  <c r="Y137" i="13"/>
  <c r="AA137" i="13" s="1"/>
  <c r="Z137" i="13"/>
  <c r="AB137" i="13"/>
  <c r="AD137" i="13"/>
  <c r="AH137" i="13"/>
  <c r="AI137" i="13"/>
  <c r="AJ137" i="13"/>
  <c r="AK137" i="13"/>
  <c r="AL137" i="13"/>
  <c r="AO137" i="13"/>
  <c r="AP137" i="13"/>
  <c r="Y138" i="13"/>
  <c r="AA138" i="13" s="1"/>
  <c r="Z138" i="13"/>
  <c r="AB138" i="13"/>
  <c r="AD138" i="13"/>
  <c r="AH138" i="13"/>
  <c r="AI138" i="13"/>
  <c r="AJ138" i="13"/>
  <c r="AK138" i="13"/>
  <c r="AL138" i="13"/>
  <c r="AO138" i="13"/>
  <c r="AP138" i="13"/>
  <c r="Y139" i="13"/>
  <c r="AA139" i="13" s="1"/>
  <c r="Z139" i="13"/>
  <c r="AB139" i="13"/>
  <c r="AD139" i="13"/>
  <c r="AH139" i="13"/>
  <c r="AI139" i="13"/>
  <c r="AJ139" i="13"/>
  <c r="AK139" i="13"/>
  <c r="AL139" i="13"/>
  <c r="AO139" i="13"/>
  <c r="AP139" i="13"/>
  <c r="Y140" i="13"/>
  <c r="AA140" i="13" s="1"/>
  <c r="Z140" i="13"/>
  <c r="AB140" i="13"/>
  <c r="AD140" i="13"/>
  <c r="AH140" i="13"/>
  <c r="AI140" i="13"/>
  <c r="AJ140" i="13"/>
  <c r="AK140" i="13"/>
  <c r="AL140" i="13"/>
  <c r="AO140" i="13"/>
  <c r="AP140" i="13"/>
  <c r="Y141" i="13"/>
  <c r="AA141" i="13" s="1"/>
  <c r="Z141" i="13"/>
  <c r="AB141" i="13"/>
  <c r="AD141" i="13"/>
  <c r="AH141" i="13"/>
  <c r="AI141" i="13"/>
  <c r="AJ141" i="13"/>
  <c r="AK141" i="13"/>
  <c r="AL141" i="13"/>
  <c r="AO141" i="13"/>
  <c r="AP141" i="13"/>
  <c r="Y142" i="13"/>
  <c r="AA142" i="13" s="1"/>
  <c r="Z142" i="13"/>
  <c r="AB142" i="13"/>
  <c r="AD142" i="13"/>
  <c r="AH142" i="13"/>
  <c r="AI142" i="13"/>
  <c r="AJ142" i="13"/>
  <c r="AK142" i="13"/>
  <c r="AL142" i="13"/>
  <c r="AO142" i="13"/>
  <c r="AP142" i="13"/>
  <c r="Y143" i="13"/>
  <c r="AA143" i="13" s="1"/>
  <c r="Z143" i="13"/>
  <c r="AB143" i="13"/>
  <c r="AD143" i="13"/>
  <c r="AH143" i="13"/>
  <c r="AI143" i="13"/>
  <c r="AJ143" i="13"/>
  <c r="AK143" i="13"/>
  <c r="AL143" i="13"/>
  <c r="AO143" i="13"/>
  <c r="AP143" i="13"/>
  <c r="Y144" i="13"/>
  <c r="AA144" i="13" s="1"/>
  <c r="Z144" i="13"/>
  <c r="AB144" i="13"/>
  <c r="AD144" i="13"/>
  <c r="AH144" i="13"/>
  <c r="AI144" i="13"/>
  <c r="AJ144" i="13"/>
  <c r="AK144" i="13"/>
  <c r="AL144" i="13"/>
  <c r="AO144" i="13"/>
  <c r="AP144" i="13"/>
  <c r="Y145" i="13"/>
  <c r="AA145" i="13" s="1"/>
  <c r="Z145" i="13"/>
  <c r="AB145" i="13"/>
  <c r="AD145" i="13"/>
  <c r="AH145" i="13"/>
  <c r="AI145" i="13"/>
  <c r="AJ145" i="13"/>
  <c r="AK145" i="13"/>
  <c r="AL145" i="13"/>
  <c r="AO145" i="13"/>
  <c r="AP145" i="13"/>
  <c r="Y146" i="13"/>
  <c r="AA146" i="13" s="1"/>
  <c r="Z146" i="13"/>
  <c r="AB146" i="13"/>
  <c r="AD146" i="13"/>
  <c r="AH146" i="13"/>
  <c r="AI146" i="13"/>
  <c r="AJ146" i="13"/>
  <c r="AK146" i="13"/>
  <c r="AL146" i="13"/>
  <c r="AO146" i="13"/>
  <c r="AP146" i="13"/>
  <c r="Y147" i="13"/>
  <c r="AA147" i="13" s="1"/>
  <c r="Z147" i="13"/>
  <c r="AB147" i="13"/>
  <c r="AD147" i="13"/>
  <c r="AH147" i="13"/>
  <c r="AI147" i="13"/>
  <c r="AJ147" i="13"/>
  <c r="AK147" i="13"/>
  <c r="AL147" i="13"/>
  <c r="AO147" i="13"/>
  <c r="AP147" i="13"/>
  <c r="Y148" i="13"/>
  <c r="AA148" i="13" s="1"/>
  <c r="Z148" i="13"/>
  <c r="AB148" i="13"/>
  <c r="AD148" i="13"/>
  <c r="AH148" i="13"/>
  <c r="AI148" i="13"/>
  <c r="AJ148" i="13"/>
  <c r="AK148" i="13"/>
  <c r="AL148" i="13"/>
  <c r="AO148" i="13"/>
  <c r="AP148" i="13"/>
  <c r="Y149" i="13"/>
  <c r="AA149" i="13" s="1"/>
  <c r="Z149" i="13"/>
  <c r="AB149" i="13"/>
  <c r="AD149" i="13"/>
  <c r="AH149" i="13"/>
  <c r="AI149" i="13"/>
  <c r="AJ149" i="13"/>
  <c r="AK149" i="13"/>
  <c r="AL149" i="13"/>
  <c r="AO149" i="13"/>
  <c r="AP149" i="13"/>
  <c r="Y150" i="13"/>
  <c r="AA150" i="13" s="1"/>
  <c r="Z150" i="13"/>
  <c r="AB150" i="13"/>
  <c r="AD150" i="13"/>
  <c r="AH150" i="13"/>
  <c r="AI150" i="13"/>
  <c r="AJ150" i="13"/>
  <c r="AK150" i="13"/>
  <c r="AL150" i="13"/>
  <c r="AO150" i="13"/>
  <c r="AP150" i="13"/>
  <c r="Y151" i="13"/>
  <c r="AA151" i="13" s="1"/>
  <c r="Z151" i="13"/>
  <c r="AB151" i="13"/>
  <c r="AD151" i="13"/>
  <c r="AH151" i="13"/>
  <c r="AI151" i="13"/>
  <c r="AJ151" i="13"/>
  <c r="AK151" i="13"/>
  <c r="AL151" i="13"/>
  <c r="AO151" i="13"/>
  <c r="AP151" i="13"/>
  <c r="Y152" i="13"/>
  <c r="AA152" i="13" s="1"/>
  <c r="Z152" i="13"/>
  <c r="AB152" i="13"/>
  <c r="AD152" i="13"/>
  <c r="AH152" i="13"/>
  <c r="AI152" i="13"/>
  <c r="AJ152" i="13"/>
  <c r="AK152" i="13"/>
  <c r="AL152" i="13"/>
  <c r="AO152" i="13"/>
  <c r="AP152" i="13"/>
  <c r="Y153" i="13"/>
  <c r="AA153" i="13" s="1"/>
  <c r="Z153" i="13"/>
  <c r="AB153" i="13"/>
  <c r="AD153" i="13"/>
  <c r="AH153" i="13"/>
  <c r="AI153" i="13"/>
  <c r="AJ153" i="13"/>
  <c r="AK153" i="13"/>
  <c r="AL153" i="13"/>
  <c r="AO153" i="13"/>
  <c r="AP153" i="13"/>
  <c r="Y154" i="13"/>
  <c r="AA154" i="13" s="1"/>
  <c r="Z154" i="13"/>
  <c r="AB154" i="13"/>
  <c r="AD154" i="13"/>
  <c r="AH154" i="13"/>
  <c r="AI154" i="13"/>
  <c r="AJ154" i="13"/>
  <c r="AK154" i="13"/>
  <c r="AL154" i="13"/>
  <c r="AO154" i="13"/>
  <c r="AP154" i="13"/>
  <c r="Y155" i="13"/>
  <c r="AA155" i="13" s="1"/>
  <c r="Z155" i="13"/>
  <c r="AB155" i="13"/>
  <c r="AD155" i="13"/>
  <c r="AH155" i="13"/>
  <c r="AI155" i="13"/>
  <c r="AJ155" i="13"/>
  <c r="AK155" i="13"/>
  <c r="AL155" i="13"/>
  <c r="AO155" i="13"/>
  <c r="AP155" i="13"/>
  <c r="Y156" i="13"/>
  <c r="AA156" i="13" s="1"/>
  <c r="Z156" i="13"/>
  <c r="AB156" i="13"/>
  <c r="AD156" i="13"/>
  <c r="AH156" i="13"/>
  <c r="AI156" i="13"/>
  <c r="AJ156" i="13"/>
  <c r="AK156" i="13"/>
  <c r="AL156" i="13"/>
  <c r="AO156" i="13"/>
  <c r="AP156" i="13"/>
  <c r="Y157" i="13"/>
  <c r="AA157" i="13" s="1"/>
  <c r="Z157" i="13"/>
  <c r="AB157" i="13"/>
  <c r="AD157" i="13"/>
  <c r="AH157" i="13"/>
  <c r="AI157" i="13"/>
  <c r="AJ157" i="13"/>
  <c r="AK157" i="13"/>
  <c r="AL157" i="13"/>
  <c r="AO157" i="13"/>
  <c r="AP157" i="13"/>
  <c r="Y158" i="13"/>
  <c r="AA158" i="13" s="1"/>
  <c r="Z158" i="13"/>
  <c r="AB158" i="13"/>
  <c r="AD158" i="13"/>
  <c r="AH158" i="13"/>
  <c r="AI158" i="13"/>
  <c r="AJ158" i="13"/>
  <c r="AK158" i="13"/>
  <c r="AL158" i="13"/>
  <c r="AO158" i="13"/>
  <c r="AP158" i="13"/>
  <c r="Y159" i="13"/>
  <c r="AA159" i="13" s="1"/>
  <c r="Z159" i="13"/>
  <c r="AB159" i="13"/>
  <c r="AD159" i="13"/>
  <c r="AH159" i="13"/>
  <c r="AI159" i="13"/>
  <c r="AJ159" i="13"/>
  <c r="AK159" i="13"/>
  <c r="AL159" i="13"/>
  <c r="AO159" i="13"/>
  <c r="AP159" i="13"/>
  <c r="Y160" i="13"/>
  <c r="AA160" i="13" s="1"/>
  <c r="Z160" i="13"/>
  <c r="AB160" i="13"/>
  <c r="AD160" i="13"/>
  <c r="AH160" i="13"/>
  <c r="AI160" i="13"/>
  <c r="AJ160" i="13"/>
  <c r="AK160" i="13"/>
  <c r="AL160" i="13"/>
  <c r="AO160" i="13"/>
  <c r="AP160" i="13"/>
  <c r="Y161" i="13"/>
  <c r="AA161" i="13" s="1"/>
  <c r="Z161" i="13"/>
  <c r="AB161" i="13"/>
  <c r="AD161" i="13"/>
  <c r="AH161" i="13"/>
  <c r="AI161" i="13"/>
  <c r="AJ161" i="13"/>
  <c r="AK161" i="13"/>
  <c r="AL161" i="13"/>
  <c r="AO161" i="13"/>
  <c r="AP161" i="13"/>
  <c r="Y162" i="13"/>
  <c r="AA162" i="13" s="1"/>
  <c r="Z162" i="13"/>
  <c r="AB162" i="13"/>
  <c r="AD162" i="13"/>
  <c r="AH162" i="13"/>
  <c r="AI162" i="13"/>
  <c r="AJ162" i="13"/>
  <c r="AK162" i="13"/>
  <c r="AL162" i="13"/>
  <c r="AO162" i="13"/>
  <c r="AP162" i="13"/>
  <c r="Y163" i="13"/>
  <c r="AA163" i="13" s="1"/>
  <c r="Z163" i="13"/>
  <c r="AB163" i="13"/>
  <c r="AD163" i="13"/>
  <c r="AH163" i="13"/>
  <c r="AI163" i="13"/>
  <c r="AJ163" i="13"/>
  <c r="AK163" i="13"/>
  <c r="AL163" i="13"/>
  <c r="AO163" i="13"/>
  <c r="AP163" i="13"/>
  <c r="Y164" i="13"/>
  <c r="AA164" i="13" s="1"/>
  <c r="Z164" i="13"/>
  <c r="AB164" i="13"/>
  <c r="AD164" i="13"/>
  <c r="AH164" i="13"/>
  <c r="AI164" i="13"/>
  <c r="AJ164" i="13"/>
  <c r="AK164" i="13"/>
  <c r="AL164" i="13"/>
  <c r="AO164" i="13"/>
  <c r="AP164" i="13"/>
  <c r="Y165" i="13"/>
  <c r="AA165" i="13" s="1"/>
  <c r="Z165" i="13"/>
  <c r="AB165" i="13"/>
  <c r="AD165" i="13"/>
  <c r="AH165" i="13"/>
  <c r="AI165" i="13"/>
  <c r="AJ165" i="13"/>
  <c r="AK165" i="13"/>
  <c r="AL165" i="13"/>
  <c r="AO165" i="13"/>
  <c r="AP165" i="13"/>
  <c r="Y166" i="13"/>
  <c r="AA166" i="13" s="1"/>
  <c r="Z166" i="13"/>
  <c r="AB166" i="13"/>
  <c r="AD166" i="13"/>
  <c r="AH166" i="13"/>
  <c r="AI166" i="13"/>
  <c r="AJ166" i="13"/>
  <c r="AK166" i="13"/>
  <c r="AL166" i="13"/>
  <c r="AO166" i="13"/>
  <c r="AP166" i="13"/>
  <c r="Y167" i="13"/>
  <c r="AA167" i="13" s="1"/>
  <c r="Z167" i="13"/>
  <c r="AB167" i="13"/>
  <c r="AD167" i="13"/>
  <c r="AH167" i="13"/>
  <c r="AI167" i="13"/>
  <c r="AJ167" i="13"/>
  <c r="AK167" i="13"/>
  <c r="AL167" i="13"/>
  <c r="AO167" i="13"/>
  <c r="AP167" i="13"/>
  <c r="Y168" i="13"/>
  <c r="AA168" i="13" s="1"/>
  <c r="Z168" i="13"/>
  <c r="AB168" i="13"/>
  <c r="AD168" i="13"/>
  <c r="AH168" i="13"/>
  <c r="AI168" i="13"/>
  <c r="AJ168" i="13"/>
  <c r="AK168" i="13"/>
  <c r="AL168" i="13"/>
  <c r="AO168" i="13"/>
  <c r="AP168" i="13"/>
  <c r="Y169" i="13"/>
  <c r="AA169" i="13" s="1"/>
  <c r="Z169" i="13"/>
  <c r="AB169" i="13"/>
  <c r="AD169" i="13"/>
  <c r="AH169" i="13"/>
  <c r="AI169" i="13"/>
  <c r="AJ169" i="13"/>
  <c r="AK169" i="13"/>
  <c r="AL169" i="13"/>
  <c r="AO169" i="13"/>
  <c r="AP169" i="13"/>
  <c r="Y170" i="13"/>
  <c r="AA170" i="13" s="1"/>
  <c r="Z170" i="13"/>
  <c r="AB170" i="13"/>
  <c r="AD170" i="13"/>
  <c r="AH170" i="13"/>
  <c r="AI170" i="13"/>
  <c r="AJ170" i="13"/>
  <c r="AK170" i="13"/>
  <c r="AL170" i="13"/>
  <c r="AO170" i="13"/>
  <c r="AP170" i="13"/>
  <c r="Y171" i="13"/>
  <c r="AA171" i="13" s="1"/>
  <c r="Z171" i="13"/>
  <c r="AB171" i="13"/>
  <c r="AD171" i="13"/>
  <c r="AH171" i="13"/>
  <c r="AI171" i="13"/>
  <c r="AJ171" i="13"/>
  <c r="AK171" i="13"/>
  <c r="AL171" i="13"/>
  <c r="AO171" i="13"/>
  <c r="AP171" i="13"/>
  <c r="Y172" i="13"/>
  <c r="AA172" i="13" s="1"/>
  <c r="Z172" i="13"/>
  <c r="AB172" i="13"/>
  <c r="AD172" i="13"/>
  <c r="AH172" i="13"/>
  <c r="AI172" i="13"/>
  <c r="AJ172" i="13"/>
  <c r="AK172" i="13"/>
  <c r="AL172" i="13"/>
  <c r="AO172" i="13"/>
  <c r="AP172" i="13"/>
  <c r="Y173" i="13"/>
  <c r="AA173" i="13" s="1"/>
  <c r="Z173" i="13"/>
  <c r="AB173" i="13"/>
  <c r="AD173" i="13"/>
  <c r="AH173" i="13"/>
  <c r="AI173" i="13"/>
  <c r="AJ173" i="13"/>
  <c r="AK173" i="13"/>
  <c r="AL173" i="13"/>
  <c r="AO173" i="13"/>
  <c r="AP173" i="13"/>
  <c r="Y174" i="13"/>
  <c r="AA174" i="13" s="1"/>
  <c r="Z174" i="13"/>
  <c r="AB174" i="13"/>
  <c r="AD174" i="13"/>
  <c r="AH174" i="13"/>
  <c r="AI174" i="13"/>
  <c r="AJ174" i="13"/>
  <c r="AK174" i="13"/>
  <c r="AL174" i="13"/>
  <c r="AO174" i="13"/>
  <c r="AP174" i="13"/>
  <c r="Y175" i="13"/>
  <c r="AA175" i="13" s="1"/>
  <c r="Z175" i="13"/>
  <c r="AB175" i="13"/>
  <c r="AD175" i="13"/>
  <c r="AH175" i="13"/>
  <c r="AI175" i="13"/>
  <c r="AJ175" i="13"/>
  <c r="AK175" i="13"/>
  <c r="AL175" i="13"/>
  <c r="AO175" i="13"/>
  <c r="AP175" i="13"/>
  <c r="Y176" i="13"/>
  <c r="AA176" i="13" s="1"/>
  <c r="Z176" i="13"/>
  <c r="AB176" i="13"/>
  <c r="AD176" i="13"/>
  <c r="AH176" i="13"/>
  <c r="AI176" i="13"/>
  <c r="AJ176" i="13"/>
  <c r="AK176" i="13"/>
  <c r="AL176" i="13"/>
  <c r="AO176" i="13"/>
  <c r="AP176" i="13"/>
  <c r="Y177" i="13"/>
  <c r="AA177" i="13" s="1"/>
  <c r="Z177" i="13"/>
  <c r="AB177" i="13"/>
  <c r="AD177" i="13"/>
  <c r="AH177" i="13"/>
  <c r="AI177" i="13"/>
  <c r="AJ177" i="13"/>
  <c r="AK177" i="13"/>
  <c r="AL177" i="13"/>
  <c r="AO177" i="13"/>
  <c r="AP177" i="13"/>
  <c r="Y178" i="13"/>
  <c r="AA178" i="13" s="1"/>
  <c r="Z178" i="13"/>
  <c r="AB178" i="13"/>
  <c r="AD178" i="13"/>
  <c r="AH178" i="13"/>
  <c r="AI178" i="13"/>
  <c r="AJ178" i="13"/>
  <c r="AK178" i="13"/>
  <c r="AL178" i="13"/>
  <c r="AO178" i="13"/>
  <c r="AP178" i="13"/>
  <c r="Y179" i="13"/>
  <c r="AA179" i="13" s="1"/>
  <c r="Z179" i="13"/>
  <c r="AB179" i="13"/>
  <c r="AD179" i="13"/>
  <c r="AH179" i="13"/>
  <c r="AI179" i="13"/>
  <c r="AJ179" i="13"/>
  <c r="AK179" i="13"/>
  <c r="AL179" i="13"/>
  <c r="AO179" i="13"/>
  <c r="AP179" i="13"/>
  <c r="Y180" i="13"/>
  <c r="AA180" i="13" s="1"/>
  <c r="Z180" i="13"/>
  <c r="AB180" i="13"/>
  <c r="AD180" i="13"/>
  <c r="AH180" i="13"/>
  <c r="AI180" i="13"/>
  <c r="AJ180" i="13"/>
  <c r="AK180" i="13"/>
  <c r="AL180" i="13"/>
  <c r="AO180" i="13"/>
  <c r="AP180" i="13"/>
  <c r="Y181" i="13"/>
  <c r="AA181" i="13" s="1"/>
  <c r="Z181" i="13"/>
  <c r="AB181" i="13"/>
  <c r="AD181" i="13"/>
  <c r="AH181" i="13"/>
  <c r="AI181" i="13"/>
  <c r="AJ181" i="13"/>
  <c r="AK181" i="13"/>
  <c r="AL181" i="13"/>
  <c r="AO181" i="13"/>
  <c r="AP181" i="13"/>
  <c r="Y182" i="13"/>
  <c r="AA182" i="13" s="1"/>
  <c r="Z182" i="13"/>
  <c r="AB182" i="13"/>
  <c r="AD182" i="13"/>
  <c r="AH182" i="13"/>
  <c r="AI182" i="13"/>
  <c r="AJ182" i="13"/>
  <c r="AK182" i="13"/>
  <c r="AL182" i="13"/>
  <c r="AO182" i="13"/>
  <c r="AP182" i="13"/>
  <c r="Y183" i="13"/>
  <c r="AA183" i="13" s="1"/>
  <c r="Z183" i="13"/>
  <c r="AB183" i="13"/>
  <c r="AD183" i="13"/>
  <c r="AH183" i="13"/>
  <c r="AI183" i="13"/>
  <c r="AJ183" i="13"/>
  <c r="AK183" i="13"/>
  <c r="AL183" i="13"/>
  <c r="AO183" i="13"/>
  <c r="AP183" i="13"/>
  <c r="Y184" i="13"/>
  <c r="AA184" i="13" s="1"/>
  <c r="Z184" i="13"/>
  <c r="AB184" i="13"/>
  <c r="AD184" i="13"/>
  <c r="AH184" i="13"/>
  <c r="AI184" i="13"/>
  <c r="AJ184" i="13"/>
  <c r="AK184" i="13"/>
  <c r="AL184" i="13"/>
  <c r="AO184" i="13"/>
  <c r="AP184" i="13"/>
  <c r="Y185" i="13"/>
  <c r="AA185" i="13" s="1"/>
  <c r="Z185" i="13"/>
  <c r="AB185" i="13"/>
  <c r="AD185" i="13"/>
  <c r="AH185" i="13"/>
  <c r="AI185" i="13"/>
  <c r="AJ185" i="13"/>
  <c r="AK185" i="13"/>
  <c r="AL185" i="13"/>
  <c r="AO185" i="13"/>
  <c r="AP185" i="13"/>
  <c r="Y186" i="13"/>
  <c r="AA186" i="13" s="1"/>
  <c r="Z186" i="13"/>
  <c r="AB186" i="13"/>
  <c r="AD186" i="13"/>
  <c r="AH186" i="13"/>
  <c r="AI186" i="13"/>
  <c r="AJ186" i="13"/>
  <c r="AK186" i="13"/>
  <c r="AL186" i="13"/>
  <c r="AO186" i="13"/>
  <c r="AP186" i="13"/>
  <c r="Y187" i="13"/>
  <c r="AA187" i="13" s="1"/>
  <c r="Z187" i="13"/>
  <c r="AB187" i="13"/>
  <c r="AD187" i="13"/>
  <c r="AH187" i="13"/>
  <c r="AI187" i="13"/>
  <c r="AJ187" i="13"/>
  <c r="AK187" i="13"/>
  <c r="AL187" i="13"/>
  <c r="AO187" i="13"/>
  <c r="AP187" i="13"/>
  <c r="Y188" i="13"/>
  <c r="AA188" i="13" s="1"/>
  <c r="Z188" i="13"/>
  <c r="AB188" i="13"/>
  <c r="AD188" i="13"/>
  <c r="AH188" i="13"/>
  <c r="AI188" i="13"/>
  <c r="AJ188" i="13"/>
  <c r="AK188" i="13"/>
  <c r="AL188" i="13"/>
  <c r="AO188" i="13"/>
  <c r="AP188" i="13"/>
  <c r="Y189" i="13"/>
  <c r="AA189" i="13" s="1"/>
  <c r="Z189" i="13"/>
  <c r="AB189" i="13"/>
  <c r="AD189" i="13"/>
  <c r="AH189" i="13"/>
  <c r="AI189" i="13"/>
  <c r="AJ189" i="13"/>
  <c r="AK189" i="13"/>
  <c r="AL189" i="13"/>
  <c r="AO189" i="13"/>
  <c r="AP189" i="13"/>
  <c r="Y190" i="13"/>
  <c r="AA190" i="13" s="1"/>
  <c r="Z190" i="13"/>
  <c r="AB190" i="13"/>
  <c r="AD190" i="13"/>
  <c r="AH190" i="13"/>
  <c r="AI190" i="13"/>
  <c r="AJ190" i="13"/>
  <c r="AK190" i="13"/>
  <c r="AL190" i="13"/>
  <c r="AO190" i="13"/>
  <c r="AP190" i="13"/>
  <c r="Y191" i="13"/>
  <c r="AA191" i="13" s="1"/>
  <c r="Z191" i="13"/>
  <c r="AB191" i="13"/>
  <c r="AD191" i="13"/>
  <c r="AH191" i="13"/>
  <c r="AI191" i="13"/>
  <c r="AJ191" i="13"/>
  <c r="AK191" i="13"/>
  <c r="AL191" i="13"/>
  <c r="AO191" i="13"/>
  <c r="AP191" i="13"/>
  <c r="Y192" i="13"/>
  <c r="AA192" i="13" s="1"/>
  <c r="Z192" i="13"/>
  <c r="AB192" i="13"/>
  <c r="AD192" i="13"/>
  <c r="AH192" i="13"/>
  <c r="AI192" i="13"/>
  <c r="AJ192" i="13"/>
  <c r="AK192" i="13"/>
  <c r="AL192" i="13"/>
  <c r="AO192" i="13"/>
  <c r="AP192" i="13"/>
  <c r="Y193" i="13"/>
  <c r="AA193" i="13" s="1"/>
  <c r="Z193" i="13"/>
  <c r="AB193" i="13"/>
  <c r="AD193" i="13"/>
  <c r="AH193" i="13"/>
  <c r="AI193" i="13"/>
  <c r="AJ193" i="13"/>
  <c r="AK193" i="13"/>
  <c r="AL193" i="13"/>
  <c r="AO193" i="13"/>
  <c r="AP193" i="13"/>
  <c r="Y194" i="13"/>
  <c r="AA194" i="13" s="1"/>
  <c r="Z194" i="13"/>
  <c r="AB194" i="13"/>
  <c r="AD194" i="13"/>
  <c r="AH194" i="13"/>
  <c r="AI194" i="13"/>
  <c r="AJ194" i="13"/>
  <c r="AK194" i="13"/>
  <c r="AL194" i="13"/>
  <c r="AO194" i="13"/>
  <c r="AP194" i="13"/>
  <c r="Y195" i="13"/>
  <c r="AA195" i="13" s="1"/>
  <c r="Z195" i="13"/>
  <c r="AB195" i="13"/>
  <c r="AD195" i="13"/>
  <c r="AH195" i="13"/>
  <c r="AI195" i="13"/>
  <c r="AJ195" i="13"/>
  <c r="AK195" i="13"/>
  <c r="AL195" i="13"/>
  <c r="AO195" i="13"/>
  <c r="AP195" i="13"/>
  <c r="Y196" i="13"/>
  <c r="AA196" i="13" s="1"/>
  <c r="Z196" i="13"/>
  <c r="AB196" i="13"/>
  <c r="AD196" i="13"/>
  <c r="AH196" i="13"/>
  <c r="AI196" i="13"/>
  <c r="AJ196" i="13"/>
  <c r="AK196" i="13"/>
  <c r="AL196" i="13"/>
  <c r="AO196" i="13"/>
  <c r="AP196" i="13"/>
  <c r="Y197" i="13"/>
  <c r="AA197" i="13" s="1"/>
  <c r="Z197" i="13"/>
  <c r="AB197" i="13"/>
  <c r="AD197" i="13"/>
  <c r="AH197" i="13"/>
  <c r="AI197" i="13"/>
  <c r="AJ197" i="13"/>
  <c r="AK197" i="13"/>
  <c r="AL197" i="13"/>
  <c r="AO197" i="13"/>
  <c r="AP197" i="13"/>
  <c r="Y198" i="13"/>
  <c r="AA198" i="13" s="1"/>
  <c r="Z198" i="13"/>
  <c r="AB198" i="13"/>
  <c r="AD198" i="13"/>
  <c r="AH198" i="13"/>
  <c r="AI198" i="13"/>
  <c r="AJ198" i="13"/>
  <c r="AK198" i="13"/>
  <c r="AL198" i="13"/>
  <c r="AO198" i="13"/>
  <c r="AP198" i="13"/>
  <c r="Y199" i="13"/>
  <c r="AA199" i="13" s="1"/>
  <c r="Z199" i="13"/>
  <c r="AB199" i="13"/>
  <c r="AD199" i="13"/>
  <c r="AH199" i="13"/>
  <c r="AI199" i="13"/>
  <c r="AJ199" i="13"/>
  <c r="AK199" i="13"/>
  <c r="AL199" i="13"/>
  <c r="AO199" i="13"/>
  <c r="AP199" i="13"/>
  <c r="Y200" i="13"/>
  <c r="AA200" i="13" s="1"/>
  <c r="Z200" i="13"/>
  <c r="AB200" i="13"/>
  <c r="AD200" i="13"/>
  <c r="AH200" i="13"/>
  <c r="AI200" i="13"/>
  <c r="AJ200" i="13"/>
  <c r="AK200" i="13"/>
  <c r="AL200" i="13"/>
  <c r="AO200" i="13"/>
  <c r="AP200" i="13"/>
  <c r="Y201" i="13"/>
  <c r="AA201" i="13" s="1"/>
  <c r="Z201" i="13"/>
  <c r="AB201" i="13"/>
  <c r="AD201" i="13"/>
  <c r="AH201" i="13"/>
  <c r="AI201" i="13"/>
  <c r="AJ201" i="13"/>
  <c r="AK201" i="13"/>
  <c r="AL201" i="13"/>
  <c r="AO201" i="13"/>
  <c r="AP201" i="13"/>
  <c r="Y202" i="13"/>
  <c r="AA202" i="13" s="1"/>
  <c r="Z202" i="13"/>
  <c r="AB202" i="13"/>
  <c r="AD202" i="13"/>
  <c r="AH202" i="13"/>
  <c r="AI202" i="13"/>
  <c r="AJ202" i="13"/>
  <c r="AK202" i="13"/>
  <c r="AL202" i="13"/>
  <c r="AO202" i="13"/>
  <c r="AP202" i="13"/>
  <c r="Y203" i="13"/>
  <c r="AA203" i="13" s="1"/>
  <c r="Z203" i="13"/>
  <c r="AB203" i="13"/>
  <c r="AD203" i="13"/>
  <c r="AH203" i="13"/>
  <c r="AI203" i="13"/>
  <c r="AJ203" i="13"/>
  <c r="AK203" i="13"/>
  <c r="AL203" i="13"/>
  <c r="AO203" i="13"/>
  <c r="AP203" i="13"/>
  <c r="Y204" i="13"/>
  <c r="AA204" i="13" s="1"/>
  <c r="Z204" i="13"/>
  <c r="AB204" i="13"/>
  <c r="AD204" i="13"/>
  <c r="AH204" i="13"/>
  <c r="AI204" i="13"/>
  <c r="AJ204" i="13"/>
  <c r="AK204" i="13"/>
  <c r="AL204" i="13"/>
  <c r="AO204" i="13"/>
  <c r="AP204" i="13"/>
  <c r="Y205" i="13"/>
  <c r="AA205" i="13" s="1"/>
  <c r="Z205" i="13"/>
  <c r="AB205" i="13"/>
  <c r="AD205" i="13"/>
  <c r="AH205" i="13"/>
  <c r="AI205" i="13"/>
  <c r="AJ205" i="13"/>
  <c r="AK205" i="13"/>
  <c r="AL205" i="13"/>
  <c r="AO205" i="13"/>
  <c r="AP205" i="13"/>
  <c r="Y206" i="13"/>
  <c r="AA206" i="13" s="1"/>
  <c r="Z206" i="13"/>
  <c r="AB206" i="13"/>
  <c r="AD206" i="13"/>
  <c r="AH206" i="13"/>
  <c r="AI206" i="13"/>
  <c r="AJ206" i="13"/>
  <c r="AK206" i="13"/>
  <c r="AL206" i="13"/>
  <c r="AO206" i="13"/>
  <c r="AP206" i="13"/>
  <c r="Y207" i="13"/>
  <c r="AA207" i="13" s="1"/>
  <c r="Z207" i="13"/>
  <c r="AB207" i="13"/>
  <c r="AD207" i="13"/>
  <c r="AH207" i="13"/>
  <c r="AI207" i="13"/>
  <c r="AJ207" i="13"/>
  <c r="AK207" i="13"/>
  <c r="AL207" i="13"/>
  <c r="AO207" i="13"/>
  <c r="AP207" i="13"/>
  <c r="Y208" i="13"/>
  <c r="AA208" i="13" s="1"/>
  <c r="Z208" i="13"/>
  <c r="AB208" i="13"/>
  <c r="AD208" i="13"/>
  <c r="AH208" i="13"/>
  <c r="AI208" i="13"/>
  <c r="AJ208" i="13"/>
  <c r="AK208" i="13"/>
  <c r="AL208" i="13"/>
  <c r="AO208" i="13"/>
  <c r="AP208" i="13"/>
  <c r="Y209" i="13"/>
  <c r="AA209" i="13" s="1"/>
  <c r="Z209" i="13"/>
  <c r="AB209" i="13"/>
  <c r="AD209" i="13"/>
  <c r="AH209" i="13"/>
  <c r="AI209" i="13"/>
  <c r="AJ209" i="13"/>
  <c r="AK209" i="13"/>
  <c r="AL209" i="13"/>
  <c r="AO209" i="13"/>
  <c r="AP209" i="13"/>
  <c r="Y210" i="13"/>
  <c r="AA210" i="13" s="1"/>
  <c r="Z210" i="13"/>
  <c r="AB210" i="13"/>
  <c r="AD210" i="13"/>
  <c r="AH210" i="13"/>
  <c r="AI210" i="13"/>
  <c r="AJ210" i="13"/>
  <c r="AK210" i="13"/>
  <c r="AL210" i="13"/>
  <c r="AO210" i="13"/>
  <c r="AP210" i="13"/>
  <c r="Y211" i="13"/>
  <c r="AA211" i="13" s="1"/>
  <c r="Z211" i="13"/>
  <c r="AB211" i="13"/>
  <c r="AD211" i="13"/>
  <c r="AH211" i="13"/>
  <c r="AI211" i="13"/>
  <c r="AJ211" i="13"/>
  <c r="AK211" i="13"/>
  <c r="AL211" i="13"/>
  <c r="AO211" i="13"/>
  <c r="AP211" i="13"/>
  <c r="Y212" i="13"/>
  <c r="AA212" i="13" s="1"/>
  <c r="Z212" i="13"/>
  <c r="AB212" i="13"/>
  <c r="AD212" i="13"/>
  <c r="AH212" i="13"/>
  <c r="AI212" i="13"/>
  <c r="AJ212" i="13"/>
  <c r="AK212" i="13"/>
  <c r="AL212" i="13"/>
  <c r="AO212" i="13"/>
  <c r="AP212" i="13"/>
  <c r="Y213" i="13"/>
  <c r="AA213" i="13" s="1"/>
  <c r="Z213" i="13"/>
  <c r="AB213" i="13"/>
  <c r="AD213" i="13"/>
  <c r="AH213" i="13"/>
  <c r="AI213" i="13"/>
  <c r="AJ213" i="13"/>
  <c r="AK213" i="13"/>
  <c r="AL213" i="13"/>
  <c r="AO213" i="13"/>
  <c r="AP213" i="13"/>
  <c r="Y214" i="13"/>
  <c r="AA214" i="13" s="1"/>
  <c r="Z214" i="13"/>
  <c r="AB214" i="13"/>
  <c r="AD214" i="13"/>
  <c r="AH214" i="13"/>
  <c r="AI214" i="13"/>
  <c r="AJ214" i="13"/>
  <c r="AK214" i="13"/>
  <c r="AL214" i="13"/>
  <c r="AO214" i="13"/>
  <c r="AP214" i="13"/>
  <c r="Y215" i="13"/>
  <c r="AA215" i="13" s="1"/>
  <c r="Z215" i="13"/>
  <c r="AB215" i="13"/>
  <c r="AD215" i="13"/>
  <c r="AH215" i="13"/>
  <c r="AI215" i="13"/>
  <c r="AJ215" i="13"/>
  <c r="AK215" i="13"/>
  <c r="AL215" i="13"/>
  <c r="AO215" i="13"/>
  <c r="AP215" i="13"/>
  <c r="Y216" i="13"/>
  <c r="AA216" i="13" s="1"/>
  <c r="Z216" i="13"/>
  <c r="AB216" i="13"/>
  <c r="AD216" i="13"/>
  <c r="AH216" i="13"/>
  <c r="AI216" i="13"/>
  <c r="AJ216" i="13"/>
  <c r="AK216" i="13"/>
  <c r="AL216" i="13"/>
  <c r="AO216" i="13"/>
  <c r="AP216" i="13"/>
  <c r="Y217" i="13"/>
  <c r="AA217" i="13" s="1"/>
  <c r="Z217" i="13"/>
  <c r="AB217" i="13"/>
  <c r="AD217" i="13"/>
  <c r="AH217" i="13"/>
  <c r="AI217" i="13"/>
  <c r="AJ217" i="13"/>
  <c r="AK217" i="13"/>
  <c r="AL217" i="13"/>
  <c r="AO217" i="13"/>
  <c r="AP217" i="13"/>
  <c r="Y218" i="13"/>
  <c r="AA218" i="13" s="1"/>
  <c r="Z218" i="13"/>
  <c r="AB218" i="13"/>
  <c r="AD218" i="13"/>
  <c r="AH218" i="13"/>
  <c r="AI218" i="13"/>
  <c r="AJ218" i="13"/>
  <c r="AK218" i="13"/>
  <c r="AL218" i="13"/>
  <c r="AO218" i="13"/>
  <c r="Y219" i="13"/>
  <c r="AA219" i="13" s="1"/>
  <c r="Z219" i="13"/>
  <c r="AB219" i="13"/>
  <c r="AD219" i="13"/>
  <c r="AH219" i="13"/>
  <c r="AI219" i="13"/>
  <c r="AJ219" i="13"/>
  <c r="AK219" i="13"/>
  <c r="AL219" i="13"/>
  <c r="AO219" i="13"/>
  <c r="AP219" i="13"/>
  <c r="Y220" i="13"/>
  <c r="AA220" i="13" s="1"/>
  <c r="Z220" i="13"/>
  <c r="AB220" i="13"/>
  <c r="AD220" i="13"/>
  <c r="AH220" i="13"/>
  <c r="AI220" i="13"/>
  <c r="AJ220" i="13"/>
  <c r="AK220" i="13"/>
  <c r="AL220" i="13"/>
  <c r="AO220" i="13"/>
  <c r="AP220" i="13"/>
  <c r="Y221" i="13"/>
  <c r="AA221" i="13" s="1"/>
  <c r="Z221" i="13"/>
  <c r="AB221" i="13"/>
  <c r="AD221" i="13"/>
  <c r="AH221" i="13"/>
  <c r="AI221" i="13"/>
  <c r="AJ221" i="13"/>
  <c r="AK221" i="13"/>
  <c r="AL221" i="13"/>
  <c r="AO221" i="13"/>
  <c r="AP221" i="13"/>
  <c r="Y222" i="13"/>
  <c r="AA222" i="13" s="1"/>
  <c r="Z222" i="13"/>
  <c r="AB222" i="13"/>
  <c r="AD222" i="13"/>
  <c r="AH222" i="13"/>
  <c r="AI222" i="13"/>
  <c r="AJ222" i="13"/>
  <c r="AK222" i="13"/>
  <c r="AL222" i="13"/>
  <c r="AO222" i="13"/>
  <c r="AP222" i="13"/>
  <c r="Y223" i="13"/>
  <c r="AA223" i="13" s="1"/>
  <c r="Z223" i="13"/>
  <c r="AB223" i="13"/>
  <c r="AD223" i="13"/>
  <c r="AH223" i="13"/>
  <c r="AI223" i="13"/>
  <c r="AJ223" i="13"/>
  <c r="AK223" i="13"/>
  <c r="AL223" i="13"/>
  <c r="AO223" i="13"/>
  <c r="AP223" i="13"/>
  <c r="Y224" i="13"/>
  <c r="AA224" i="13" s="1"/>
  <c r="Z224" i="13"/>
  <c r="AB224" i="13"/>
  <c r="AD224" i="13"/>
  <c r="AH224" i="13"/>
  <c r="AI224" i="13"/>
  <c r="AJ224" i="13"/>
  <c r="AK224" i="13"/>
  <c r="AL224" i="13"/>
  <c r="AO224" i="13"/>
  <c r="AP224" i="13"/>
  <c r="Y225" i="13"/>
  <c r="AA225" i="13" s="1"/>
  <c r="Z225" i="13"/>
  <c r="AB225" i="13"/>
  <c r="AD225" i="13"/>
  <c r="AH225" i="13"/>
  <c r="AI225" i="13"/>
  <c r="AJ225" i="13"/>
  <c r="AK225" i="13"/>
  <c r="AL225" i="13"/>
  <c r="AO225" i="13"/>
  <c r="AP225" i="13"/>
  <c r="Y226" i="13"/>
  <c r="AA226" i="13" s="1"/>
  <c r="Z226" i="13"/>
  <c r="AB226" i="13"/>
  <c r="AD226" i="13"/>
  <c r="AH226" i="13"/>
  <c r="AI226" i="13"/>
  <c r="AJ226" i="13"/>
  <c r="AK226" i="13"/>
  <c r="AL226" i="13"/>
  <c r="AO226" i="13"/>
  <c r="AP226" i="13"/>
  <c r="Y227" i="13"/>
  <c r="AA227" i="13" s="1"/>
  <c r="Z227" i="13"/>
  <c r="AB227" i="13"/>
  <c r="AD227" i="13"/>
  <c r="AH227" i="13"/>
  <c r="AI227" i="13"/>
  <c r="AJ227" i="13"/>
  <c r="AK227" i="13"/>
  <c r="AL227" i="13"/>
  <c r="AO227" i="13"/>
  <c r="AP227" i="13"/>
  <c r="Y228" i="13"/>
  <c r="AA228" i="13" s="1"/>
  <c r="Z228" i="13"/>
  <c r="AB228" i="13"/>
  <c r="AD228" i="13"/>
  <c r="AH228" i="13"/>
  <c r="AI228" i="13"/>
  <c r="AJ228" i="13"/>
  <c r="AK228" i="13"/>
  <c r="AL228" i="13"/>
  <c r="AO228" i="13"/>
  <c r="AP228" i="13"/>
  <c r="Y229" i="13"/>
  <c r="AA229" i="13" s="1"/>
  <c r="Z229" i="13"/>
  <c r="AB229" i="13"/>
  <c r="AD229" i="13"/>
  <c r="AH229" i="13"/>
  <c r="AI229" i="13"/>
  <c r="AJ229" i="13"/>
  <c r="AK229" i="13"/>
  <c r="AL229" i="13"/>
  <c r="AO229" i="13"/>
  <c r="AP229" i="13"/>
  <c r="Y230" i="13"/>
  <c r="AA230" i="13" s="1"/>
  <c r="Z230" i="13"/>
  <c r="AB230" i="13"/>
  <c r="AD230" i="13"/>
  <c r="AH230" i="13"/>
  <c r="AI230" i="13"/>
  <c r="AJ230" i="13"/>
  <c r="AK230" i="13"/>
  <c r="AL230" i="13"/>
  <c r="AO230" i="13"/>
  <c r="AP230" i="13"/>
  <c r="Y231" i="13"/>
  <c r="AA231" i="13" s="1"/>
  <c r="Z231" i="13"/>
  <c r="AB231" i="13"/>
  <c r="AD231" i="13"/>
  <c r="AH231" i="13"/>
  <c r="AI231" i="13"/>
  <c r="AJ231" i="13"/>
  <c r="AK231" i="13"/>
  <c r="AL231" i="13"/>
  <c r="AO231" i="13"/>
  <c r="AP231" i="13"/>
  <c r="Y232" i="13"/>
  <c r="AA232" i="13" s="1"/>
  <c r="Z232" i="13"/>
  <c r="AB232" i="13"/>
  <c r="AD232" i="13"/>
  <c r="AH232" i="13"/>
  <c r="AI232" i="13"/>
  <c r="AJ232" i="13"/>
  <c r="AK232" i="13"/>
  <c r="AL232" i="13"/>
  <c r="AO232" i="13"/>
  <c r="AP232" i="13"/>
  <c r="Y233" i="13"/>
  <c r="AA233" i="13" s="1"/>
  <c r="Z233" i="13"/>
  <c r="AB233" i="13"/>
  <c r="AD233" i="13"/>
  <c r="AH233" i="13"/>
  <c r="AI233" i="13"/>
  <c r="AJ233" i="13"/>
  <c r="AK233" i="13"/>
  <c r="AL233" i="13"/>
  <c r="AO233" i="13"/>
  <c r="AP233" i="13"/>
  <c r="Y234" i="13"/>
  <c r="AA234" i="13" s="1"/>
  <c r="Z234" i="13"/>
  <c r="AB234" i="13"/>
  <c r="AD234" i="13"/>
  <c r="AH234" i="13"/>
  <c r="AI234" i="13"/>
  <c r="AJ234" i="13"/>
  <c r="AK234" i="13"/>
  <c r="AL234" i="13"/>
  <c r="AO234" i="13"/>
  <c r="AP234" i="13"/>
  <c r="Y235" i="13"/>
  <c r="AA235" i="13" s="1"/>
  <c r="Z235" i="13"/>
  <c r="AB235" i="13"/>
  <c r="AD235" i="13"/>
  <c r="AH235" i="13"/>
  <c r="AI235" i="13"/>
  <c r="AJ235" i="13"/>
  <c r="AK235" i="13"/>
  <c r="AL235" i="13"/>
  <c r="AO235" i="13"/>
  <c r="AP235" i="13"/>
  <c r="Y236" i="13"/>
  <c r="AA236" i="13" s="1"/>
  <c r="Z236" i="13"/>
  <c r="AB236" i="13"/>
  <c r="AD236" i="13"/>
  <c r="AH236" i="13"/>
  <c r="AI236" i="13"/>
  <c r="AJ236" i="13"/>
  <c r="AK236" i="13"/>
  <c r="AL236" i="13"/>
  <c r="AO236" i="13"/>
  <c r="AP236" i="13"/>
  <c r="Y237" i="13"/>
  <c r="AA237" i="13" s="1"/>
  <c r="Z237" i="13"/>
  <c r="AB237" i="13"/>
  <c r="AD237" i="13"/>
  <c r="AH237" i="13"/>
  <c r="AI237" i="13"/>
  <c r="AJ237" i="13"/>
  <c r="AK237" i="13"/>
  <c r="AL237" i="13"/>
  <c r="AO237" i="13"/>
  <c r="AP237" i="13"/>
  <c r="Y238" i="13"/>
  <c r="AA238" i="13" s="1"/>
  <c r="Z238" i="13"/>
  <c r="AB238" i="13"/>
  <c r="AD238" i="13"/>
  <c r="AH238" i="13"/>
  <c r="AI238" i="13"/>
  <c r="AJ238" i="13"/>
  <c r="AK238" i="13"/>
  <c r="AL238" i="13"/>
  <c r="AO238" i="13"/>
  <c r="AP238" i="13"/>
  <c r="Y239" i="13"/>
  <c r="AA239" i="13" s="1"/>
  <c r="Z239" i="13"/>
  <c r="AB239" i="13"/>
  <c r="AD239" i="13"/>
  <c r="AH239" i="13"/>
  <c r="AI239" i="13"/>
  <c r="AJ239" i="13"/>
  <c r="AK239" i="13"/>
  <c r="AL239" i="13"/>
  <c r="AO239" i="13"/>
  <c r="AP239" i="13"/>
  <c r="Y240" i="13"/>
  <c r="AA240" i="13" s="1"/>
  <c r="Z240" i="13"/>
  <c r="AB240" i="13"/>
  <c r="AD240" i="13"/>
  <c r="AH240" i="13"/>
  <c r="AI240" i="13"/>
  <c r="AJ240" i="13"/>
  <c r="AK240" i="13"/>
  <c r="AL240" i="13"/>
  <c r="AO240" i="13"/>
  <c r="AP240" i="13"/>
  <c r="Y241" i="13"/>
  <c r="AA241" i="13" s="1"/>
  <c r="Z241" i="13"/>
  <c r="AB241" i="13"/>
  <c r="AD241" i="13"/>
  <c r="AH241" i="13"/>
  <c r="AI241" i="13"/>
  <c r="AJ241" i="13"/>
  <c r="AK241" i="13"/>
  <c r="AL241" i="13"/>
  <c r="AO241" i="13"/>
  <c r="AP241" i="13"/>
  <c r="Y242" i="13"/>
  <c r="AA242" i="13" s="1"/>
  <c r="Z242" i="13"/>
  <c r="AB242" i="13"/>
  <c r="AD242" i="13"/>
  <c r="AH242" i="13"/>
  <c r="AI242" i="13"/>
  <c r="AJ242" i="13"/>
  <c r="AK242" i="13"/>
  <c r="AL242" i="13"/>
  <c r="AO242" i="13"/>
  <c r="AP242" i="13"/>
  <c r="Y243" i="13"/>
  <c r="AA243" i="13" s="1"/>
  <c r="Z243" i="13"/>
  <c r="AB243" i="13"/>
  <c r="AD243" i="13"/>
  <c r="AH243" i="13"/>
  <c r="AI243" i="13"/>
  <c r="AJ243" i="13"/>
  <c r="AK243" i="13"/>
  <c r="AL243" i="13"/>
  <c r="AO243" i="13"/>
  <c r="AP243" i="13"/>
  <c r="Y244" i="13"/>
  <c r="AA244" i="13" s="1"/>
  <c r="Z244" i="13"/>
  <c r="AB244" i="13"/>
  <c r="AD244" i="13"/>
  <c r="AH244" i="13"/>
  <c r="AI244" i="13"/>
  <c r="AJ244" i="13"/>
  <c r="AK244" i="13"/>
  <c r="AL244" i="13"/>
  <c r="AO244" i="13"/>
  <c r="AP244" i="13"/>
  <c r="Y245" i="13"/>
  <c r="AA245" i="13" s="1"/>
  <c r="Z245" i="13"/>
  <c r="AB245" i="13"/>
  <c r="AD245" i="13"/>
  <c r="AH245" i="13"/>
  <c r="AI245" i="13"/>
  <c r="AJ245" i="13"/>
  <c r="AK245" i="13"/>
  <c r="AL245" i="13"/>
  <c r="AO245" i="13"/>
  <c r="AP245" i="13"/>
  <c r="Y246" i="13"/>
  <c r="AA246" i="13" s="1"/>
  <c r="Z246" i="13"/>
  <c r="AB246" i="13"/>
  <c r="AD246" i="13"/>
  <c r="AH246" i="13"/>
  <c r="AI246" i="13"/>
  <c r="AJ246" i="13"/>
  <c r="AK246" i="13"/>
  <c r="AL246" i="13"/>
  <c r="AO246" i="13"/>
  <c r="AP246" i="13"/>
  <c r="Y247" i="13"/>
  <c r="AA247" i="13" s="1"/>
  <c r="Z247" i="13"/>
  <c r="AB247" i="13"/>
  <c r="AD247" i="13"/>
  <c r="AH247" i="13"/>
  <c r="AI247" i="13"/>
  <c r="AJ247" i="13"/>
  <c r="AK247" i="13"/>
  <c r="AL247" i="13"/>
  <c r="AO247" i="13"/>
  <c r="AP247" i="13"/>
  <c r="Y248" i="13"/>
  <c r="AA248" i="13" s="1"/>
  <c r="Z248" i="13"/>
  <c r="AB248" i="13"/>
  <c r="AD248" i="13"/>
  <c r="AH248" i="13"/>
  <c r="AI248" i="13"/>
  <c r="AJ248" i="13"/>
  <c r="AK248" i="13"/>
  <c r="AL248" i="13"/>
  <c r="AO248" i="13"/>
  <c r="AP248" i="13"/>
  <c r="Y249" i="13"/>
  <c r="AA249" i="13" s="1"/>
  <c r="Z249" i="13"/>
  <c r="AB249" i="13"/>
  <c r="AD249" i="13"/>
  <c r="AH249" i="13"/>
  <c r="AI249" i="13"/>
  <c r="AJ249" i="13"/>
  <c r="AK249" i="13"/>
  <c r="AL249" i="13"/>
  <c r="AO249" i="13"/>
  <c r="AP249" i="13"/>
  <c r="Y250" i="13"/>
  <c r="AA250" i="13" s="1"/>
  <c r="Z250" i="13"/>
  <c r="AB250" i="13"/>
  <c r="AD250" i="13"/>
  <c r="AH250" i="13"/>
  <c r="AI250" i="13"/>
  <c r="AJ250" i="13"/>
  <c r="AK250" i="13"/>
  <c r="AL250" i="13"/>
  <c r="AO250" i="13"/>
  <c r="AP250" i="13"/>
  <c r="Y251" i="13"/>
  <c r="AA251" i="13" s="1"/>
  <c r="Z251" i="13"/>
  <c r="AB251" i="13"/>
  <c r="AD251" i="13"/>
  <c r="AH251" i="13"/>
  <c r="AI251" i="13"/>
  <c r="AJ251" i="13"/>
  <c r="AK251" i="13"/>
  <c r="AL251" i="13"/>
  <c r="AO251" i="13"/>
  <c r="AP251" i="13"/>
  <c r="Y252" i="13"/>
  <c r="AA252" i="13" s="1"/>
  <c r="Z252" i="13"/>
  <c r="AB252" i="13"/>
  <c r="AD252" i="13"/>
  <c r="AH252" i="13"/>
  <c r="AI252" i="13"/>
  <c r="AJ252" i="13"/>
  <c r="AK252" i="13"/>
  <c r="AL252" i="13"/>
  <c r="AO252" i="13"/>
  <c r="AP252" i="13"/>
  <c r="Y253" i="13"/>
  <c r="AA253" i="13" s="1"/>
  <c r="Z253" i="13"/>
  <c r="AB253" i="13"/>
  <c r="AD253" i="13"/>
  <c r="AH253" i="13"/>
  <c r="AI253" i="13"/>
  <c r="AJ253" i="13"/>
  <c r="AK253" i="13"/>
  <c r="AL253" i="13"/>
  <c r="AO253" i="13"/>
  <c r="AP253" i="13"/>
  <c r="Y254" i="13"/>
  <c r="AA254" i="13" s="1"/>
  <c r="Z254" i="13"/>
  <c r="AB254" i="13"/>
  <c r="AD254" i="13"/>
  <c r="AH254" i="13"/>
  <c r="AI254" i="13"/>
  <c r="AJ254" i="13"/>
  <c r="AK254" i="13"/>
  <c r="AL254" i="13"/>
  <c r="AO254" i="13"/>
  <c r="AP254" i="13"/>
  <c r="E83" i="13" l="1"/>
  <c r="E95" i="13"/>
  <c r="E107" i="13"/>
  <c r="E119" i="13"/>
  <c r="E131" i="13"/>
  <c r="E143" i="13"/>
  <c r="E151" i="13"/>
  <c r="E154" i="13"/>
  <c r="E155" i="13"/>
  <c r="E156" i="13"/>
  <c r="E157" i="13"/>
  <c r="E158" i="13"/>
  <c r="E159" i="13"/>
  <c r="E167" i="13"/>
  <c r="E168" i="13"/>
  <c r="E169" i="13"/>
  <c r="E170" i="13"/>
  <c r="E171" i="13"/>
  <c r="E179" i="13"/>
  <c r="E180" i="13"/>
  <c r="E181" i="13"/>
  <c r="E182" i="13"/>
  <c r="E183" i="13"/>
  <c r="E191" i="13"/>
  <c r="E192" i="13"/>
  <c r="E193" i="13"/>
  <c r="E194" i="13"/>
  <c r="E195" i="13"/>
  <c r="E203" i="13"/>
  <c r="E206" i="13"/>
  <c r="E207" i="13"/>
  <c r="E210" i="13"/>
  <c r="E211" i="13"/>
  <c r="E215" i="13"/>
  <c r="E218" i="13"/>
  <c r="E219" i="13"/>
  <c r="E222" i="13"/>
  <c r="E223" i="13"/>
  <c r="E227" i="13"/>
  <c r="E230" i="13"/>
  <c r="E231" i="13"/>
  <c r="E234" i="13"/>
  <c r="E235" i="13"/>
  <c r="E239" i="13"/>
  <c r="E242" i="13"/>
  <c r="E243" i="13"/>
  <c r="E246" i="13"/>
  <c r="E247" i="13"/>
  <c r="E251" i="13"/>
  <c r="E254" i="13"/>
  <c r="AR27" i="13"/>
  <c r="AR28" i="13"/>
  <c r="AR29" i="13"/>
  <c r="AR30" i="13"/>
  <c r="AR31" i="13"/>
  <c r="AR32" i="13"/>
  <c r="AR33" i="13"/>
  <c r="AR34" i="13"/>
  <c r="AR35" i="13"/>
  <c r="AR36" i="13"/>
  <c r="AR37" i="13"/>
  <c r="AR38" i="13"/>
  <c r="AR39" i="13"/>
  <c r="AR40" i="13"/>
  <c r="AR41" i="13"/>
  <c r="AR42" i="13"/>
  <c r="AR43" i="13"/>
  <c r="AR44" i="13"/>
  <c r="AR45" i="13"/>
  <c r="AR46" i="13"/>
  <c r="AR47" i="13"/>
  <c r="AR48" i="13"/>
  <c r="AR49" i="13"/>
  <c r="AR50" i="13"/>
  <c r="AR51" i="13"/>
  <c r="AR52" i="13"/>
  <c r="AR53" i="13"/>
  <c r="AR54" i="13"/>
  <c r="AR55" i="13"/>
  <c r="AR56" i="13"/>
  <c r="AR57" i="13"/>
  <c r="AR58" i="13"/>
  <c r="AR59" i="13"/>
  <c r="AR60" i="13"/>
  <c r="AR61" i="13"/>
  <c r="AR62" i="13"/>
  <c r="AR63" i="13"/>
  <c r="AR64" i="13"/>
  <c r="AR65" i="13"/>
  <c r="AR66" i="13"/>
  <c r="AR67" i="13"/>
  <c r="AR68" i="13"/>
  <c r="AR69" i="13"/>
  <c r="AR70" i="13"/>
  <c r="AR71" i="13"/>
  <c r="AR72" i="13"/>
  <c r="AR73" i="13"/>
  <c r="AR74" i="13"/>
  <c r="AR75" i="13"/>
  <c r="AR76" i="13"/>
  <c r="AR77" i="13"/>
  <c r="AR78" i="13"/>
  <c r="AR79" i="13"/>
  <c r="AR80" i="13"/>
  <c r="AR81" i="13"/>
  <c r="AR82" i="13"/>
  <c r="AR83" i="13"/>
  <c r="AR84" i="13"/>
  <c r="AR85" i="13"/>
  <c r="AR86" i="13"/>
  <c r="AR87" i="13"/>
  <c r="AR88" i="13"/>
  <c r="AR89" i="13"/>
  <c r="AR90" i="13"/>
  <c r="AR91" i="13"/>
  <c r="AR92" i="13"/>
  <c r="AR93" i="13"/>
  <c r="AR94" i="13"/>
  <c r="AR95" i="13"/>
  <c r="AR96" i="13"/>
  <c r="AR97" i="13"/>
  <c r="AR98" i="13"/>
  <c r="AR99" i="13"/>
  <c r="AR100" i="13"/>
  <c r="AR101" i="13"/>
  <c r="AR102" i="13"/>
  <c r="AR103" i="13"/>
  <c r="AR104" i="13"/>
  <c r="AR105" i="13"/>
  <c r="AR106" i="13"/>
  <c r="AR107" i="13"/>
  <c r="AR108" i="13"/>
  <c r="AR109" i="13"/>
  <c r="AR110" i="13"/>
  <c r="AR111" i="13"/>
  <c r="AR112" i="13"/>
  <c r="AR113" i="13"/>
  <c r="AR114" i="13"/>
  <c r="AR115" i="13"/>
  <c r="AR116" i="13"/>
  <c r="AR117" i="13"/>
  <c r="AR118" i="13"/>
  <c r="AR119" i="13"/>
  <c r="AR120" i="13"/>
  <c r="AR121" i="13"/>
  <c r="AR122" i="13"/>
  <c r="AR123" i="13"/>
  <c r="AR124" i="13"/>
  <c r="AR125" i="13"/>
  <c r="AR126" i="13"/>
  <c r="AR127" i="13"/>
  <c r="AR128" i="13"/>
  <c r="AR129" i="13"/>
  <c r="AR130" i="13"/>
  <c r="AR131" i="13"/>
  <c r="AR132" i="13"/>
  <c r="AR133" i="13"/>
  <c r="AR134" i="13"/>
  <c r="AR135" i="13"/>
  <c r="AR136" i="13"/>
  <c r="AR137" i="13"/>
  <c r="AR138" i="13"/>
  <c r="AR139" i="13"/>
  <c r="AR140" i="13"/>
  <c r="AR141" i="13"/>
  <c r="AR142" i="13"/>
  <c r="AR143" i="13"/>
  <c r="AR144" i="13"/>
  <c r="AR145" i="13"/>
  <c r="AR146" i="13"/>
  <c r="AR147" i="13"/>
  <c r="AR148" i="13"/>
  <c r="AR149" i="13"/>
  <c r="AR150" i="13"/>
  <c r="AR151" i="13"/>
  <c r="AR152" i="13"/>
  <c r="AR153" i="13"/>
  <c r="AR154" i="13"/>
  <c r="AR155" i="13"/>
  <c r="AR156" i="13"/>
  <c r="AR157" i="13"/>
  <c r="AR158" i="13"/>
  <c r="AR159" i="13"/>
  <c r="AR160" i="13"/>
  <c r="AR161" i="13"/>
  <c r="AR162" i="13"/>
  <c r="AR163" i="13"/>
  <c r="AR164" i="13"/>
  <c r="AR165" i="13"/>
  <c r="AR166" i="13"/>
  <c r="AR167" i="13"/>
  <c r="AR168" i="13"/>
  <c r="AR169" i="13"/>
  <c r="AR170" i="13"/>
  <c r="AR171" i="13"/>
  <c r="AR172" i="13"/>
  <c r="AR173" i="13"/>
  <c r="AR174" i="13"/>
  <c r="AR175" i="13"/>
  <c r="AR176" i="13"/>
  <c r="AR177" i="13"/>
  <c r="AR178" i="13"/>
  <c r="AR179" i="13"/>
  <c r="AR180" i="13"/>
  <c r="AR181" i="13"/>
  <c r="AR182" i="13"/>
  <c r="AR183" i="13"/>
  <c r="AR184" i="13"/>
  <c r="AR185" i="13"/>
  <c r="AR186" i="13"/>
  <c r="AR187" i="13"/>
  <c r="AR188" i="13"/>
  <c r="AR189" i="13"/>
  <c r="AR190" i="13"/>
  <c r="AR191" i="13"/>
  <c r="AR192" i="13"/>
  <c r="AR193" i="13"/>
  <c r="AR194" i="13"/>
  <c r="AR195" i="13"/>
  <c r="AR196" i="13"/>
  <c r="AR197" i="13"/>
  <c r="AR198" i="13"/>
  <c r="AR199" i="13"/>
  <c r="AR200" i="13"/>
  <c r="AR201" i="13"/>
  <c r="AR202" i="13"/>
  <c r="AR203" i="13"/>
  <c r="AR204" i="13"/>
  <c r="AR205" i="13"/>
  <c r="AR206" i="13"/>
  <c r="AR207" i="13"/>
  <c r="AR208" i="13"/>
  <c r="AR209" i="13"/>
  <c r="AR210" i="13"/>
  <c r="AR211" i="13"/>
  <c r="AR212" i="13"/>
  <c r="AR213" i="13"/>
  <c r="AR214" i="13"/>
  <c r="AR215" i="13"/>
  <c r="AR216" i="13"/>
  <c r="AR217" i="13"/>
  <c r="AR218" i="13"/>
  <c r="AR219" i="13"/>
  <c r="AR220" i="13"/>
  <c r="AR221" i="13"/>
  <c r="AR222" i="13"/>
  <c r="AR223" i="13"/>
  <c r="AR224" i="13"/>
  <c r="AR225" i="13"/>
  <c r="AR226" i="13"/>
  <c r="AR227" i="13"/>
  <c r="AR228" i="13"/>
  <c r="AR229" i="13"/>
  <c r="AR230" i="13"/>
  <c r="AR231" i="13"/>
  <c r="AR232" i="13"/>
  <c r="AR233" i="13"/>
  <c r="AR234" i="13"/>
  <c r="AR235" i="13"/>
  <c r="AR236" i="13"/>
  <c r="AR237" i="13"/>
  <c r="AR238" i="13"/>
  <c r="AR239" i="13"/>
  <c r="AR240" i="13"/>
  <c r="AR241" i="13"/>
  <c r="AR242" i="13"/>
  <c r="AR243" i="13"/>
  <c r="AR244" i="13"/>
  <c r="AR245" i="13"/>
  <c r="AR246" i="13"/>
  <c r="AR247" i="13"/>
  <c r="AR248" i="13"/>
  <c r="AR249" i="13"/>
  <c r="AR250" i="13"/>
  <c r="AR251" i="13"/>
  <c r="AR252" i="13"/>
  <c r="AR253" i="13"/>
  <c r="AR254" i="13"/>
  <c r="E200" i="13"/>
  <c r="E199" i="13"/>
  <c r="E198" i="13"/>
  <c r="E197" i="13"/>
  <c r="E196" i="13"/>
  <c r="E190" i="13"/>
  <c r="E189" i="13"/>
  <c r="E188" i="13"/>
  <c r="E187" i="13"/>
  <c r="E186" i="13"/>
  <c r="E185" i="13"/>
  <c r="E184" i="13"/>
  <c r="E178" i="13"/>
  <c r="E177" i="13"/>
  <c r="E176" i="13"/>
  <c r="E175" i="13"/>
  <c r="E174" i="13"/>
  <c r="E173" i="13"/>
  <c r="E172" i="13"/>
  <c r="E166" i="13"/>
  <c r="E165" i="13"/>
  <c r="E164" i="13"/>
  <c r="E163" i="13"/>
  <c r="E162" i="13"/>
  <c r="E161" i="13"/>
  <c r="E160" i="13"/>
  <c r="E153" i="13"/>
  <c r="E152" i="13"/>
  <c r="E150" i="13"/>
  <c r="E149" i="13"/>
  <c r="E148" i="13"/>
  <c r="E147" i="13"/>
  <c r="E146" i="13"/>
  <c r="E145" i="13"/>
  <c r="E144" i="13"/>
  <c r="E142" i="13"/>
  <c r="E141" i="13"/>
  <c r="E140" i="13"/>
  <c r="E139" i="13"/>
  <c r="E138" i="13"/>
  <c r="E137" i="13"/>
  <c r="E136" i="13"/>
  <c r="E135" i="13"/>
  <c r="E134" i="13"/>
  <c r="E133" i="13"/>
  <c r="E132" i="13"/>
  <c r="E130" i="13"/>
  <c r="E129" i="13"/>
  <c r="E128" i="13"/>
  <c r="E127" i="13"/>
  <c r="E126" i="13"/>
  <c r="E125" i="13"/>
  <c r="E124" i="13"/>
  <c r="E123" i="13"/>
  <c r="E122" i="13"/>
  <c r="E121" i="13"/>
  <c r="E120" i="13"/>
  <c r="E118" i="13"/>
  <c r="E117" i="13"/>
  <c r="E116" i="13"/>
  <c r="E115" i="13"/>
  <c r="E114" i="13"/>
  <c r="E113" i="13"/>
  <c r="E112" i="13"/>
  <c r="E111" i="13"/>
  <c r="E110" i="13"/>
  <c r="E109" i="13"/>
  <c r="E108" i="13"/>
  <c r="E106" i="13"/>
  <c r="E105" i="13"/>
  <c r="E104" i="13"/>
  <c r="E103" i="13"/>
  <c r="E102" i="13"/>
  <c r="E101" i="13"/>
  <c r="E100" i="13"/>
  <c r="E99" i="13"/>
  <c r="E98" i="13"/>
  <c r="E97" i="13"/>
  <c r="E96" i="13"/>
  <c r="E94" i="13"/>
  <c r="E93" i="13"/>
  <c r="E92" i="13"/>
  <c r="E91" i="13"/>
  <c r="E90" i="13"/>
  <c r="E89" i="13"/>
  <c r="E88" i="13"/>
  <c r="E87" i="13"/>
  <c r="E86" i="13"/>
  <c r="E85" i="13"/>
  <c r="E84" i="13"/>
  <c r="E82" i="13"/>
  <c r="E81" i="13"/>
  <c r="E80" i="13"/>
  <c r="E253" i="13"/>
  <c r="E252" i="13"/>
  <c r="E250" i="13"/>
  <c r="E249" i="13"/>
  <c r="E248" i="13"/>
  <c r="E245" i="13"/>
  <c r="E244" i="13"/>
  <c r="E241" i="13"/>
  <c r="E240" i="13"/>
  <c r="E238" i="13"/>
  <c r="E237" i="13"/>
  <c r="E236" i="13"/>
  <c r="E233" i="13"/>
  <c r="E232" i="13"/>
  <c r="E229" i="13"/>
  <c r="E228" i="13"/>
  <c r="E226" i="13"/>
  <c r="E225" i="13"/>
  <c r="E224" i="13"/>
  <c r="E221" i="13"/>
  <c r="E220" i="13"/>
  <c r="E217" i="13"/>
  <c r="E216" i="13"/>
  <c r="E214" i="13"/>
  <c r="E213" i="13"/>
  <c r="E212" i="13"/>
  <c r="E209" i="13"/>
  <c r="E208" i="13"/>
  <c r="E205" i="13"/>
  <c r="E204" i="13"/>
  <c r="E202" i="13"/>
  <c r="E201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</calcChain>
</file>

<file path=xl/sharedStrings.xml><?xml version="1.0" encoding="utf-8"?>
<sst xmlns="http://schemas.openxmlformats.org/spreadsheetml/2006/main" count="98" uniqueCount="83">
  <si>
    <t>Line Activity List</t>
  </si>
  <si>
    <t>Line</t>
  </si>
  <si>
    <t>Job No</t>
  </si>
  <si>
    <t>Earliest Date</t>
  </si>
  <si>
    <t>DueDate</t>
  </si>
  <si>
    <t>ItemCode</t>
  </si>
  <si>
    <t>Block</t>
  </si>
  <si>
    <t>Q'ty</t>
  </si>
  <si>
    <t>Group</t>
  </si>
  <si>
    <t>Lot No</t>
  </si>
  <si>
    <t>Next Process</t>
  </si>
  <si>
    <t>Previous Process</t>
  </si>
  <si>
    <t>Remark</t>
  </si>
  <si>
    <t>Result</t>
  </si>
  <si>
    <t>Line sản xuất mặt 1</t>
  </si>
  <si>
    <t>Thừa</t>
  </si>
  <si>
    <t>Solder</t>
  </si>
  <si>
    <t>TEV return</t>
  </si>
  <si>
    <t>Prepare</t>
  </si>
  <si>
    <t>Check</t>
  </si>
  <si>
    <t>Check ECN</t>
  </si>
  <si>
    <t>Trần Thanh Hường</t>
  </si>
  <si>
    <t>Mount Points</t>
  </si>
  <si>
    <t>BF-Action</t>
  </si>
  <si>
    <t>BF-Production Version</t>
  </si>
  <si>
    <t>BF-To Location</t>
  </si>
  <si>
    <t>BF-Plant</t>
  </si>
  <si>
    <t>BF-Planning-Plant</t>
  </si>
  <si>
    <t>BF-From Date</t>
  </si>
  <si>
    <t>BF-To Date</t>
  </si>
  <si>
    <t>TF-Action</t>
  </si>
  <si>
    <t>TF-Movement Type</t>
  </si>
  <si>
    <t>TF-From Location</t>
  </si>
  <si>
    <t>TF-To Location</t>
  </si>
  <si>
    <t>TF-Plant</t>
  </si>
  <si>
    <t>TF-From Date</t>
  </si>
  <si>
    <t>TF-To Date</t>
  </si>
  <si>
    <t>auto</t>
  </si>
  <si>
    <t>5-Dec</t>
  </si>
  <si>
    <t>7-Dec</t>
  </si>
  <si>
    <t>Không cần điền</t>
  </si>
  <si>
    <t>VC01</t>
  </si>
  <si>
    <t>Kho đi</t>
  </si>
  <si>
    <t>kho đến</t>
  </si>
  <si>
    <t>Next Process type</t>
  </si>
  <si>
    <t>Auto</t>
  </si>
  <si>
    <t>Kitting issue date</t>
  </si>
  <si>
    <t>Kitting number</t>
  </si>
  <si>
    <t>Scheduled</t>
  </si>
  <si>
    <t>Stock</t>
  </si>
  <si>
    <t>Catory</t>
  </si>
  <si>
    <t>SMT</t>
  </si>
  <si>
    <t>DIP</t>
  </si>
  <si>
    <t>SMT FAX</t>
  </si>
  <si>
    <t>Microwave</t>
  </si>
  <si>
    <t>năm-tháng-ngày</t>
  </si>
  <si>
    <t>lotno vs Item</t>
  </si>
  <si>
    <t>thời gian sx</t>
  </si>
  <si>
    <t>Time</t>
  </si>
  <si>
    <t>Cycle time</t>
  </si>
  <si>
    <t>Profile</t>
  </si>
  <si>
    <t>Note Pro/BF</t>
  </si>
  <si>
    <t>T4</t>
  </si>
  <si>
    <t>Nguyễn Thị Sinh</t>
  </si>
  <si>
    <t>Hoàng Thị Ất</t>
  </si>
  <si>
    <t>ECN</t>
  </si>
  <si>
    <t>Manual</t>
  </si>
  <si>
    <t>Production Start</t>
  </si>
  <si>
    <t>Production End</t>
  </si>
  <si>
    <t>Model code</t>
  </si>
  <si>
    <t>Changing
1</t>
  </si>
  <si>
    <t>Changing
2</t>
  </si>
  <si>
    <t>Changing
3</t>
  </si>
  <si>
    <t>Điền line</t>
  </si>
  <si>
    <t>- Vlookup từ file PT gửi theo line và Item</t>
  </si>
  <si>
    <t xml:space="preserve"> - Vlookuop từ file Remax</t>
  </si>
  <si>
    <t>- Vlookup theo Item line
 trong ItemResourceCapacity</t>
  </si>
  <si>
    <t xml:space="preserve"> Vlookup vs file time sx đọc ra từ Schedule trước khi fix KH</t>
  </si>
  <si>
    <t>Copy theo cột
 LAL từ Joy ra</t>
  </si>
  <si>
    <t>ta Vlookup từ 
Next process OK theo từng sheet</t>
  </si>
  <si>
    <t>- Vlookup từ Excel 
tool sheet Item</t>
  </si>
  <si>
    <t xml:space="preserve"> - Vlookuop từ file solder gom lai của PT nhiều Cats</t>
  </si>
  <si>
    <t xml:space="preserve">- Ta Vlookup từ 
Next process OK theo từng sheet
-Sau đó lọc line Barcode Vlookup Shifft Barcode.
- Lọc Rom con nào chưa có thi Vlookup tiếp vào file Rom chung.
- Cuối cùng check lại if công Itemcode = Model codel điền Nhập kho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</si>
</sst>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/d/yy\ h:mm;@"/>
    <numFmt numFmtId="165" formatCode="g/\標\準"/>
    <numFmt numFmtId="166" formatCode="dd/mm\ h:mm"/>
    <numFmt numFmtId="167" formatCode="mm/dd\ h:mm"/>
    <numFmt numFmtId="168" formatCode="[$-409]d\-mmm;@"/>
    <numFmt numFmtId="169" formatCode="h:mm;@"/>
    <numFmt numFmtId="170" formatCode="[hh]:mm"/>
  </numFmts>
  <fonts count="35" x14ac:knownFonts="1">
    <font>
      <sz val="10"/>
      <color indexed="8"/>
      <name val="Arial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17"/>
      <name val="Times New Roman"/>
      <family val="1"/>
    </font>
    <font>
      <b/>
      <sz val="10"/>
      <color indexed="17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u/>
      <sz val="22"/>
      <color indexed="8"/>
      <name val="Times New Roman"/>
      <family val="1"/>
    </font>
    <font>
      <u/>
      <sz val="10"/>
      <color theme="1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1"/>
      <name val="Times New Roman"/>
      <family val="1"/>
    </font>
    <font>
      <b/>
      <sz val="10"/>
      <name val="Times New Roman"/>
      <family val="1"/>
    </font>
    <font>
      <b/>
      <sz val="12"/>
      <color indexed="8"/>
      <name val="Arial"/>
      <family val="2"/>
    </font>
    <font>
      <sz val="14"/>
      <color indexed="8"/>
      <name val="Arial"/>
      <family val="2"/>
    </font>
    <font>
      <sz val="14"/>
      <name val="Times New Roman"/>
      <family val="1"/>
    </font>
    <font>
      <b/>
      <sz val="14"/>
      <color indexed="8"/>
      <name val="Times New Roman"/>
      <family val="1"/>
    </font>
    <font>
      <b/>
      <sz val="16"/>
      <name val="Times New Roman"/>
      <family val="1"/>
    </font>
    <font>
      <b/>
      <sz val="16"/>
      <color indexed="8"/>
      <name val="Times New Roman"/>
      <family val="1"/>
    </font>
    <font>
      <b/>
      <u/>
      <sz val="36"/>
      <color indexed="8"/>
      <name val="Times New Roman"/>
      <family val="1"/>
    </font>
    <font>
      <b/>
      <sz val="17"/>
      <name val="Arial"/>
      <family val="2"/>
    </font>
    <font>
      <b/>
      <sz val="17"/>
      <color indexed="8"/>
      <name val="Arial"/>
      <family val="2"/>
    </font>
    <font>
      <b/>
      <sz val="18"/>
      <color indexed="8"/>
      <name val="Times New Roman"/>
      <family val="1"/>
    </font>
    <font>
      <b/>
      <sz val="11"/>
      <color indexed="8"/>
      <name val="Arial"/>
      <family val="2"/>
    </font>
    <font>
      <b/>
      <sz val="17"/>
      <name val="Times New Roman"/>
      <family val="1"/>
    </font>
    <font>
      <sz val="17"/>
      <name val="Arial"/>
      <family val="2"/>
    </font>
    <font>
      <b/>
      <sz val="13"/>
      <name val="Times New Roman"/>
      <family val="1"/>
    </font>
    <font>
      <sz val="13"/>
      <color indexed="8"/>
      <name val="Arial"/>
      <family val="2"/>
    </font>
    <font>
      <sz val="10"/>
      <name val="ＭＳ 明朝"/>
      <family val="1"/>
      <charset val="128"/>
    </font>
    <font>
      <b/>
      <sz val="14"/>
      <name val="Arial"/>
      <family val="2"/>
    </font>
    <font>
      <b/>
      <sz val="20"/>
      <name val="Times New Roman"/>
      <family val="1"/>
    </font>
    <font>
      <b/>
      <sz val="12"/>
      <color rgb="FF000000"/>
      <name val="Yu Gothic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0" fillId="0" borderId="0" applyNumberFormat="0" applyFill="0" applyBorder="0" applyAlignment="0" applyProtection="0"/>
    <xf numFmtId="0" fontId="30" fillId="0" borderId="0"/>
    <xf numFmtId="0" fontId="7" fillId="0" borderId="0"/>
  </cellStyleXfs>
  <cellXfs count="106">
    <xf numFmtId="0" fontId="0" fillId="0" borderId="0" xfId="0"/>
    <xf numFmtId="0" fontId="0" fillId="0" borderId="0" xfId="0" applyFill="1"/>
    <xf numFmtId="0" fontId="6" fillId="0" borderId="0" xfId="0" applyFont="1" applyFill="1"/>
    <xf numFmtId="0" fontId="8" fillId="0" borderId="0" xfId="0" applyFont="1" applyFill="1"/>
    <xf numFmtId="0" fontId="0" fillId="0" borderId="0" xfId="0" applyFill="1" applyAlignment="1">
      <alignment horizontal="center"/>
    </xf>
    <xf numFmtId="0" fontId="5" fillId="0" borderId="0" xfId="0" applyFont="1" applyFill="1" applyAlignment="1">
      <alignment horizontal="center"/>
    </xf>
    <xf numFmtId="0" fontId="7" fillId="0" borderId="0" xfId="0" applyFont="1" applyFill="1"/>
    <xf numFmtId="49" fontId="0" fillId="0" borderId="0" xfId="0" applyNumberFormat="1" applyFill="1"/>
    <xf numFmtId="165" fontId="13" fillId="0" borderId="10" xfId="0" applyNumberFormat="1" applyFont="1" applyFill="1" applyBorder="1" applyAlignment="1">
      <alignment horizontal="center" vertical="center" wrapText="1"/>
    </xf>
    <xf numFmtId="168" fontId="5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wrapText="1"/>
    </xf>
    <xf numFmtId="0" fontId="15" fillId="0" borderId="14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/>
    </xf>
    <xf numFmtId="165" fontId="13" fillId="0" borderId="8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Fill="1" applyBorder="1" applyAlignment="1">
      <alignment horizontal="left"/>
    </xf>
    <xf numFmtId="1" fontId="1" fillId="0" borderId="3" xfId="0" applyNumberFormat="1" applyFont="1" applyFill="1" applyBorder="1" applyAlignment="1">
      <alignment horizontal="center"/>
    </xf>
    <xf numFmtId="1" fontId="1" fillId="0" borderId="3" xfId="0" applyNumberFormat="1" applyFont="1" applyFill="1" applyBorder="1" applyAlignment="1">
      <alignment horizontal="center" wrapText="1"/>
    </xf>
    <xf numFmtId="0" fontId="7" fillId="0" borderId="11" xfId="1" applyFont="1" applyFill="1" applyBorder="1" applyAlignment="1">
      <alignment wrapText="1"/>
    </xf>
    <xf numFmtId="1" fontId="7" fillId="0" borderId="3" xfId="0" applyNumberFormat="1" applyFont="1" applyFill="1" applyBorder="1" applyAlignment="1">
      <alignment wrapText="1"/>
    </xf>
    <xf numFmtId="1" fontId="11" fillId="0" borderId="3" xfId="0" applyNumberFormat="1" applyFont="1" applyFill="1" applyBorder="1" applyAlignment="1">
      <alignment wrapText="1"/>
    </xf>
    <xf numFmtId="0" fontId="12" fillId="0" borderId="2" xfId="0" applyFont="1" applyFill="1" applyBorder="1"/>
    <xf numFmtId="0" fontId="12" fillId="0" borderId="4" xfId="0" applyNumberFormat="1" applyFont="1" applyFill="1" applyBorder="1"/>
    <xf numFmtId="168" fontId="12" fillId="0" borderId="4" xfId="0" applyNumberFormat="1" applyFont="1" applyFill="1" applyBorder="1"/>
    <xf numFmtId="0" fontId="16" fillId="0" borderId="0" xfId="0" applyFont="1" applyFill="1"/>
    <xf numFmtId="0" fontId="6" fillId="0" borderId="0" xfId="0" applyFont="1" applyFill="1" applyAlignment="1">
      <alignment horizontal="center"/>
    </xf>
    <xf numFmtId="166" fontId="1" fillId="0" borderId="1" xfId="0" quotePrefix="1" applyNumberFormat="1" applyFont="1" applyFill="1" applyBorder="1" applyAlignment="1">
      <alignment horizontal="left"/>
    </xf>
    <xf numFmtId="0" fontId="1" fillId="0" borderId="0" xfId="0" applyFont="1" applyFill="1"/>
    <xf numFmtId="0" fontId="7" fillId="0" borderId="0" xfId="0" applyFont="1" applyFill="1" applyBorder="1"/>
    <xf numFmtId="0" fontId="0" fillId="0" borderId="0" xfId="0" applyFill="1" applyBorder="1" applyAlignment="1">
      <alignment horizontal="center"/>
    </xf>
    <xf numFmtId="0" fontId="13" fillId="0" borderId="0" xfId="0" applyFont="1" applyFill="1" applyAlignment="1">
      <alignment horizontal="center" vertical="center" wrapText="1"/>
    </xf>
    <xf numFmtId="0" fontId="11" fillId="0" borderId="0" xfId="0" applyFont="1" applyFill="1" applyBorder="1"/>
    <xf numFmtId="164" fontId="14" fillId="0" borderId="0" xfId="0" applyNumberFormat="1" applyFont="1" applyFill="1"/>
    <xf numFmtId="0" fontId="2" fillId="0" borderId="0" xfId="0" applyFont="1" applyFill="1"/>
    <xf numFmtId="1" fontId="3" fillId="0" borderId="0" xfId="0" applyNumberFormat="1" applyFont="1" applyFill="1"/>
    <xf numFmtId="0" fontId="17" fillId="0" borderId="0" xfId="0" applyFont="1" applyFill="1"/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Fill="1" applyAlignment="1"/>
    <xf numFmtId="165" fontId="13" fillId="0" borderId="7" xfId="0" applyNumberFormat="1" applyFont="1" applyFill="1" applyBorder="1" applyAlignment="1">
      <alignment horizontal="center" vertical="center" wrapText="1"/>
    </xf>
    <xf numFmtId="165" fontId="13" fillId="0" borderId="9" xfId="0" applyNumberFormat="1" applyFont="1" applyFill="1" applyBorder="1" applyAlignment="1">
      <alignment horizontal="center" vertical="center" wrapText="1"/>
    </xf>
    <xf numFmtId="165" fontId="13" fillId="0" borderId="5" xfId="0" applyNumberFormat="1" applyFont="1" applyFill="1" applyBorder="1" applyAlignment="1">
      <alignment horizontal="center" vertical="center" wrapText="1"/>
    </xf>
    <xf numFmtId="168" fontId="13" fillId="0" borderId="5" xfId="0" applyNumberFormat="1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/>
    </xf>
    <xf numFmtId="17" fontId="19" fillId="0" borderId="13" xfId="0" applyNumberFormat="1" applyFont="1" applyFill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/>
    </xf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0" fontId="2" fillId="2" borderId="0" xfId="0" applyFont="1" applyFill="1" applyAlignment="1"/>
    <xf numFmtId="169" fontId="13" fillId="0" borderId="10" xfId="0" applyNumberFormat="1" applyFont="1" applyFill="1" applyBorder="1" applyAlignment="1">
      <alignment horizontal="center" vertical="center" wrapText="1"/>
    </xf>
    <xf numFmtId="169" fontId="0" fillId="0" borderId="0" xfId="0" applyNumberFormat="1" applyFill="1"/>
    <xf numFmtId="1" fontId="23" fillId="0" borderId="0" xfId="0" applyNumberFormat="1" applyFont="1" applyFill="1"/>
    <xf numFmtId="49" fontId="13" fillId="0" borderId="7" xfId="0" applyNumberFormat="1" applyFont="1" applyFill="1" applyBorder="1" applyAlignment="1">
      <alignment horizontal="center" vertical="center" wrapText="1"/>
    </xf>
    <xf numFmtId="49" fontId="25" fillId="0" borderId="0" xfId="0" applyNumberFormat="1" applyFont="1" applyFill="1"/>
    <xf numFmtId="49" fontId="25" fillId="0" borderId="0" xfId="0" applyNumberFormat="1" applyFont="1" applyFill="1" applyAlignment="1">
      <alignment horizontal="right"/>
    </xf>
    <xf numFmtId="49" fontId="25" fillId="2" borderId="0" xfId="0" applyNumberFormat="1" applyFont="1" applyFill="1"/>
    <xf numFmtId="0" fontId="13" fillId="2" borderId="0" xfId="0" applyFont="1" applyFill="1" applyAlignment="1">
      <alignment horizontal="center" vertical="center" wrapText="1"/>
    </xf>
    <xf numFmtId="165" fontId="14" fillId="0" borderId="7" xfId="0" applyNumberFormat="1" applyFont="1" applyFill="1" applyBorder="1" applyAlignment="1">
      <alignment horizontal="left" vertical="center" wrapText="1"/>
    </xf>
    <xf numFmtId="0" fontId="16" fillId="0" borderId="14" xfId="0" applyFont="1" applyBorder="1" applyAlignment="1">
      <alignment horizontal="center" wrapText="1"/>
    </xf>
    <xf numFmtId="0" fontId="11" fillId="0" borderId="3" xfId="0" applyNumberFormat="1" applyFont="1" applyFill="1" applyBorder="1" applyAlignment="1">
      <alignment wrapText="1"/>
    </xf>
    <xf numFmtId="0" fontId="6" fillId="0" borderId="0" xfId="0" applyFont="1" applyFill="1" applyBorder="1" applyAlignment="1">
      <alignment horizontal="center"/>
    </xf>
    <xf numFmtId="1" fontId="7" fillId="0" borderId="2" xfId="0" applyNumberFormat="1" applyFont="1" applyFill="1" applyBorder="1" applyAlignment="1">
      <alignment horizontal="center"/>
    </xf>
    <xf numFmtId="0" fontId="23" fillId="0" borderId="0" xfId="0" applyFont="1" applyFill="1"/>
    <xf numFmtId="0" fontId="27" fillId="0" borderId="0" xfId="0" applyFont="1" applyFill="1" applyBorder="1"/>
    <xf numFmtId="167" fontId="26" fillId="0" borderId="4" xfId="0" quotePrefix="1" applyNumberFormat="1" applyFont="1" applyFill="1" applyBorder="1" applyAlignment="1">
      <alignment horizontal="left"/>
    </xf>
    <xf numFmtId="0" fontId="29" fillId="0" borderId="0" xfId="0" applyFont="1" applyFill="1"/>
    <xf numFmtId="170" fontId="0" fillId="0" borderId="16" xfId="0" applyNumberFormat="1" applyFill="1" applyBorder="1" applyAlignment="1">
      <alignment horizontal="right"/>
    </xf>
    <xf numFmtId="0" fontId="31" fillId="0" borderId="1" xfId="0" applyFont="1" applyFill="1" applyBorder="1" applyAlignment="1">
      <alignment horizontal="right"/>
    </xf>
    <xf numFmtId="167" fontId="32" fillId="0" borderId="4" xfId="0" applyNumberFormat="1" applyFont="1" applyFill="1" applyBorder="1" applyAlignment="1">
      <alignment horizontal="left"/>
    </xf>
    <xf numFmtId="167" fontId="14" fillId="0" borderId="3" xfId="0" applyNumberFormat="1" applyFont="1" applyFill="1" applyBorder="1" applyAlignment="1">
      <alignment horizontal="left"/>
    </xf>
    <xf numFmtId="0" fontId="12" fillId="0" borderId="12" xfId="0" quotePrefix="1" applyFont="1" applyFill="1" applyBorder="1" applyAlignment="1">
      <alignment horizontal="right"/>
    </xf>
    <xf numFmtId="0" fontId="22" fillId="0" borderId="15" xfId="1" applyNumberFormat="1" applyFont="1" applyFill="1" applyBorder="1" applyAlignment="1">
      <alignment wrapText="1"/>
    </xf>
    <xf numFmtId="0" fontId="33" fillId="0" borderId="0" xfId="0" applyFont="1"/>
    <xf numFmtId="0" fontId="2" fillId="0" borderId="0" xfId="0" applyFont="1"/>
    <xf numFmtId="2" fontId="11" fillId="0" borderId="1" xfId="0" applyNumberFormat="1" applyFont="1" applyFill="1" applyBorder="1" applyAlignment="1">
      <alignment horizontal="right"/>
    </xf>
    <xf numFmtId="1" fontId="34" fillId="0" borderId="3" xfId="0" applyNumberFormat="1" applyFont="1" applyFill="1" applyBorder="1" applyAlignment="1">
      <alignment wrapText="1"/>
    </xf>
    <xf numFmtId="1" fontId="7" fillId="0" borderId="0" xfId="0" applyNumberFormat="1" applyFont="1"/>
    <xf numFmtId="0" fontId="7" fillId="2" borderId="0" xfId="0" applyFont="1" applyFill="1"/>
    <xf numFmtId="166" fontId="7" fillId="2" borderId="0" xfId="0" applyNumberFormat="1" applyFont="1" applyFill="1"/>
    <xf numFmtId="1" fontId="7" fillId="2" borderId="0" xfId="0" applyNumberFormat="1" applyFont="1" applyFill="1"/>
    <xf numFmtId="0" fontId="21" fillId="0" borderId="0" xfId="0" applyFont="1" applyFill="1" applyAlignment="1">
      <alignment horizontal="center"/>
    </xf>
    <xf numFmtId="164" fontId="24" fillId="0" borderId="13" xfId="0" applyNumberFormat="1" applyFont="1" applyFill="1" applyBorder="1" applyAlignment="1">
      <alignment horizontal="center" vertical="center"/>
    </xf>
    <xf numFmtId="22" fontId="20" fillId="0" borderId="13" xfId="0" quotePrefix="1" applyNumberFormat="1" applyFont="1" applyFill="1" applyBorder="1" applyAlignment="1">
      <alignment horizontal="center" vertical="center"/>
    </xf>
    <xf numFmtId="0" fontId="20" fillId="0" borderId="13" xfId="0" applyFont="1" applyFill="1" applyBorder="1" applyAlignment="1">
      <alignment horizontal="center" vertical="center"/>
    </xf>
    <xf numFmtId="165" fontId="13" fillId="2" borderId="6" xfId="0" applyNumberFormat="1" applyFont="1" applyFill="1" applyBorder="1" applyAlignment="1">
      <alignment horizontal="center" vertical="center" wrapText="1"/>
    </xf>
    <xf numFmtId="165" fontId="28" fillId="2" borderId="7" xfId="0" applyNumberFormat="1" applyFont="1" applyFill="1" applyBorder="1" applyAlignment="1">
      <alignment horizontal="center" vertical="center" wrapText="1"/>
    </xf>
    <xf numFmtId="164" fontId="13" fillId="2" borderId="9" xfId="0" applyNumberFormat="1" applyFont="1" applyFill="1" applyBorder="1" applyAlignment="1">
      <alignment horizontal="left" vertical="center"/>
    </xf>
    <xf numFmtId="164" fontId="13" fillId="2" borderId="8" xfId="0" applyNumberFormat="1" applyFont="1" applyFill="1" applyBorder="1" applyAlignment="1">
      <alignment horizontal="center" vertical="center" wrapText="1"/>
    </xf>
    <xf numFmtId="165" fontId="13" fillId="2" borderId="8" xfId="0" applyNumberFormat="1" applyFont="1" applyFill="1" applyBorder="1" applyAlignment="1">
      <alignment horizontal="center" vertical="center" wrapText="1"/>
    </xf>
    <xf numFmtId="165" fontId="13" fillId="2" borderId="9" xfId="0" applyNumberFormat="1" applyFont="1" applyFill="1" applyBorder="1" applyAlignment="1">
      <alignment horizontal="center" vertical="center" wrapText="1"/>
    </xf>
    <xf numFmtId="1" fontId="13" fillId="2" borderId="5" xfId="0" applyNumberFormat="1" applyFont="1" applyFill="1" applyBorder="1" applyAlignment="1">
      <alignment horizontal="center" vertical="center" wrapText="1"/>
    </xf>
    <xf numFmtId="1" fontId="7" fillId="0" borderId="3" xfId="0" applyNumberFormat="1" applyFont="1" applyFill="1" applyBorder="1" applyAlignment="1">
      <alignment horizontal="center" vertical="center" wrapText="1"/>
    </xf>
    <xf numFmtId="0" fontId="11" fillId="0" borderId="3" xfId="0" applyNumberFormat="1" applyFont="1" applyFill="1" applyBorder="1" applyAlignment="1">
      <alignment horizontal="center" vertical="center" wrapText="1"/>
    </xf>
    <xf numFmtId="1" fontId="11" fillId="0" borderId="3" xfId="0" applyNumberFormat="1" applyFont="1" applyFill="1" applyBorder="1" applyAlignment="1">
      <alignment horizontal="center" vertical="center" wrapText="1"/>
    </xf>
    <xf numFmtId="2" fontId="11" fillId="0" borderId="1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168" fontId="12" fillId="0" borderId="4" xfId="0" applyNumberFormat="1" applyFont="1" applyFill="1" applyBorder="1" applyAlignment="1">
      <alignment horizontal="center" vertical="center"/>
    </xf>
    <xf numFmtId="0" fontId="12" fillId="0" borderId="12" xfId="0" quotePrefix="1" applyFont="1" applyFill="1" applyBorder="1" applyAlignment="1">
      <alignment horizontal="center" vertical="center" wrapText="1"/>
    </xf>
    <xf numFmtId="164" fontId="13" fillId="2" borderId="9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Fill="1" applyBorder="1" applyAlignment="1">
      <alignment horizontal="center" vertical="center" wrapText="1"/>
    </xf>
    <xf numFmtId="167" fontId="1" fillId="0" borderId="2" xfId="0" quotePrefix="1" applyNumberFormat="1" applyFont="1" applyFill="1" applyBorder="1" applyAlignment="1">
      <alignment horizontal="center" vertical="center" wrapText="1"/>
    </xf>
    <xf numFmtId="1" fontId="1" fillId="0" borderId="3" xfId="0" quotePrefix="1" applyNumberFormat="1" applyFont="1" applyFill="1" applyBorder="1" applyAlignment="1">
      <alignment horizontal="center" vertical="center" wrapText="1"/>
    </xf>
    <xf numFmtId="0" fontId="7" fillId="0" borderId="11" xfId="1" quotePrefix="1" applyFont="1" applyFill="1" applyBorder="1" applyAlignment="1">
      <alignment horizontal="center" vertical="center" wrapText="1"/>
    </xf>
    <xf numFmtId="0" fontId="7" fillId="0" borderId="1" xfId="1" quotePrefix="1" applyFont="1" applyFill="1" applyBorder="1" applyAlignment="1">
      <alignment horizontal="center" vertical="center" wrapText="1"/>
    </xf>
    <xf numFmtId="1" fontId="7" fillId="0" borderId="2" xfId="0" quotePrefix="1" applyNumberFormat="1" applyFont="1" applyFill="1" applyBorder="1" applyAlignment="1">
      <alignment horizontal="center" vertical="center" wrapText="1"/>
    </xf>
  </cellXfs>
  <cellStyles count="4">
    <cellStyle name="Hyperlink" xfId="1" builtinId="8"/>
    <cellStyle name="Normal" xfId="0" builtinId="0"/>
    <cellStyle name="標準_CVC-PLAN" xfId="3" xr:uid="{00000000-0005-0000-0000-000002000000}"/>
    <cellStyle name="湪" xfId="2" xr:uid="{00000000-0005-0000-0000-000003000000}"/>
  </cellStyles>
  <dxfs count="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emf"/><Relationship Id="rId6" Type="http://schemas.openxmlformats.org/officeDocument/2006/relationships/image" Target="../media/image1.emf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6658</xdr:colOff>
          <xdr:row>292</xdr:row>
          <xdr:rowOff>100852</xdr:rowOff>
        </xdr:from>
        <xdr:to>
          <xdr:col>19</xdr:col>
          <xdr:colOff>380424</xdr:colOff>
          <xdr:row>294</xdr:row>
          <xdr:rowOff>593547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1!$O$10:$Q$11" spid="_x0000_s259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2075393" y="176167676"/>
              <a:ext cx="5687456" cy="170293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</xdr:row>
      <xdr:rowOff>0</xdr:rowOff>
    </xdr:from>
    <xdr:to>
      <xdr:col>12</xdr:col>
      <xdr:colOff>50986</xdr:colOff>
      <xdr:row>13</xdr:row>
      <xdr:rowOff>34178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57325"/>
          <a:ext cx="5537386" cy="19106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11</xdr:col>
      <xdr:colOff>427127</xdr:colOff>
      <xdr:row>37</xdr:row>
      <xdr:rowOff>14620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4371975"/>
          <a:ext cx="4694327" cy="163387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28575</xdr:rowOff>
    </xdr:from>
    <xdr:to>
      <xdr:col>16</xdr:col>
      <xdr:colOff>598577</xdr:colOff>
      <xdr:row>37</xdr:row>
      <xdr:rowOff>43195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24800" y="4400550"/>
          <a:ext cx="4694327" cy="163387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39</xdr:row>
      <xdr:rowOff>0</xdr:rowOff>
    </xdr:from>
    <xdr:to>
      <xdr:col>16</xdr:col>
      <xdr:colOff>726604</xdr:colOff>
      <xdr:row>49</xdr:row>
      <xdr:rowOff>160936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24800" y="6315075"/>
          <a:ext cx="4822354" cy="1780186"/>
        </a:xfrm>
        <a:prstGeom prst="rect">
          <a:avLst/>
        </a:prstGeom>
      </xdr:spPr>
    </xdr:pic>
    <xdr:clientData/>
  </xdr:twoCellAnchor>
  <xdr:twoCellAnchor editAs="oneCell">
    <xdr:from>
      <xdr:col>3</xdr:col>
      <xdr:colOff>581025</xdr:colOff>
      <xdr:row>38</xdr:row>
      <xdr:rowOff>95250</xdr:rowOff>
    </xdr:from>
    <xdr:to>
      <xdr:col>11</xdr:col>
      <xdr:colOff>526579</xdr:colOff>
      <xdr:row>49</xdr:row>
      <xdr:rowOff>94261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09825" y="6248400"/>
          <a:ext cx="4822354" cy="178018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600075</xdr:colOff>
          <xdr:row>13</xdr:row>
          <xdr:rowOff>85725</xdr:rowOff>
        </xdr:from>
        <xdr:to>
          <xdr:col>17</xdr:col>
          <xdr:colOff>0</xdr:colOff>
          <xdr:row>23</xdr:row>
          <xdr:rowOff>28575</xdr:rowOff>
        </xdr:to>
        <xdr:pic>
          <xdr:nvPicPr>
            <xdr:cNvPr id="9" name="Picture 8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0:$Q$11" spid="_x0000_s1835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8524875" y="3429000"/>
              <a:ext cx="5238750" cy="15621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duction\01.SMT\02.%20Production\Production%20Plan\4.Sinh%20Plan\Hang%20bu%20,thua\Next%20process%20O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duction\01.SMT\02.%20Production\Production%20Plan\4.Sinh%20Plan\Hang%20bu%20,thua\B&#7843;ng%20th&#7889;ng%20k&#234;%20&#273;i&#7875;n%20c&#7855;m%20SMT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xt process XÓA materil,khắc"/>
      <sheetName val="Previous process"/>
      <sheetName val="PCB barcode"/>
      <sheetName val="Rom dung chung"/>
      <sheetName val="IOT"/>
    </sheetNames>
    <sheetDataSet>
      <sheetData sheetId="0"/>
      <sheetData sheetId="1"/>
      <sheetData sheetId="2"/>
      <sheetData sheetId="3"/>
      <sheetData sheetId="4">
        <row r="1">
          <cell r="A1" t="str">
            <v>ItemCode</v>
          </cell>
          <cell r="C1">
            <v>1</v>
          </cell>
          <cell r="D1" t="str">
            <v>Điểm cắm</v>
          </cell>
          <cell r="E1" t="str">
            <v>BF-Production Version</v>
          </cell>
          <cell r="F1" t="str">
            <v>BF-Plant</v>
          </cell>
          <cell r="G1" t="str">
            <v>TF-Action</v>
          </cell>
          <cell r="H1" t="str">
            <v>TF-Movement Type</v>
          </cell>
          <cell r="I1" t="str">
            <v>TF-From Location</v>
          </cell>
          <cell r="J1" t="str">
            <v>TF-To Location</v>
          </cell>
          <cell r="K1" t="str">
            <v>TF-Action</v>
          </cell>
        </row>
        <row r="2">
          <cell r="E2" t="str">
            <v>Kho mình</v>
          </cell>
          <cell r="F2" t="str">
            <v>cat</v>
          </cell>
          <cell r="I2" t="str">
            <v xml:space="preserve">Kho nhận </v>
          </cell>
          <cell r="J2" t="str">
            <v>Kho chuyển</v>
          </cell>
        </row>
        <row r="3">
          <cell r="A3" t="str">
            <v>1AP4LP1525JPZA</v>
          </cell>
          <cell r="B3" t="str">
            <v>SMT</v>
          </cell>
          <cell r="C3">
            <v>1</v>
          </cell>
          <cell r="D3">
            <v>9</v>
          </cell>
          <cell r="E3">
            <v>2210</v>
          </cell>
          <cell r="F3" t="str">
            <v>VC01</v>
          </cell>
          <cell r="G3" t="str">
            <v>Auto</v>
          </cell>
          <cell r="H3">
            <v>311</v>
          </cell>
          <cell r="I3">
            <v>2210</v>
          </cell>
          <cell r="J3">
            <v>2310</v>
          </cell>
          <cell r="K3" t="str">
            <v>VC01</v>
          </cell>
        </row>
        <row r="4">
          <cell r="A4" t="str">
            <v>1AP0LP1525JPZA</v>
          </cell>
          <cell r="B4" t="str">
            <v>DIP</v>
          </cell>
          <cell r="C4">
            <v>1</v>
          </cell>
          <cell r="D4" t="e">
            <v>#N/A</v>
          </cell>
          <cell r="E4">
            <v>2210</v>
          </cell>
          <cell r="F4" t="str">
            <v>VC01</v>
          </cell>
          <cell r="G4" t="str">
            <v>Auto</v>
          </cell>
          <cell r="H4">
            <v>311</v>
          </cell>
          <cell r="I4">
            <v>2210</v>
          </cell>
          <cell r="J4">
            <v>2310</v>
          </cell>
          <cell r="K4" t="str">
            <v>VC01</v>
          </cell>
        </row>
        <row r="5">
          <cell r="A5" t="str">
            <v>1RE1D820V4</v>
          </cell>
          <cell r="B5" t="str">
            <v>SMT</v>
          </cell>
          <cell r="C5">
            <v>1</v>
          </cell>
          <cell r="D5">
            <v>304</v>
          </cell>
        </row>
        <row r="6">
          <cell r="A6" t="str">
            <v>1RH1D820V4</v>
          </cell>
          <cell r="B6" t="str">
            <v>SMT</v>
          </cell>
          <cell r="C6">
            <v>1</v>
          </cell>
          <cell r="D6">
            <v>67</v>
          </cell>
        </row>
        <row r="7">
          <cell r="A7" t="str">
            <v>1CM1D820V4</v>
          </cell>
          <cell r="B7" t="str">
            <v>SMT</v>
          </cell>
          <cell r="C7">
            <v>1</v>
          </cell>
          <cell r="D7">
            <v>381</v>
          </cell>
          <cell r="E7">
            <v>2210</v>
          </cell>
          <cell r="F7" t="str">
            <v>VC01</v>
          </cell>
          <cell r="G7" t="str">
            <v>Auto</v>
          </cell>
          <cell r="H7">
            <v>311</v>
          </cell>
          <cell r="I7">
            <v>2210</v>
          </cell>
          <cell r="J7">
            <v>2310</v>
          </cell>
          <cell r="K7" t="str">
            <v>VC01</v>
          </cell>
        </row>
        <row r="8">
          <cell r="A8" t="str">
            <v>1AP1D820V4</v>
          </cell>
          <cell r="B8" t="str">
            <v>DIP</v>
          </cell>
          <cell r="C8">
            <v>1</v>
          </cell>
          <cell r="D8" t="e">
            <v>#N/A</v>
          </cell>
          <cell r="E8">
            <v>2210</v>
          </cell>
          <cell r="F8" t="str">
            <v>VC01</v>
          </cell>
          <cell r="G8" t="str">
            <v>Auto</v>
          </cell>
          <cell r="H8">
            <v>311</v>
          </cell>
          <cell r="I8">
            <v>2210</v>
          </cell>
          <cell r="J8">
            <v>2310</v>
          </cell>
          <cell r="K8" t="str">
            <v>VC01</v>
          </cell>
        </row>
        <row r="9">
          <cell r="A9" t="str">
            <v>1RE1D921CV4</v>
          </cell>
          <cell r="B9" t="str">
            <v>SMT</v>
          </cell>
          <cell r="C9">
            <v>1</v>
          </cell>
          <cell r="D9">
            <v>271</v>
          </cell>
        </row>
        <row r="10">
          <cell r="A10" t="str">
            <v>1RH1D921CV4</v>
          </cell>
          <cell r="B10" t="str">
            <v>SMT</v>
          </cell>
          <cell r="C10">
            <v>1</v>
          </cell>
          <cell r="D10">
            <v>50</v>
          </cell>
          <cell r="E10">
            <v>2210</v>
          </cell>
          <cell r="F10" t="str">
            <v>VC01</v>
          </cell>
          <cell r="G10" t="str">
            <v>Auto</v>
          </cell>
          <cell r="H10">
            <v>311</v>
          </cell>
          <cell r="I10">
            <v>2210</v>
          </cell>
          <cell r="J10">
            <v>2310</v>
          </cell>
          <cell r="K10" t="str">
            <v>VC01</v>
          </cell>
        </row>
        <row r="11">
          <cell r="A11" t="str">
            <v>1AP1D921CV4</v>
          </cell>
          <cell r="B11" t="str">
            <v>DIP</v>
          </cell>
          <cell r="C11">
            <v>1</v>
          </cell>
          <cell r="D11" t="e">
            <v>#N/A</v>
          </cell>
          <cell r="E11">
            <v>2210</v>
          </cell>
          <cell r="F11" t="str">
            <v>VC01</v>
          </cell>
          <cell r="G11" t="str">
            <v>Auto</v>
          </cell>
          <cell r="H11">
            <v>311</v>
          </cell>
          <cell r="I11">
            <v>2210</v>
          </cell>
          <cell r="J11">
            <v>2310</v>
          </cell>
          <cell r="K11" t="str">
            <v>VC01</v>
          </cell>
        </row>
        <row r="12">
          <cell r="A12" t="str">
            <v>1RE2F081A</v>
          </cell>
          <cell r="B12" t="str">
            <v>SMT</v>
          </cell>
          <cell r="C12">
            <v>1</v>
          </cell>
          <cell r="D12">
            <v>157</v>
          </cell>
          <cell r="E12">
            <v>2210</v>
          </cell>
          <cell r="F12" t="str">
            <v>VC01</v>
          </cell>
          <cell r="G12" t="str">
            <v>Auto</v>
          </cell>
          <cell r="H12">
            <v>311</v>
          </cell>
          <cell r="I12">
            <v>2210</v>
          </cell>
          <cell r="J12">
            <v>2310</v>
          </cell>
          <cell r="K12" t="str">
            <v>VC01</v>
          </cell>
        </row>
        <row r="13">
          <cell r="A13" t="str">
            <v>1AP1F081A</v>
          </cell>
          <cell r="B13" t="str">
            <v>DIP</v>
          </cell>
          <cell r="C13">
            <v>1</v>
          </cell>
          <cell r="D13" t="e">
            <v>#N/A</v>
          </cell>
          <cell r="E13">
            <v>2210</v>
          </cell>
          <cell r="F13" t="str">
            <v>VC01</v>
          </cell>
          <cell r="G13" t="str">
            <v>Auto</v>
          </cell>
          <cell r="H13">
            <v>311</v>
          </cell>
          <cell r="I13">
            <v>2210</v>
          </cell>
          <cell r="J13">
            <v>2310</v>
          </cell>
          <cell r="K13" t="str">
            <v>VC01</v>
          </cell>
        </row>
        <row r="14">
          <cell r="A14" t="str">
            <v>1AP1F082</v>
          </cell>
          <cell r="B14" t="str">
            <v>DIP</v>
          </cell>
          <cell r="C14">
            <v>1</v>
          </cell>
          <cell r="D14" t="e">
            <v>#N/A</v>
          </cell>
          <cell r="E14">
            <v>2210</v>
          </cell>
          <cell r="F14" t="str">
            <v>VC01</v>
          </cell>
          <cell r="G14" t="str">
            <v>Auto</v>
          </cell>
          <cell r="H14">
            <v>311</v>
          </cell>
          <cell r="I14">
            <v>2210</v>
          </cell>
          <cell r="J14">
            <v>2310</v>
          </cell>
          <cell r="K14" t="str">
            <v>VC01</v>
          </cell>
        </row>
        <row r="15">
          <cell r="A15" t="str">
            <v>1CM1F220V4</v>
          </cell>
          <cell r="B15" t="str">
            <v>SMT</v>
          </cell>
          <cell r="C15">
            <v>1</v>
          </cell>
          <cell r="D15">
            <v>160</v>
          </cell>
        </row>
        <row r="16">
          <cell r="A16" t="str">
            <v>1RE2F220V4</v>
          </cell>
          <cell r="B16" t="str">
            <v>SMT</v>
          </cell>
          <cell r="C16">
            <v>1</v>
          </cell>
          <cell r="D16">
            <v>141</v>
          </cell>
        </row>
        <row r="17">
          <cell r="A17" t="str">
            <v>1RH1F220V4</v>
          </cell>
          <cell r="B17" t="str">
            <v>SMT</v>
          </cell>
          <cell r="C17">
            <v>1</v>
          </cell>
          <cell r="D17">
            <v>25</v>
          </cell>
          <cell r="E17">
            <v>2210</v>
          </cell>
          <cell r="F17" t="str">
            <v>VC01</v>
          </cell>
          <cell r="G17" t="str">
            <v>Auto</v>
          </cell>
          <cell r="H17">
            <v>311</v>
          </cell>
          <cell r="I17">
            <v>2210</v>
          </cell>
          <cell r="J17">
            <v>2310</v>
          </cell>
          <cell r="K17" t="str">
            <v>VC01</v>
          </cell>
        </row>
        <row r="18">
          <cell r="A18" t="str">
            <v>1AP1F220V4</v>
          </cell>
          <cell r="B18" t="str">
            <v>DIP</v>
          </cell>
          <cell r="C18">
            <v>1</v>
          </cell>
          <cell r="D18" t="e">
            <v>#N/A</v>
          </cell>
          <cell r="E18">
            <v>2210</v>
          </cell>
          <cell r="F18" t="str">
            <v>VC01</v>
          </cell>
          <cell r="G18" t="str">
            <v>Auto</v>
          </cell>
          <cell r="H18">
            <v>311</v>
          </cell>
          <cell r="I18">
            <v>2210</v>
          </cell>
          <cell r="J18">
            <v>2310</v>
          </cell>
          <cell r="K18" t="str">
            <v>VC01</v>
          </cell>
        </row>
        <row r="19">
          <cell r="A19" t="str">
            <v>1CM1F222V4</v>
          </cell>
          <cell r="B19" t="str">
            <v>SMT</v>
          </cell>
          <cell r="C19">
            <v>1</v>
          </cell>
          <cell r="D19">
            <v>120</v>
          </cell>
        </row>
        <row r="20">
          <cell r="A20" t="str">
            <v>1RE2F222V4</v>
          </cell>
          <cell r="B20" t="str">
            <v>SMT</v>
          </cell>
          <cell r="C20">
            <v>1</v>
          </cell>
          <cell r="D20">
            <v>212</v>
          </cell>
          <cell r="E20">
            <v>2210</v>
          </cell>
          <cell r="F20" t="str">
            <v>VC01</v>
          </cell>
          <cell r="G20" t="str">
            <v>Auto</v>
          </cell>
          <cell r="H20">
            <v>311</v>
          </cell>
          <cell r="I20">
            <v>2210</v>
          </cell>
          <cell r="J20">
            <v>2310</v>
          </cell>
          <cell r="K20" t="str">
            <v>VC01</v>
          </cell>
        </row>
        <row r="21">
          <cell r="A21" t="str">
            <v>1AP1F222V4</v>
          </cell>
          <cell r="B21" t="str">
            <v>DIP</v>
          </cell>
          <cell r="C21">
            <v>1</v>
          </cell>
          <cell r="D21" t="e">
            <v>#N/A</v>
          </cell>
          <cell r="E21">
            <v>2210</v>
          </cell>
          <cell r="F21" t="str">
            <v>VC01</v>
          </cell>
          <cell r="G21" t="str">
            <v>Auto</v>
          </cell>
          <cell r="H21">
            <v>311</v>
          </cell>
          <cell r="I21">
            <v>2210</v>
          </cell>
          <cell r="J21">
            <v>2310</v>
          </cell>
          <cell r="K21" t="str">
            <v>VC01</v>
          </cell>
        </row>
        <row r="22">
          <cell r="A22" t="str">
            <v>1RE1F231V4</v>
          </cell>
          <cell r="B22" t="str">
            <v>SMT</v>
          </cell>
          <cell r="C22">
            <v>1</v>
          </cell>
          <cell r="D22">
            <v>56</v>
          </cell>
        </row>
        <row r="23">
          <cell r="A23" t="str">
            <v>1RE2F231V4</v>
          </cell>
          <cell r="B23" t="str">
            <v>SMT</v>
          </cell>
          <cell r="C23">
            <v>1</v>
          </cell>
          <cell r="D23">
            <v>196</v>
          </cell>
        </row>
        <row r="24">
          <cell r="A24" t="str">
            <v>1RH1F231V4</v>
          </cell>
          <cell r="B24" t="str">
            <v>SMT</v>
          </cell>
          <cell r="C24">
            <v>1</v>
          </cell>
          <cell r="D24">
            <v>8</v>
          </cell>
          <cell r="E24">
            <v>2210</v>
          </cell>
          <cell r="F24" t="str">
            <v>VC01</v>
          </cell>
          <cell r="G24" t="str">
            <v>Auto</v>
          </cell>
          <cell r="H24">
            <v>311</v>
          </cell>
          <cell r="I24">
            <v>2210</v>
          </cell>
          <cell r="J24">
            <v>2310</v>
          </cell>
          <cell r="K24" t="str">
            <v>VC01</v>
          </cell>
        </row>
        <row r="25">
          <cell r="A25" t="str">
            <v>1AP1F231V4</v>
          </cell>
          <cell r="B25" t="str">
            <v>DIP</v>
          </cell>
          <cell r="C25">
            <v>1</v>
          </cell>
          <cell r="D25" t="e">
            <v>#N/A</v>
          </cell>
          <cell r="E25">
            <v>2210</v>
          </cell>
          <cell r="F25" t="str">
            <v>VC01</v>
          </cell>
          <cell r="G25" t="str">
            <v>Auto</v>
          </cell>
          <cell r="H25">
            <v>311</v>
          </cell>
          <cell r="I25">
            <v>2210</v>
          </cell>
          <cell r="J25">
            <v>2310</v>
          </cell>
          <cell r="K25" t="str">
            <v>VC01</v>
          </cell>
        </row>
        <row r="26">
          <cell r="A26" t="str">
            <v>1AP1LC1024ZA</v>
          </cell>
          <cell r="B26" t="str">
            <v>DIP</v>
          </cell>
          <cell r="C26">
            <v>1</v>
          </cell>
          <cell r="D26" t="e">
            <v>#N/A</v>
          </cell>
          <cell r="E26">
            <v>2210</v>
          </cell>
          <cell r="F26" t="str">
            <v>VC01</v>
          </cell>
          <cell r="G26" t="str">
            <v>Auto</v>
          </cell>
          <cell r="H26">
            <v>311</v>
          </cell>
          <cell r="I26">
            <v>2210</v>
          </cell>
          <cell r="J26">
            <v>2310</v>
          </cell>
          <cell r="K26" t="str">
            <v>VC01</v>
          </cell>
        </row>
        <row r="27">
          <cell r="A27" t="str">
            <v>1VJ1LP2288ZA</v>
          </cell>
          <cell r="B27" t="str">
            <v>SMT</v>
          </cell>
          <cell r="C27">
            <v>1</v>
          </cell>
          <cell r="D27" t="e">
            <v>#N/A</v>
          </cell>
        </row>
        <row r="28">
          <cell r="A28" t="str">
            <v>1RE1LP2288ZA</v>
          </cell>
          <cell r="B28" t="str">
            <v>SMT</v>
          </cell>
          <cell r="C28">
            <v>1</v>
          </cell>
          <cell r="D28">
            <v>265</v>
          </cell>
        </row>
        <row r="29">
          <cell r="A29" t="str">
            <v>1RE2LP2288ZA</v>
          </cell>
          <cell r="B29" t="str">
            <v>SMT</v>
          </cell>
          <cell r="C29">
            <v>1</v>
          </cell>
          <cell r="D29">
            <v>460</v>
          </cell>
        </row>
        <row r="30">
          <cell r="A30" t="str">
            <v>1RH1LP2288ZA</v>
          </cell>
          <cell r="B30" t="str">
            <v>SMT</v>
          </cell>
          <cell r="C30">
            <v>1</v>
          </cell>
          <cell r="D30">
            <v>8</v>
          </cell>
          <cell r="E30">
            <v>2210</v>
          </cell>
          <cell r="F30" t="str">
            <v>VC01</v>
          </cell>
          <cell r="G30" t="str">
            <v>Auto</v>
          </cell>
          <cell r="H30">
            <v>311</v>
          </cell>
          <cell r="I30">
            <v>2210</v>
          </cell>
          <cell r="J30">
            <v>2220</v>
          </cell>
          <cell r="K30" t="str">
            <v>VC01</v>
          </cell>
        </row>
        <row r="31">
          <cell r="A31" t="str">
            <v>1AP1LP2288ZA</v>
          </cell>
          <cell r="B31" t="str">
            <v>DIP</v>
          </cell>
          <cell r="C31">
            <v>1</v>
          </cell>
          <cell r="D31" t="e">
            <v>#N/A</v>
          </cell>
          <cell r="E31">
            <v>2210</v>
          </cell>
          <cell r="F31" t="str">
            <v>VC01</v>
          </cell>
          <cell r="G31" t="str">
            <v>Auto</v>
          </cell>
          <cell r="H31">
            <v>311</v>
          </cell>
          <cell r="I31">
            <v>2210</v>
          </cell>
          <cell r="J31">
            <v>2220</v>
          </cell>
          <cell r="K31" t="str">
            <v>VC01</v>
          </cell>
        </row>
        <row r="32">
          <cell r="A32" t="str">
            <v>1AP1LP2289ZA</v>
          </cell>
          <cell r="B32" t="str">
            <v>DIP</v>
          </cell>
          <cell r="C32">
            <v>1</v>
          </cell>
          <cell r="D32" t="e">
            <v>#N/A</v>
          </cell>
          <cell r="E32">
            <v>2210</v>
          </cell>
          <cell r="F32" t="str">
            <v>VC01</v>
          </cell>
          <cell r="G32" t="str">
            <v>Auto</v>
          </cell>
          <cell r="H32">
            <v>311</v>
          </cell>
          <cell r="I32">
            <v>2210</v>
          </cell>
          <cell r="J32">
            <v>2310</v>
          </cell>
          <cell r="K32" t="str">
            <v>VC01</v>
          </cell>
        </row>
        <row r="33">
          <cell r="A33" t="str">
            <v>1VI1LP2534ZA</v>
          </cell>
          <cell r="B33" t="str">
            <v>SMT</v>
          </cell>
          <cell r="C33">
            <v>1</v>
          </cell>
          <cell r="D33" t="e">
            <v>#N/A</v>
          </cell>
        </row>
        <row r="34">
          <cell r="A34" t="str">
            <v>1RE1LP2534ZA</v>
          </cell>
          <cell r="B34" t="str">
            <v>SMT</v>
          </cell>
          <cell r="C34">
            <v>1</v>
          </cell>
          <cell r="D34">
            <v>223</v>
          </cell>
        </row>
        <row r="35">
          <cell r="A35" t="str">
            <v>1RE2LP2534ZA</v>
          </cell>
          <cell r="B35" t="str">
            <v>SMT</v>
          </cell>
          <cell r="C35">
            <v>1</v>
          </cell>
          <cell r="D35">
            <v>228</v>
          </cell>
          <cell r="E35">
            <v>2210</v>
          </cell>
          <cell r="F35" t="str">
            <v>VC01</v>
          </cell>
          <cell r="G35" t="str">
            <v>Auto</v>
          </cell>
          <cell r="H35">
            <v>311</v>
          </cell>
          <cell r="I35">
            <v>2210</v>
          </cell>
          <cell r="J35">
            <v>2220</v>
          </cell>
          <cell r="K35" t="str">
            <v>VC01</v>
          </cell>
        </row>
        <row r="36">
          <cell r="A36" t="str">
            <v>1AP1LP2534ZA</v>
          </cell>
          <cell r="B36" t="str">
            <v>DIP</v>
          </cell>
          <cell r="C36">
            <v>1</v>
          </cell>
          <cell r="D36" t="e">
            <v>#N/A</v>
          </cell>
          <cell r="E36">
            <v>2210</v>
          </cell>
          <cell r="F36" t="str">
            <v>VC01</v>
          </cell>
          <cell r="G36" t="str">
            <v>Auto</v>
          </cell>
          <cell r="H36">
            <v>311</v>
          </cell>
          <cell r="I36">
            <v>2210</v>
          </cell>
          <cell r="J36">
            <v>2220</v>
          </cell>
          <cell r="K36" t="str">
            <v>VC01</v>
          </cell>
        </row>
        <row r="37">
          <cell r="A37" t="str">
            <v>1RE1LP2537ZA</v>
          </cell>
          <cell r="B37" t="str">
            <v>SMT</v>
          </cell>
          <cell r="C37">
            <v>1</v>
          </cell>
          <cell r="D37">
            <v>43</v>
          </cell>
          <cell r="E37">
            <v>2210</v>
          </cell>
          <cell r="F37" t="str">
            <v>VC01</v>
          </cell>
          <cell r="G37" t="str">
            <v>Auto</v>
          </cell>
          <cell r="H37">
            <v>311</v>
          </cell>
          <cell r="I37">
            <v>2210</v>
          </cell>
          <cell r="J37">
            <v>2310</v>
          </cell>
          <cell r="K37" t="str">
            <v>VC01</v>
          </cell>
        </row>
        <row r="38">
          <cell r="A38" t="str">
            <v>1AP1LP2537ZA</v>
          </cell>
          <cell r="B38" t="str">
            <v>DIP</v>
          </cell>
          <cell r="C38">
            <v>1</v>
          </cell>
          <cell r="D38" t="e">
            <v>#N/A</v>
          </cell>
          <cell r="E38">
            <v>2210</v>
          </cell>
          <cell r="F38" t="str">
            <v>VC01</v>
          </cell>
          <cell r="G38" t="str">
            <v>Auto</v>
          </cell>
          <cell r="H38">
            <v>311</v>
          </cell>
          <cell r="I38">
            <v>2210</v>
          </cell>
          <cell r="J38">
            <v>2310</v>
          </cell>
          <cell r="K38" t="str">
            <v>VC01</v>
          </cell>
        </row>
        <row r="39">
          <cell r="A39" t="str">
            <v>1VJ1LP2538ZA</v>
          </cell>
          <cell r="B39" t="str">
            <v>SMT</v>
          </cell>
          <cell r="C39">
            <v>1</v>
          </cell>
          <cell r="D39" t="e">
            <v>#N/A</v>
          </cell>
        </row>
        <row r="40">
          <cell r="A40" t="str">
            <v>1RE1LP2538ZA</v>
          </cell>
          <cell r="B40" t="str">
            <v>SMT</v>
          </cell>
          <cell r="C40">
            <v>1</v>
          </cell>
          <cell r="D40">
            <v>484</v>
          </cell>
        </row>
        <row r="41">
          <cell r="A41" t="str">
            <v>1RE2LP2538ZA</v>
          </cell>
          <cell r="B41" t="str">
            <v>SMT</v>
          </cell>
          <cell r="C41">
            <v>1</v>
          </cell>
          <cell r="D41">
            <v>459</v>
          </cell>
          <cell r="E41">
            <v>2210</v>
          </cell>
          <cell r="F41" t="str">
            <v>VC01</v>
          </cell>
          <cell r="G41" t="str">
            <v>Auto</v>
          </cell>
          <cell r="H41">
            <v>311</v>
          </cell>
          <cell r="I41">
            <v>2210</v>
          </cell>
          <cell r="J41">
            <v>2220</v>
          </cell>
          <cell r="K41" t="str">
            <v>VC01</v>
          </cell>
        </row>
        <row r="42">
          <cell r="A42" t="str">
            <v>1AP1LP2538ZA</v>
          </cell>
          <cell r="B42" t="str">
            <v>DIP</v>
          </cell>
          <cell r="C42">
            <v>1</v>
          </cell>
          <cell r="D42" t="e">
            <v>#N/A</v>
          </cell>
          <cell r="E42">
            <v>2210</v>
          </cell>
          <cell r="F42" t="str">
            <v>VC01</v>
          </cell>
          <cell r="G42" t="str">
            <v>Auto</v>
          </cell>
          <cell r="H42">
            <v>311</v>
          </cell>
          <cell r="I42">
            <v>2210</v>
          </cell>
          <cell r="J42">
            <v>2220</v>
          </cell>
          <cell r="K42" t="str">
            <v>VC01</v>
          </cell>
        </row>
        <row r="43">
          <cell r="A43" t="str">
            <v>1RE1LP2539ZA</v>
          </cell>
          <cell r="B43" t="str">
            <v>SMT</v>
          </cell>
          <cell r="C43">
            <v>1</v>
          </cell>
          <cell r="D43">
            <v>12</v>
          </cell>
        </row>
        <row r="44">
          <cell r="A44" t="str">
            <v>1RE2LP2539ZA</v>
          </cell>
          <cell r="B44" t="str">
            <v>SMT</v>
          </cell>
          <cell r="C44">
            <v>1</v>
          </cell>
          <cell r="D44">
            <v>10</v>
          </cell>
          <cell r="E44">
            <v>2210</v>
          </cell>
          <cell r="F44" t="str">
            <v>VC01</v>
          </cell>
          <cell r="G44" t="str">
            <v>Auto</v>
          </cell>
          <cell r="H44">
            <v>311</v>
          </cell>
          <cell r="I44">
            <v>2210</v>
          </cell>
          <cell r="J44">
            <v>2310</v>
          </cell>
          <cell r="K44" t="str">
            <v>VC01</v>
          </cell>
        </row>
        <row r="45">
          <cell r="A45" t="str">
            <v>1AP1LP2539ZA</v>
          </cell>
          <cell r="B45" t="str">
            <v>DIP</v>
          </cell>
          <cell r="C45">
            <v>1</v>
          </cell>
          <cell r="D45" t="e">
            <v>#N/A</v>
          </cell>
          <cell r="E45">
            <v>2210</v>
          </cell>
          <cell r="F45" t="str">
            <v>VC01</v>
          </cell>
          <cell r="G45" t="str">
            <v>Auto</v>
          </cell>
          <cell r="H45">
            <v>311</v>
          </cell>
          <cell r="I45">
            <v>2210</v>
          </cell>
          <cell r="J45">
            <v>2310</v>
          </cell>
          <cell r="K45" t="str">
            <v>VC01</v>
          </cell>
        </row>
        <row r="46">
          <cell r="A46" t="str">
            <v>1VI1LP2550ZA</v>
          </cell>
          <cell r="B46" t="str">
            <v>SMT</v>
          </cell>
          <cell r="C46">
            <v>1</v>
          </cell>
          <cell r="D46" t="e">
            <v>#N/A</v>
          </cell>
        </row>
        <row r="47">
          <cell r="A47" t="str">
            <v>1RE1LP2550ZA</v>
          </cell>
          <cell r="B47" t="str">
            <v>SMT</v>
          </cell>
          <cell r="C47">
            <v>1</v>
          </cell>
          <cell r="D47">
            <v>223</v>
          </cell>
        </row>
        <row r="48">
          <cell r="A48" t="str">
            <v>1RE2LP2550ZA</v>
          </cell>
          <cell r="B48" t="str">
            <v>SMT</v>
          </cell>
          <cell r="C48">
            <v>1</v>
          </cell>
          <cell r="D48">
            <v>228</v>
          </cell>
          <cell r="E48">
            <v>2210</v>
          </cell>
          <cell r="F48" t="str">
            <v>VC01</v>
          </cell>
          <cell r="G48" t="str">
            <v>Auto</v>
          </cell>
          <cell r="H48">
            <v>311</v>
          </cell>
          <cell r="I48">
            <v>2210</v>
          </cell>
          <cell r="J48">
            <v>2220</v>
          </cell>
          <cell r="K48" t="str">
            <v>VC01</v>
          </cell>
        </row>
        <row r="49">
          <cell r="A49" t="str">
            <v>1AP1LP2550ZA</v>
          </cell>
          <cell r="B49" t="str">
            <v>DIP</v>
          </cell>
          <cell r="C49">
            <v>1</v>
          </cell>
          <cell r="D49" t="e">
            <v>#N/A</v>
          </cell>
          <cell r="E49">
            <v>2210</v>
          </cell>
          <cell r="F49" t="str">
            <v>VC01</v>
          </cell>
          <cell r="G49" t="str">
            <v>Auto</v>
          </cell>
          <cell r="H49">
            <v>311</v>
          </cell>
          <cell r="I49">
            <v>2210</v>
          </cell>
          <cell r="J49">
            <v>2220</v>
          </cell>
          <cell r="K49" t="str">
            <v>VC01</v>
          </cell>
        </row>
        <row r="50">
          <cell r="A50" t="str">
            <v>1VI1LP2551ZA</v>
          </cell>
          <cell r="B50" t="str">
            <v>SMT</v>
          </cell>
          <cell r="C50">
            <v>1</v>
          </cell>
          <cell r="D50" t="e">
            <v>#N/A</v>
          </cell>
        </row>
        <row r="51">
          <cell r="A51" t="str">
            <v>1RE1LP2551ZA</v>
          </cell>
          <cell r="B51" t="str">
            <v>SMT</v>
          </cell>
          <cell r="C51">
            <v>1</v>
          </cell>
          <cell r="D51">
            <v>223</v>
          </cell>
        </row>
        <row r="52">
          <cell r="A52" t="str">
            <v>1RE2LP2551ZA</v>
          </cell>
          <cell r="B52" t="str">
            <v>SMT</v>
          </cell>
          <cell r="C52">
            <v>1</v>
          </cell>
          <cell r="D52">
            <v>228</v>
          </cell>
          <cell r="E52">
            <v>2210</v>
          </cell>
          <cell r="F52" t="str">
            <v>VC01</v>
          </cell>
          <cell r="G52" t="str">
            <v>Auto</v>
          </cell>
          <cell r="H52">
            <v>311</v>
          </cell>
          <cell r="I52">
            <v>2210</v>
          </cell>
          <cell r="J52">
            <v>2220</v>
          </cell>
          <cell r="K52" t="str">
            <v>VC01</v>
          </cell>
        </row>
        <row r="53">
          <cell r="A53" t="str">
            <v>1AP1LP2551ZA</v>
          </cell>
          <cell r="B53" t="str">
            <v>DIP</v>
          </cell>
          <cell r="C53">
            <v>1</v>
          </cell>
          <cell r="D53" t="e">
            <v>#N/A</v>
          </cell>
          <cell r="E53">
            <v>2210</v>
          </cell>
          <cell r="F53" t="str">
            <v>VC01</v>
          </cell>
          <cell r="G53" t="str">
            <v>Auto</v>
          </cell>
          <cell r="H53">
            <v>311</v>
          </cell>
          <cell r="I53">
            <v>2210</v>
          </cell>
          <cell r="J53">
            <v>2220</v>
          </cell>
          <cell r="K53" t="str">
            <v>VC01</v>
          </cell>
        </row>
        <row r="54">
          <cell r="A54" t="str">
            <v>1VI1LP2552ZA</v>
          </cell>
          <cell r="B54" t="str">
            <v>SMT</v>
          </cell>
          <cell r="C54">
            <v>1</v>
          </cell>
          <cell r="D54" t="e">
            <v>#N/A</v>
          </cell>
        </row>
        <row r="55">
          <cell r="A55" t="str">
            <v>1RE1LP2552ZA</v>
          </cell>
          <cell r="B55" t="str">
            <v>SMT</v>
          </cell>
          <cell r="C55">
            <v>1</v>
          </cell>
          <cell r="D55">
            <v>223</v>
          </cell>
        </row>
        <row r="56">
          <cell r="A56" t="str">
            <v>1RE2LP2552ZA</v>
          </cell>
          <cell r="B56" t="str">
            <v>SMT</v>
          </cell>
          <cell r="C56">
            <v>1</v>
          </cell>
          <cell r="D56">
            <v>228</v>
          </cell>
          <cell r="E56">
            <v>2210</v>
          </cell>
          <cell r="F56" t="str">
            <v>VC01</v>
          </cell>
          <cell r="G56" t="str">
            <v>Auto</v>
          </cell>
          <cell r="H56">
            <v>311</v>
          </cell>
          <cell r="I56">
            <v>2210</v>
          </cell>
          <cell r="J56">
            <v>2220</v>
          </cell>
          <cell r="K56" t="str">
            <v>VC01</v>
          </cell>
        </row>
        <row r="57">
          <cell r="A57" t="str">
            <v>1AP1LP2552ZA</v>
          </cell>
          <cell r="B57" t="str">
            <v>DIP</v>
          </cell>
          <cell r="C57">
            <v>1</v>
          </cell>
          <cell r="D57" t="e">
            <v>#N/A</v>
          </cell>
          <cell r="E57">
            <v>2210</v>
          </cell>
          <cell r="F57" t="str">
            <v>VC01</v>
          </cell>
          <cell r="G57" t="str">
            <v>Auto</v>
          </cell>
          <cell r="H57">
            <v>311</v>
          </cell>
          <cell r="I57">
            <v>2210</v>
          </cell>
          <cell r="J57">
            <v>2220</v>
          </cell>
          <cell r="K57" t="str">
            <v>VC01</v>
          </cell>
        </row>
        <row r="58">
          <cell r="A58" t="str">
            <v>1VI1LP2553ZA</v>
          </cell>
          <cell r="B58" t="str">
            <v>SMT</v>
          </cell>
          <cell r="C58">
            <v>1</v>
          </cell>
          <cell r="D58" t="e">
            <v>#N/A</v>
          </cell>
        </row>
        <row r="59">
          <cell r="A59" t="str">
            <v>1RE1LP2553ZA</v>
          </cell>
          <cell r="B59" t="str">
            <v>SMT</v>
          </cell>
          <cell r="C59">
            <v>1</v>
          </cell>
          <cell r="D59">
            <v>223</v>
          </cell>
        </row>
        <row r="60">
          <cell r="A60" t="str">
            <v>1RE2LP2553ZA</v>
          </cell>
          <cell r="B60" t="str">
            <v>SMT</v>
          </cell>
          <cell r="C60">
            <v>1</v>
          </cell>
          <cell r="D60">
            <v>228</v>
          </cell>
          <cell r="E60">
            <v>2210</v>
          </cell>
          <cell r="F60" t="str">
            <v>VC01</v>
          </cell>
          <cell r="G60" t="str">
            <v>Auto</v>
          </cell>
          <cell r="H60">
            <v>311</v>
          </cell>
          <cell r="I60">
            <v>2210</v>
          </cell>
          <cell r="J60">
            <v>2220</v>
          </cell>
          <cell r="K60" t="str">
            <v>VC01</v>
          </cell>
        </row>
        <row r="61">
          <cell r="A61" t="str">
            <v>1AP1LP2553ZA</v>
          </cell>
          <cell r="B61" t="str">
            <v>DIP</v>
          </cell>
          <cell r="C61">
            <v>1</v>
          </cell>
          <cell r="D61" t="e">
            <v>#N/A</v>
          </cell>
          <cell r="E61">
            <v>2210</v>
          </cell>
          <cell r="F61" t="str">
            <v>VC01</v>
          </cell>
          <cell r="G61" t="str">
            <v>Auto</v>
          </cell>
          <cell r="H61">
            <v>311</v>
          </cell>
          <cell r="I61">
            <v>2210</v>
          </cell>
          <cell r="J61">
            <v>2220</v>
          </cell>
          <cell r="K61" t="str">
            <v>VC01</v>
          </cell>
        </row>
        <row r="62">
          <cell r="A62" t="str">
            <v>1VJ1LP2555ZA</v>
          </cell>
          <cell r="B62" t="str">
            <v>SMT</v>
          </cell>
          <cell r="C62">
            <v>1</v>
          </cell>
          <cell r="D62" t="e">
            <v>#N/A</v>
          </cell>
        </row>
        <row r="63">
          <cell r="A63" t="str">
            <v>1CM1LP2555ZA</v>
          </cell>
          <cell r="B63" t="str">
            <v>SMT</v>
          </cell>
          <cell r="C63">
            <v>1</v>
          </cell>
          <cell r="D63">
            <v>176</v>
          </cell>
        </row>
        <row r="64">
          <cell r="A64" t="str">
            <v>1RE2LP2555ZA</v>
          </cell>
          <cell r="B64" t="str">
            <v>SMT</v>
          </cell>
          <cell r="C64">
            <v>1</v>
          </cell>
          <cell r="D64">
            <v>207</v>
          </cell>
          <cell r="E64">
            <v>2210</v>
          </cell>
          <cell r="F64" t="str">
            <v>VC01</v>
          </cell>
          <cell r="G64" t="str">
            <v>Auto</v>
          </cell>
          <cell r="H64">
            <v>311</v>
          </cell>
          <cell r="I64">
            <v>2210</v>
          </cell>
          <cell r="J64">
            <v>2220</v>
          </cell>
          <cell r="K64" t="str">
            <v>VC01</v>
          </cell>
        </row>
        <row r="65">
          <cell r="A65" t="str">
            <v>1AP1LP2555ZA</v>
          </cell>
          <cell r="B65" t="str">
            <v>DIP</v>
          </cell>
          <cell r="C65">
            <v>1</v>
          </cell>
          <cell r="D65" t="e">
            <v>#N/A</v>
          </cell>
          <cell r="E65">
            <v>2210</v>
          </cell>
          <cell r="F65" t="str">
            <v>VC01</v>
          </cell>
          <cell r="G65" t="str">
            <v>Auto</v>
          </cell>
          <cell r="H65">
            <v>311</v>
          </cell>
          <cell r="I65">
            <v>2210</v>
          </cell>
          <cell r="J65">
            <v>2220</v>
          </cell>
          <cell r="K65" t="str">
            <v>VC01</v>
          </cell>
        </row>
        <row r="66">
          <cell r="A66" t="str">
            <v>1RE1LP2557ZA</v>
          </cell>
          <cell r="B66" t="str">
            <v>SMT</v>
          </cell>
          <cell r="C66">
            <v>1</v>
          </cell>
          <cell r="D66">
            <v>290</v>
          </cell>
        </row>
        <row r="67">
          <cell r="A67" t="str">
            <v>1RE2LP2557ZA</v>
          </cell>
          <cell r="B67" t="str">
            <v>SMT</v>
          </cell>
          <cell r="C67">
            <v>1</v>
          </cell>
          <cell r="D67">
            <v>530</v>
          </cell>
        </row>
        <row r="68">
          <cell r="A68" t="str">
            <v>1RH1LP2557ZA</v>
          </cell>
          <cell r="B68" t="str">
            <v>SMT</v>
          </cell>
          <cell r="C68">
            <v>1</v>
          </cell>
          <cell r="D68">
            <v>26</v>
          </cell>
          <cell r="E68">
            <v>2210</v>
          </cell>
          <cell r="F68" t="str">
            <v>VC01</v>
          </cell>
          <cell r="G68" t="str">
            <v>Auto</v>
          </cell>
          <cell r="H68">
            <v>311</v>
          </cell>
          <cell r="I68">
            <v>2210</v>
          </cell>
          <cell r="J68">
            <v>2220</v>
          </cell>
          <cell r="K68" t="str">
            <v>VC01</v>
          </cell>
        </row>
        <row r="69">
          <cell r="A69" t="str">
            <v>1AP1LP2557ZA</v>
          </cell>
          <cell r="B69" t="str">
            <v>DIP</v>
          </cell>
          <cell r="C69">
            <v>1</v>
          </cell>
          <cell r="D69" t="e">
            <v>#N/A</v>
          </cell>
          <cell r="E69">
            <v>2210</v>
          </cell>
          <cell r="F69" t="str">
            <v>VC01</v>
          </cell>
          <cell r="G69" t="str">
            <v>Auto</v>
          </cell>
          <cell r="H69">
            <v>311</v>
          </cell>
          <cell r="I69">
            <v>2210</v>
          </cell>
          <cell r="J69">
            <v>2220</v>
          </cell>
          <cell r="K69" t="str">
            <v>VC01</v>
          </cell>
        </row>
        <row r="70">
          <cell r="A70" t="str">
            <v>1RE1LP2564ZA</v>
          </cell>
          <cell r="B70" t="str">
            <v>SMT</v>
          </cell>
          <cell r="C70">
            <v>1</v>
          </cell>
          <cell r="D70">
            <v>179</v>
          </cell>
          <cell r="E70">
            <v>2210</v>
          </cell>
          <cell r="F70" t="str">
            <v>VC01</v>
          </cell>
          <cell r="G70" t="str">
            <v>Auto</v>
          </cell>
          <cell r="H70">
            <v>311</v>
          </cell>
          <cell r="I70">
            <v>2210</v>
          </cell>
          <cell r="J70">
            <v>2310</v>
          </cell>
          <cell r="K70" t="str">
            <v>VC01</v>
          </cell>
        </row>
        <row r="71">
          <cell r="A71" t="str">
            <v>1AP1LP2564ZA</v>
          </cell>
          <cell r="B71" t="str">
            <v>DIP</v>
          </cell>
          <cell r="C71">
            <v>1</v>
          </cell>
          <cell r="D71" t="e">
            <v>#N/A</v>
          </cell>
          <cell r="E71">
            <v>2210</v>
          </cell>
          <cell r="F71" t="str">
            <v>VC01</v>
          </cell>
          <cell r="G71" t="str">
            <v>Auto</v>
          </cell>
          <cell r="H71">
            <v>311</v>
          </cell>
          <cell r="I71">
            <v>2210</v>
          </cell>
          <cell r="J71">
            <v>2310</v>
          </cell>
          <cell r="K71" t="str">
            <v>VC01</v>
          </cell>
        </row>
        <row r="72">
          <cell r="A72" t="str">
            <v>1VJ1LP2574ZA</v>
          </cell>
          <cell r="B72" t="str">
            <v>SMT</v>
          </cell>
          <cell r="C72">
            <v>1</v>
          </cell>
          <cell r="D72" t="e">
            <v>#N/A</v>
          </cell>
        </row>
        <row r="73">
          <cell r="A73" t="str">
            <v>1VJ2LP2574ZA</v>
          </cell>
          <cell r="B73" t="str">
            <v>SMT</v>
          </cell>
          <cell r="C73">
            <v>1</v>
          </cell>
          <cell r="D73" t="e">
            <v>#N/A</v>
          </cell>
        </row>
        <row r="74">
          <cell r="A74" t="str">
            <v>1RE1LP2574ZA</v>
          </cell>
          <cell r="B74" t="str">
            <v>SMT</v>
          </cell>
          <cell r="C74">
            <v>1</v>
          </cell>
          <cell r="D74">
            <v>214</v>
          </cell>
        </row>
        <row r="75">
          <cell r="A75" t="str">
            <v>1RE2LP2574ZA</v>
          </cell>
          <cell r="B75" t="str">
            <v>SMT</v>
          </cell>
          <cell r="C75">
            <v>1</v>
          </cell>
          <cell r="D75">
            <v>335</v>
          </cell>
        </row>
        <row r="76">
          <cell r="A76" t="str">
            <v>1RH1LP2574ZA</v>
          </cell>
          <cell r="B76" t="str">
            <v>SMT</v>
          </cell>
          <cell r="C76">
            <v>1</v>
          </cell>
          <cell r="D76">
            <v>2</v>
          </cell>
          <cell r="E76">
            <v>2210</v>
          </cell>
          <cell r="F76" t="str">
            <v>VC01</v>
          </cell>
          <cell r="G76" t="str">
            <v>Auto</v>
          </cell>
          <cell r="H76">
            <v>311</v>
          </cell>
          <cell r="I76">
            <v>2210</v>
          </cell>
          <cell r="J76">
            <v>2220</v>
          </cell>
          <cell r="K76" t="str">
            <v>VC01</v>
          </cell>
        </row>
        <row r="77">
          <cell r="A77" t="str">
            <v>1AP1LP2574ZA</v>
          </cell>
          <cell r="B77" t="str">
            <v>DIP</v>
          </cell>
          <cell r="C77">
            <v>1</v>
          </cell>
          <cell r="D77" t="e">
            <v>#N/A</v>
          </cell>
          <cell r="E77">
            <v>2210</v>
          </cell>
          <cell r="F77" t="str">
            <v>VC01</v>
          </cell>
          <cell r="G77" t="str">
            <v>Auto</v>
          </cell>
          <cell r="H77">
            <v>311</v>
          </cell>
          <cell r="I77">
            <v>2210</v>
          </cell>
          <cell r="J77">
            <v>2220</v>
          </cell>
          <cell r="K77" t="str">
            <v>VC01</v>
          </cell>
        </row>
        <row r="78">
          <cell r="A78" t="str">
            <v>1VJ1LP2575ZA</v>
          </cell>
          <cell r="B78" t="str">
            <v>SMT</v>
          </cell>
          <cell r="C78">
            <v>1</v>
          </cell>
          <cell r="D78" t="e">
            <v>#N/A</v>
          </cell>
        </row>
        <row r="79">
          <cell r="A79" t="str">
            <v>1VJ2LP2575ZA</v>
          </cell>
          <cell r="B79" t="str">
            <v>SMT</v>
          </cell>
          <cell r="C79">
            <v>1</v>
          </cell>
          <cell r="D79" t="e">
            <v>#N/A</v>
          </cell>
        </row>
        <row r="80">
          <cell r="A80" t="str">
            <v>1RE1LP2575ZA</v>
          </cell>
          <cell r="B80" t="str">
            <v>SMT</v>
          </cell>
          <cell r="C80">
            <v>1</v>
          </cell>
          <cell r="D80">
            <v>216</v>
          </cell>
        </row>
        <row r="81">
          <cell r="A81" t="str">
            <v>1RE2LP2575ZA</v>
          </cell>
          <cell r="B81" t="str">
            <v>SMT</v>
          </cell>
          <cell r="C81">
            <v>1</v>
          </cell>
          <cell r="D81">
            <v>337</v>
          </cell>
        </row>
        <row r="82">
          <cell r="A82" t="str">
            <v>1RH1LP2575ZA</v>
          </cell>
          <cell r="B82" t="str">
            <v>SMT</v>
          </cell>
          <cell r="C82">
            <v>1</v>
          </cell>
          <cell r="D82">
            <v>2</v>
          </cell>
          <cell r="E82">
            <v>2210</v>
          </cell>
          <cell r="F82" t="str">
            <v>VC01</v>
          </cell>
          <cell r="G82" t="str">
            <v>Auto</v>
          </cell>
          <cell r="H82">
            <v>311</v>
          </cell>
          <cell r="I82">
            <v>2210</v>
          </cell>
          <cell r="J82">
            <v>2220</v>
          </cell>
          <cell r="K82" t="str">
            <v>VC01</v>
          </cell>
        </row>
        <row r="83">
          <cell r="A83" t="str">
            <v>1AP1LP2575ZA</v>
          </cell>
          <cell r="B83" t="str">
            <v>DIP</v>
          </cell>
          <cell r="C83">
            <v>1</v>
          </cell>
          <cell r="D83" t="e">
            <v>#N/A</v>
          </cell>
          <cell r="E83">
            <v>2210</v>
          </cell>
          <cell r="F83" t="str">
            <v>VC01</v>
          </cell>
          <cell r="G83" t="str">
            <v>Auto</v>
          </cell>
          <cell r="H83">
            <v>311</v>
          </cell>
          <cell r="I83">
            <v>2210</v>
          </cell>
          <cell r="J83">
            <v>2220</v>
          </cell>
          <cell r="K83" t="str">
            <v>VC01</v>
          </cell>
        </row>
        <row r="84">
          <cell r="A84" t="str">
            <v>1VJ1LP2577ZA</v>
          </cell>
          <cell r="B84" t="str">
            <v>SMT</v>
          </cell>
          <cell r="C84">
            <v>1</v>
          </cell>
          <cell r="D84" t="e">
            <v>#N/A</v>
          </cell>
        </row>
        <row r="85">
          <cell r="A85" t="str">
            <v>PNLB2110ZB-WK</v>
          </cell>
          <cell r="B85" t="str">
            <v>SMT</v>
          </cell>
          <cell r="C85">
            <v>1</v>
          </cell>
          <cell r="D85" t="e">
            <v>#N/A</v>
          </cell>
        </row>
        <row r="86">
          <cell r="A86" t="str">
            <v>1RE1LP2577ZA</v>
          </cell>
          <cell r="B86" t="str">
            <v>SMT</v>
          </cell>
          <cell r="C86">
            <v>1</v>
          </cell>
          <cell r="D86">
            <v>414</v>
          </cell>
        </row>
        <row r="87">
          <cell r="A87" t="str">
            <v>1RE2LP2577ZA</v>
          </cell>
          <cell r="B87" t="str">
            <v>SMT</v>
          </cell>
          <cell r="C87">
            <v>1</v>
          </cell>
          <cell r="D87">
            <v>495</v>
          </cell>
        </row>
        <row r="88">
          <cell r="A88" t="str">
            <v>1RH1LP2577ZA</v>
          </cell>
          <cell r="B88" t="str">
            <v>SMT</v>
          </cell>
          <cell r="C88">
            <v>1</v>
          </cell>
          <cell r="D88">
            <v>11</v>
          </cell>
          <cell r="E88">
            <v>2210</v>
          </cell>
          <cell r="F88" t="str">
            <v>VC01</v>
          </cell>
          <cell r="G88" t="str">
            <v>Auto</v>
          </cell>
          <cell r="H88">
            <v>311</v>
          </cell>
          <cell r="I88">
            <v>2210</v>
          </cell>
          <cell r="J88">
            <v>2310</v>
          </cell>
          <cell r="K88" t="str">
            <v>VC01</v>
          </cell>
        </row>
        <row r="89">
          <cell r="A89" t="str">
            <v>1AP1LP2577ZA</v>
          </cell>
          <cell r="B89" t="str">
            <v>DIP</v>
          </cell>
          <cell r="C89">
            <v>1</v>
          </cell>
          <cell r="D89" t="e">
            <v>#N/A</v>
          </cell>
          <cell r="E89">
            <v>2210</v>
          </cell>
          <cell r="F89" t="str">
            <v>VC01</v>
          </cell>
          <cell r="G89" t="str">
            <v>Auto</v>
          </cell>
          <cell r="H89">
            <v>311</v>
          </cell>
          <cell r="I89">
            <v>2210</v>
          </cell>
          <cell r="J89">
            <v>2310</v>
          </cell>
          <cell r="K89" t="str">
            <v>VC01</v>
          </cell>
        </row>
        <row r="90">
          <cell r="A90" t="str">
            <v>1VJ1LP2578ZA</v>
          </cell>
          <cell r="B90" t="str">
            <v>SMT</v>
          </cell>
          <cell r="C90">
            <v>1</v>
          </cell>
          <cell r="D90" t="e">
            <v>#N/A</v>
          </cell>
        </row>
        <row r="91">
          <cell r="A91" t="str">
            <v>1RE1LP2578ZA</v>
          </cell>
          <cell r="B91" t="str">
            <v>SMT</v>
          </cell>
          <cell r="C91">
            <v>1</v>
          </cell>
          <cell r="D91">
            <v>552</v>
          </cell>
        </row>
        <row r="92">
          <cell r="A92" t="str">
            <v>1RE2LP2578ZA</v>
          </cell>
          <cell r="B92" t="str">
            <v>SMT</v>
          </cell>
          <cell r="C92">
            <v>1</v>
          </cell>
          <cell r="D92">
            <v>639</v>
          </cell>
        </row>
        <row r="93">
          <cell r="A93" t="str">
            <v>1RH1LP2578ZA</v>
          </cell>
          <cell r="B93" t="str">
            <v>SMT</v>
          </cell>
          <cell r="C93">
            <v>1</v>
          </cell>
          <cell r="D93">
            <v>15</v>
          </cell>
          <cell r="E93">
            <v>2210</v>
          </cell>
          <cell r="F93" t="str">
            <v>VC01</v>
          </cell>
          <cell r="G93" t="str">
            <v>Auto</v>
          </cell>
          <cell r="H93">
            <v>311</v>
          </cell>
          <cell r="I93">
            <v>2210</v>
          </cell>
          <cell r="J93">
            <v>2220</v>
          </cell>
          <cell r="K93" t="str">
            <v>VC01</v>
          </cell>
        </row>
        <row r="94">
          <cell r="A94" t="str">
            <v>1AP1LP2578ZA</v>
          </cell>
          <cell r="B94" t="str">
            <v>DIP</v>
          </cell>
          <cell r="C94">
            <v>1</v>
          </cell>
          <cell r="D94" t="e">
            <v>#N/A</v>
          </cell>
          <cell r="E94">
            <v>2210</v>
          </cell>
          <cell r="F94" t="str">
            <v>VC01</v>
          </cell>
          <cell r="G94" t="str">
            <v>Auto</v>
          </cell>
          <cell r="H94">
            <v>311</v>
          </cell>
          <cell r="I94">
            <v>2210</v>
          </cell>
          <cell r="J94">
            <v>2220</v>
          </cell>
          <cell r="K94" t="str">
            <v>VC01</v>
          </cell>
        </row>
        <row r="95">
          <cell r="A95" t="str">
            <v>1VJ1LP2579ZA</v>
          </cell>
          <cell r="B95" t="str">
            <v>SMT</v>
          </cell>
          <cell r="C95">
            <v>1</v>
          </cell>
          <cell r="D95" t="e">
            <v>#N/A</v>
          </cell>
        </row>
        <row r="96">
          <cell r="A96" t="str">
            <v>1RE1LP2579ZA</v>
          </cell>
          <cell r="B96" t="str">
            <v>SMT</v>
          </cell>
          <cell r="C96">
            <v>1</v>
          </cell>
          <cell r="D96">
            <v>546</v>
          </cell>
        </row>
        <row r="97">
          <cell r="A97" t="str">
            <v>1RE2LP2579ZA</v>
          </cell>
          <cell r="B97" t="str">
            <v>SMT</v>
          </cell>
          <cell r="C97">
            <v>1</v>
          </cell>
          <cell r="D97">
            <v>644</v>
          </cell>
        </row>
        <row r="98">
          <cell r="A98" t="str">
            <v>1RH1LP2579ZA</v>
          </cell>
          <cell r="B98" t="str">
            <v>SMT</v>
          </cell>
          <cell r="C98">
            <v>1</v>
          </cell>
          <cell r="D98">
            <v>15</v>
          </cell>
          <cell r="E98">
            <v>2210</v>
          </cell>
          <cell r="F98" t="str">
            <v>VC01</v>
          </cell>
          <cell r="G98" t="str">
            <v>Auto</v>
          </cell>
          <cell r="H98">
            <v>311</v>
          </cell>
          <cell r="I98">
            <v>2210</v>
          </cell>
          <cell r="J98">
            <v>2310</v>
          </cell>
          <cell r="K98" t="str">
            <v>VC01</v>
          </cell>
        </row>
        <row r="99">
          <cell r="A99" t="str">
            <v>1AP1LP2579ZA</v>
          </cell>
          <cell r="B99" t="str">
            <v>DIP</v>
          </cell>
          <cell r="C99">
            <v>1</v>
          </cell>
          <cell r="D99" t="e">
            <v>#N/A</v>
          </cell>
          <cell r="E99">
            <v>2210</v>
          </cell>
          <cell r="F99" t="str">
            <v>VC01</v>
          </cell>
          <cell r="G99" t="str">
            <v>Auto</v>
          </cell>
          <cell r="H99">
            <v>311</v>
          </cell>
          <cell r="I99">
            <v>2210</v>
          </cell>
          <cell r="J99">
            <v>2310</v>
          </cell>
          <cell r="K99" t="str">
            <v>VC01</v>
          </cell>
        </row>
        <row r="100">
          <cell r="A100" t="str">
            <v>1VJ1LP2581ZA</v>
          </cell>
          <cell r="B100" t="str">
            <v>SMT</v>
          </cell>
          <cell r="C100">
            <v>1</v>
          </cell>
          <cell r="D100" t="e">
            <v>#N/A</v>
          </cell>
        </row>
        <row r="101">
          <cell r="A101" t="str">
            <v>1RE1LP2581ZA</v>
          </cell>
          <cell r="B101" t="str">
            <v>SMT</v>
          </cell>
          <cell r="C101">
            <v>1</v>
          </cell>
          <cell r="D101">
            <v>546</v>
          </cell>
        </row>
        <row r="102">
          <cell r="A102" t="str">
            <v>1RE2LP2581ZA</v>
          </cell>
          <cell r="B102" t="str">
            <v>SMT</v>
          </cell>
          <cell r="C102">
            <v>1</v>
          </cell>
          <cell r="D102">
            <v>644</v>
          </cell>
        </row>
        <row r="103">
          <cell r="A103" t="str">
            <v>1RH1LP2581ZA</v>
          </cell>
          <cell r="B103" t="str">
            <v>SMT</v>
          </cell>
          <cell r="C103">
            <v>1</v>
          </cell>
          <cell r="D103">
            <v>15</v>
          </cell>
          <cell r="E103">
            <v>2210</v>
          </cell>
          <cell r="F103" t="str">
            <v>VC01</v>
          </cell>
          <cell r="G103" t="str">
            <v>Auto</v>
          </cell>
          <cell r="H103">
            <v>311</v>
          </cell>
          <cell r="I103">
            <v>2210</v>
          </cell>
          <cell r="J103">
            <v>2310</v>
          </cell>
          <cell r="K103" t="str">
            <v>VC01</v>
          </cell>
        </row>
        <row r="104">
          <cell r="A104" t="str">
            <v>1AP1LP2581ZA</v>
          </cell>
          <cell r="B104" t="str">
            <v>DIP</v>
          </cell>
          <cell r="C104">
            <v>1</v>
          </cell>
          <cell r="D104" t="e">
            <v>#N/A</v>
          </cell>
          <cell r="E104">
            <v>2210</v>
          </cell>
          <cell r="F104" t="str">
            <v>VC01</v>
          </cell>
          <cell r="G104" t="str">
            <v>Auto</v>
          </cell>
          <cell r="H104">
            <v>311</v>
          </cell>
          <cell r="I104">
            <v>2210</v>
          </cell>
          <cell r="J104">
            <v>2310</v>
          </cell>
          <cell r="K104" t="str">
            <v>VC01</v>
          </cell>
        </row>
        <row r="105">
          <cell r="A105" t="str">
            <v>1VJ1LP2594ZA</v>
          </cell>
          <cell r="B105" t="str">
            <v>SMT</v>
          </cell>
          <cell r="C105">
            <v>1</v>
          </cell>
          <cell r="D105" t="e">
            <v>#N/A</v>
          </cell>
        </row>
        <row r="106">
          <cell r="A106" t="str">
            <v>1RE1LP2594ZA</v>
          </cell>
          <cell r="B106" t="str">
            <v>SMT</v>
          </cell>
          <cell r="C106">
            <v>1</v>
          </cell>
          <cell r="D106">
            <v>544</v>
          </cell>
        </row>
        <row r="107">
          <cell r="A107" t="str">
            <v>1RE2LP2594ZA</v>
          </cell>
          <cell r="B107" t="str">
            <v>SMT</v>
          </cell>
          <cell r="C107">
            <v>1</v>
          </cell>
          <cell r="D107">
            <v>644</v>
          </cell>
        </row>
        <row r="108">
          <cell r="A108" t="str">
            <v>1RH1LP2594ZA</v>
          </cell>
          <cell r="B108" t="str">
            <v>SMT</v>
          </cell>
          <cell r="C108">
            <v>1</v>
          </cell>
          <cell r="D108">
            <v>15</v>
          </cell>
          <cell r="E108">
            <v>2210</v>
          </cell>
          <cell r="F108" t="str">
            <v>VC01</v>
          </cell>
          <cell r="G108" t="str">
            <v>Auto</v>
          </cell>
          <cell r="H108">
            <v>311</v>
          </cell>
          <cell r="I108">
            <v>2210</v>
          </cell>
          <cell r="J108">
            <v>2310</v>
          </cell>
          <cell r="K108" t="str">
            <v>VC01</v>
          </cell>
        </row>
        <row r="109">
          <cell r="A109" t="str">
            <v>1AP1LP2594ZA</v>
          </cell>
          <cell r="B109" t="str">
            <v>DIP</v>
          </cell>
          <cell r="C109">
            <v>1</v>
          </cell>
          <cell r="D109" t="e">
            <v>#N/A</v>
          </cell>
          <cell r="E109">
            <v>2210</v>
          </cell>
          <cell r="F109" t="str">
            <v>VC01</v>
          </cell>
          <cell r="G109" t="str">
            <v>Auto</v>
          </cell>
          <cell r="H109">
            <v>311</v>
          </cell>
          <cell r="I109">
            <v>2210</v>
          </cell>
          <cell r="J109">
            <v>2310</v>
          </cell>
          <cell r="K109" t="str">
            <v>VC01</v>
          </cell>
        </row>
        <row r="110">
          <cell r="A110" t="str">
            <v>1RH1LPMB2110RUKZA</v>
          </cell>
          <cell r="B110" t="str">
            <v>SMT</v>
          </cell>
          <cell r="C110">
            <v>1</v>
          </cell>
          <cell r="D110">
            <v>14</v>
          </cell>
        </row>
        <row r="111">
          <cell r="A111" t="str">
            <v>1AE1LPMB2110RUKZA</v>
          </cell>
          <cell r="B111" t="str">
            <v>SMT</v>
          </cell>
          <cell r="C111">
            <v>1</v>
          </cell>
          <cell r="D111">
            <v>32</v>
          </cell>
        </row>
        <row r="112">
          <cell r="A112" t="str">
            <v>1CM1LPMB2110RUKZA</v>
          </cell>
          <cell r="B112" t="str">
            <v>SMT</v>
          </cell>
          <cell r="C112">
            <v>1</v>
          </cell>
          <cell r="D112">
            <v>53</v>
          </cell>
          <cell r="E112">
            <v>2210</v>
          </cell>
          <cell r="F112" t="str">
            <v>VC01</v>
          </cell>
          <cell r="G112" t="str">
            <v>Auto</v>
          </cell>
          <cell r="H112">
            <v>311</v>
          </cell>
          <cell r="I112">
            <v>2210</v>
          </cell>
          <cell r="J112">
            <v>2360</v>
          </cell>
          <cell r="K112" t="str">
            <v>VC01</v>
          </cell>
        </row>
        <row r="113">
          <cell r="A113" t="str">
            <v>1AP1LPMB2110RUKZA</v>
          </cell>
          <cell r="B113" t="str">
            <v>DIP</v>
          </cell>
          <cell r="C113">
            <v>1</v>
          </cell>
          <cell r="D113" t="e">
            <v>#N/A</v>
          </cell>
          <cell r="E113">
            <v>2210</v>
          </cell>
          <cell r="F113" t="str">
            <v>VC01</v>
          </cell>
          <cell r="G113" t="str">
            <v>Auto</v>
          </cell>
          <cell r="H113">
            <v>311</v>
          </cell>
          <cell r="I113">
            <v>2210</v>
          </cell>
          <cell r="J113">
            <v>2360</v>
          </cell>
          <cell r="K113" t="str">
            <v>VC01</v>
          </cell>
        </row>
        <row r="114">
          <cell r="A114" t="str">
            <v>1VI1LPMB2110RUMZA</v>
          </cell>
          <cell r="B114" t="str">
            <v>SMT</v>
          </cell>
          <cell r="C114">
            <v>1</v>
          </cell>
          <cell r="D114" t="e">
            <v>#N/A</v>
          </cell>
        </row>
        <row r="115">
          <cell r="A115" t="str">
            <v>1RE1LPMB2110RUMZA</v>
          </cell>
          <cell r="B115" t="str">
            <v>SMT</v>
          </cell>
          <cell r="C115">
            <v>1</v>
          </cell>
          <cell r="D115">
            <v>219</v>
          </cell>
        </row>
        <row r="116">
          <cell r="A116" t="str">
            <v>1RE2LPMB2110RUMZA</v>
          </cell>
          <cell r="B116" t="str">
            <v>SMT</v>
          </cell>
          <cell r="C116">
            <v>1</v>
          </cell>
          <cell r="D116">
            <v>283</v>
          </cell>
          <cell r="E116">
            <v>2210</v>
          </cell>
          <cell r="F116" t="str">
            <v>VC01</v>
          </cell>
          <cell r="G116" t="str">
            <v>Auto</v>
          </cell>
          <cell r="H116">
            <v>311</v>
          </cell>
          <cell r="I116">
            <v>2210</v>
          </cell>
          <cell r="J116">
            <v>2260</v>
          </cell>
          <cell r="K116" t="str">
            <v>VC01</v>
          </cell>
        </row>
        <row r="117">
          <cell r="A117" t="str">
            <v>1AP1LPMB2110RUMZA</v>
          </cell>
          <cell r="B117" t="str">
            <v>DIP</v>
          </cell>
          <cell r="C117">
            <v>1</v>
          </cell>
          <cell r="D117" t="e">
            <v>#N/A</v>
          </cell>
          <cell r="E117">
            <v>2210</v>
          </cell>
          <cell r="F117" t="str">
            <v>VC01</v>
          </cell>
          <cell r="G117" t="str">
            <v>Auto</v>
          </cell>
          <cell r="H117">
            <v>311</v>
          </cell>
          <cell r="I117">
            <v>2210</v>
          </cell>
          <cell r="J117">
            <v>2260</v>
          </cell>
          <cell r="K117" t="str">
            <v>VC01</v>
          </cell>
        </row>
        <row r="118">
          <cell r="A118" t="str">
            <v>1CM1LPMB2110RUSZA</v>
          </cell>
          <cell r="B118" t="str">
            <v>SMT</v>
          </cell>
          <cell r="C118">
            <v>1</v>
          </cell>
          <cell r="D118">
            <v>16</v>
          </cell>
          <cell r="E118">
            <v>2210</v>
          </cell>
          <cell r="F118" t="str">
            <v>VC01</v>
          </cell>
          <cell r="G118" t="str">
            <v>Auto</v>
          </cell>
          <cell r="H118">
            <v>311</v>
          </cell>
          <cell r="I118">
            <v>2210</v>
          </cell>
          <cell r="J118">
            <v>2360</v>
          </cell>
          <cell r="K118" t="str">
            <v>VC01</v>
          </cell>
        </row>
        <row r="119">
          <cell r="A119" t="str">
            <v>1AP1LPMB2110RUSZA</v>
          </cell>
          <cell r="B119" t="str">
            <v>DIP</v>
          </cell>
          <cell r="C119">
            <v>1</v>
          </cell>
          <cell r="D119" t="e">
            <v>#N/A</v>
          </cell>
          <cell r="E119">
            <v>2210</v>
          </cell>
          <cell r="F119" t="str">
            <v>VC01</v>
          </cell>
          <cell r="G119" t="str">
            <v>Auto</v>
          </cell>
          <cell r="H119">
            <v>311</v>
          </cell>
          <cell r="I119">
            <v>2210</v>
          </cell>
          <cell r="J119">
            <v>2360</v>
          </cell>
          <cell r="K119" t="str">
            <v>VC01</v>
          </cell>
        </row>
        <row r="120">
          <cell r="A120" t="str">
            <v>1VI1LPMB2120CXMZA</v>
          </cell>
          <cell r="B120" t="str">
            <v>SMT</v>
          </cell>
          <cell r="C120">
            <v>1</v>
          </cell>
          <cell r="D120" t="e">
            <v>#N/A</v>
          </cell>
        </row>
        <row r="121">
          <cell r="A121" t="str">
            <v>1RE1LPMB2120CXMZA</v>
          </cell>
          <cell r="B121" t="str">
            <v>SMT</v>
          </cell>
          <cell r="C121">
            <v>1</v>
          </cell>
          <cell r="D121">
            <v>273</v>
          </cell>
        </row>
        <row r="122">
          <cell r="A122" t="str">
            <v>1RE2LPMB2120CXMZA</v>
          </cell>
          <cell r="B122" t="str">
            <v>SMT</v>
          </cell>
          <cell r="C122">
            <v>1</v>
          </cell>
          <cell r="D122">
            <v>351</v>
          </cell>
        </row>
        <row r="123">
          <cell r="A123" t="str">
            <v>1RH1LPMB2120CXMZA</v>
          </cell>
          <cell r="B123" t="str">
            <v>SMT</v>
          </cell>
          <cell r="C123">
            <v>1</v>
          </cell>
          <cell r="D123">
            <v>7</v>
          </cell>
          <cell r="E123">
            <v>2210</v>
          </cell>
          <cell r="F123" t="str">
            <v>VC01</v>
          </cell>
          <cell r="G123" t="str">
            <v>Auto</v>
          </cell>
          <cell r="H123">
            <v>311</v>
          </cell>
          <cell r="I123">
            <v>2210</v>
          </cell>
          <cell r="J123">
            <v>2260</v>
          </cell>
          <cell r="K123" t="str">
            <v>VC01</v>
          </cell>
        </row>
        <row r="124">
          <cell r="A124" t="str">
            <v>1AP1LPMB2120CXMZA</v>
          </cell>
          <cell r="B124" t="str">
            <v>DIP</v>
          </cell>
          <cell r="C124">
            <v>1</v>
          </cell>
          <cell r="D124" t="e">
            <v>#N/A</v>
          </cell>
          <cell r="E124">
            <v>2210</v>
          </cell>
          <cell r="F124" t="str">
            <v>VC01</v>
          </cell>
          <cell r="G124" t="str">
            <v>Auto</v>
          </cell>
          <cell r="H124">
            <v>311</v>
          </cell>
          <cell r="I124">
            <v>2210</v>
          </cell>
          <cell r="J124">
            <v>2260</v>
          </cell>
          <cell r="K124" t="str">
            <v>VC01</v>
          </cell>
        </row>
        <row r="125">
          <cell r="A125" t="str">
            <v>1VI1LPMB2120GMZA</v>
          </cell>
          <cell r="B125" t="str">
            <v>SMT</v>
          </cell>
          <cell r="C125">
            <v>1</v>
          </cell>
          <cell r="D125" t="e">
            <v>#N/A</v>
          </cell>
        </row>
        <row r="126">
          <cell r="A126" t="str">
            <v>1RE1LPMB2120GMZA</v>
          </cell>
          <cell r="B126" t="str">
            <v>SMT</v>
          </cell>
          <cell r="C126">
            <v>1</v>
          </cell>
          <cell r="D126">
            <v>262</v>
          </cell>
        </row>
        <row r="127">
          <cell r="A127" t="str">
            <v>1RE2LPMB2120GMZA</v>
          </cell>
          <cell r="B127" t="str">
            <v>SMT</v>
          </cell>
          <cell r="C127">
            <v>1</v>
          </cell>
          <cell r="D127">
            <v>344</v>
          </cell>
        </row>
        <row r="128">
          <cell r="A128" t="str">
            <v>1RH1LPMB2120GMZA</v>
          </cell>
          <cell r="B128" t="str">
            <v>SMT</v>
          </cell>
          <cell r="C128">
            <v>1</v>
          </cell>
          <cell r="D128">
            <v>14</v>
          </cell>
        </row>
        <row r="129">
          <cell r="A129" t="str">
            <v>1AP1LPMB2120GMZA</v>
          </cell>
          <cell r="B129" t="str">
            <v>DIP</v>
          </cell>
          <cell r="C129">
            <v>1</v>
          </cell>
          <cell r="D129" t="e">
            <v>#N/A</v>
          </cell>
          <cell r="E129">
            <v>2210</v>
          </cell>
          <cell r="H129">
            <v>311</v>
          </cell>
        </row>
        <row r="130">
          <cell r="A130" t="str">
            <v>1VI1LPMB2120HXMZA</v>
          </cell>
          <cell r="B130" t="str">
            <v>SMT</v>
          </cell>
          <cell r="C130">
            <v>1</v>
          </cell>
          <cell r="D130" t="e">
            <v>#N/A</v>
          </cell>
        </row>
        <row r="131">
          <cell r="A131" t="str">
            <v>1RE1LPMB2120HXMZA</v>
          </cell>
          <cell r="B131" t="str">
            <v>SMT</v>
          </cell>
          <cell r="C131">
            <v>1</v>
          </cell>
          <cell r="D131">
            <v>276</v>
          </cell>
        </row>
        <row r="132">
          <cell r="A132" t="str">
            <v>1RE2LPMB2120HXMZA</v>
          </cell>
          <cell r="B132" t="str">
            <v>SMT</v>
          </cell>
          <cell r="C132">
            <v>1</v>
          </cell>
          <cell r="D132">
            <v>351</v>
          </cell>
        </row>
        <row r="133">
          <cell r="A133" t="str">
            <v>1RH1LPMB2120HXMZA</v>
          </cell>
          <cell r="B133" t="str">
            <v>SMT</v>
          </cell>
          <cell r="C133">
            <v>1</v>
          </cell>
          <cell r="D133">
            <v>7</v>
          </cell>
        </row>
        <row r="134">
          <cell r="A134" t="str">
            <v>1AP1LPMB2120HXMZA</v>
          </cell>
          <cell r="B134" t="str">
            <v>DIP</v>
          </cell>
          <cell r="C134">
            <v>1</v>
          </cell>
          <cell r="D134" t="e">
            <v>#N/A</v>
          </cell>
          <cell r="E134">
            <v>2210</v>
          </cell>
        </row>
        <row r="135">
          <cell r="A135" t="str">
            <v>1VI1LPMB2120JTMZA</v>
          </cell>
          <cell r="B135" t="str">
            <v>SMT</v>
          </cell>
          <cell r="C135">
            <v>1</v>
          </cell>
          <cell r="D135" t="e">
            <v>#N/A</v>
          </cell>
        </row>
        <row r="136">
          <cell r="A136" t="str">
            <v>1RE1LPMB2120JTMZA</v>
          </cell>
          <cell r="B136" t="str">
            <v>SMT</v>
          </cell>
          <cell r="C136">
            <v>1</v>
          </cell>
          <cell r="D136">
            <v>262</v>
          </cell>
        </row>
        <row r="137">
          <cell r="A137" t="str">
            <v>1RE2LPMB2120JTMZA</v>
          </cell>
          <cell r="B137" t="str">
            <v>SMT</v>
          </cell>
          <cell r="C137">
            <v>1</v>
          </cell>
          <cell r="D137">
            <v>344</v>
          </cell>
        </row>
        <row r="138">
          <cell r="A138" t="str">
            <v>1RH1LPMB2120JTMZA</v>
          </cell>
          <cell r="B138" t="str">
            <v>SMT</v>
          </cell>
          <cell r="C138">
            <v>1</v>
          </cell>
          <cell r="D138">
            <v>14</v>
          </cell>
        </row>
        <row r="139">
          <cell r="A139" t="str">
            <v>1AP1LPMB2120JTMZA</v>
          </cell>
          <cell r="B139" t="str">
            <v>DIP</v>
          </cell>
          <cell r="C139">
            <v>1</v>
          </cell>
          <cell r="D139" t="e">
            <v>#N/A</v>
          </cell>
          <cell r="E139">
            <v>2210</v>
          </cell>
        </row>
        <row r="140">
          <cell r="A140" t="str">
            <v>1VI1LPMB2120SXMZA</v>
          </cell>
          <cell r="B140" t="str">
            <v>SMT</v>
          </cell>
          <cell r="C140">
            <v>1</v>
          </cell>
          <cell r="D140" t="e">
            <v>#N/A</v>
          </cell>
        </row>
        <row r="141">
          <cell r="A141" t="str">
            <v>1RE1LPMB2120SXMZA</v>
          </cell>
          <cell r="B141" t="str">
            <v>SMT</v>
          </cell>
          <cell r="C141">
            <v>1</v>
          </cell>
          <cell r="D141">
            <v>260</v>
          </cell>
        </row>
        <row r="142">
          <cell r="A142" t="str">
            <v>1RE2LPMB2120SXMZA</v>
          </cell>
          <cell r="B142" t="str">
            <v>SMT</v>
          </cell>
          <cell r="C142">
            <v>1</v>
          </cell>
          <cell r="D142">
            <v>335</v>
          </cell>
        </row>
        <row r="143">
          <cell r="A143" t="str">
            <v>1RH1LPMB2120SXMZA</v>
          </cell>
          <cell r="B143" t="str">
            <v>SMT</v>
          </cell>
          <cell r="C143">
            <v>1</v>
          </cell>
          <cell r="D143">
            <v>7</v>
          </cell>
          <cell r="E143">
            <v>2210</v>
          </cell>
          <cell r="F143" t="str">
            <v>VC01</v>
          </cell>
          <cell r="G143" t="str">
            <v>Auto</v>
          </cell>
          <cell r="H143">
            <v>311</v>
          </cell>
          <cell r="I143">
            <v>2210</v>
          </cell>
          <cell r="J143">
            <v>2260</v>
          </cell>
          <cell r="K143" t="str">
            <v>VC01</v>
          </cell>
        </row>
        <row r="144">
          <cell r="A144" t="str">
            <v>1AP1LPMB2120SXMZA</v>
          </cell>
          <cell r="B144" t="str">
            <v>DIP</v>
          </cell>
          <cell r="C144">
            <v>1</v>
          </cell>
          <cell r="D144" t="e">
            <v>#N/A</v>
          </cell>
          <cell r="E144">
            <v>2210</v>
          </cell>
          <cell r="F144" t="str">
            <v>VC01</v>
          </cell>
          <cell r="G144" t="str">
            <v>Auto</v>
          </cell>
          <cell r="H144">
            <v>311</v>
          </cell>
          <cell r="I144">
            <v>2210</v>
          </cell>
          <cell r="J144">
            <v>2260</v>
          </cell>
          <cell r="K144" t="str">
            <v>VC01</v>
          </cell>
        </row>
        <row r="145">
          <cell r="A145" t="str">
            <v>1AE1LPMB2130CXKZA</v>
          </cell>
          <cell r="B145" t="str">
            <v>SMT</v>
          </cell>
          <cell r="C145">
            <v>1</v>
          </cell>
          <cell r="D145">
            <v>15</v>
          </cell>
        </row>
        <row r="146">
          <cell r="A146" t="str">
            <v>1RH1LPMB2130CXKZA</v>
          </cell>
          <cell r="B146" t="str">
            <v>SMT</v>
          </cell>
          <cell r="C146">
            <v>1</v>
          </cell>
          <cell r="D146">
            <v>36</v>
          </cell>
        </row>
        <row r="147">
          <cell r="A147" t="str">
            <v>1CM1LPMB2130CXKZA</v>
          </cell>
          <cell r="B147" t="str">
            <v>SMT</v>
          </cell>
          <cell r="C147">
            <v>1</v>
          </cell>
          <cell r="D147">
            <v>47</v>
          </cell>
          <cell r="E147">
            <v>2210</v>
          </cell>
          <cell r="F147" t="str">
            <v>VC01</v>
          </cell>
          <cell r="G147" t="str">
            <v>Auto</v>
          </cell>
          <cell r="H147">
            <v>311</v>
          </cell>
          <cell r="I147">
            <v>2210</v>
          </cell>
          <cell r="J147">
            <v>2360</v>
          </cell>
          <cell r="K147" t="str">
            <v>VC01</v>
          </cell>
        </row>
        <row r="148">
          <cell r="A148" t="str">
            <v>1AP1LPMB2130CXKZA</v>
          </cell>
          <cell r="B148" t="str">
            <v>DIP</v>
          </cell>
          <cell r="C148">
            <v>1</v>
          </cell>
          <cell r="D148" t="e">
            <v>#N/A</v>
          </cell>
          <cell r="E148">
            <v>2210</v>
          </cell>
          <cell r="F148" t="str">
            <v>VC01</v>
          </cell>
          <cell r="G148" t="str">
            <v>Auto</v>
          </cell>
          <cell r="H148">
            <v>311</v>
          </cell>
          <cell r="I148">
            <v>2210</v>
          </cell>
          <cell r="J148">
            <v>2360</v>
          </cell>
          <cell r="K148" t="str">
            <v>VC01</v>
          </cell>
        </row>
        <row r="149">
          <cell r="A149" t="str">
            <v>1VI1LPMB2130CXMZA</v>
          </cell>
          <cell r="B149" t="str">
            <v>SMT</v>
          </cell>
          <cell r="C149">
            <v>1</v>
          </cell>
          <cell r="D149" t="e">
            <v>#N/A</v>
          </cell>
        </row>
        <row r="150">
          <cell r="A150" t="str">
            <v>1RE1LPMB2130CXMZA</v>
          </cell>
          <cell r="B150" t="str">
            <v>SMT</v>
          </cell>
          <cell r="C150">
            <v>1</v>
          </cell>
          <cell r="D150">
            <v>275</v>
          </cell>
        </row>
        <row r="151">
          <cell r="A151" t="str">
            <v>1RE2LPMB2130CXMZA</v>
          </cell>
          <cell r="B151" t="str">
            <v>SMT</v>
          </cell>
          <cell r="C151">
            <v>1</v>
          </cell>
          <cell r="D151">
            <v>367</v>
          </cell>
        </row>
        <row r="152">
          <cell r="A152" t="str">
            <v>1RH1LPMB2130CXMZA</v>
          </cell>
          <cell r="B152" t="str">
            <v>SMT</v>
          </cell>
          <cell r="C152">
            <v>1</v>
          </cell>
          <cell r="D152">
            <v>7</v>
          </cell>
          <cell r="E152">
            <v>2210</v>
          </cell>
          <cell r="F152" t="str">
            <v>VC01</v>
          </cell>
          <cell r="G152" t="str">
            <v>Auto</v>
          </cell>
          <cell r="H152">
            <v>311</v>
          </cell>
          <cell r="I152">
            <v>2210</v>
          </cell>
          <cell r="J152">
            <v>2260</v>
          </cell>
          <cell r="K152" t="str">
            <v>VC01</v>
          </cell>
        </row>
        <row r="153">
          <cell r="A153" t="str">
            <v>1AP1LPMB2130CXMZA</v>
          </cell>
          <cell r="B153" t="str">
            <v>DIP</v>
          </cell>
          <cell r="C153">
            <v>1</v>
          </cell>
          <cell r="D153" t="e">
            <v>#N/A</v>
          </cell>
          <cell r="E153">
            <v>2210</v>
          </cell>
          <cell r="F153" t="str">
            <v>VC01</v>
          </cell>
          <cell r="G153" t="str">
            <v>Auto</v>
          </cell>
          <cell r="H153">
            <v>311</v>
          </cell>
          <cell r="I153">
            <v>2210</v>
          </cell>
          <cell r="J153">
            <v>2260</v>
          </cell>
          <cell r="K153" t="str">
            <v>VC01</v>
          </cell>
        </row>
        <row r="154">
          <cell r="A154" t="str">
            <v>1CM1LPMB2130CXSZA</v>
          </cell>
          <cell r="B154" t="str">
            <v>SMT</v>
          </cell>
          <cell r="C154">
            <v>1</v>
          </cell>
          <cell r="D154">
            <v>18</v>
          </cell>
          <cell r="E154">
            <v>2210</v>
          </cell>
          <cell r="F154" t="str">
            <v>VC01</v>
          </cell>
          <cell r="G154" t="str">
            <v>Auto</v>
          </cell>
          <cell r="H154">
            <v>311</v>
          </cell>
          <cell r="I154">
            <v>2210</v>
          </cell>
          <cell r="J154">
            <v>2360</v>
          </cell>
          <cell r="K154" t="str">
            <v>VC01</v>
          </cell>
        </row>
        <row r="155">
          <cell r="A155" t="str">
            <v>1AP1LPMB2130CXSZA</v>
          </cell>
          <cell r="B155" t="str">
            <v>DIP</v>
          </cell>
          <cell r="C155">
            <v>1</v>
          </cell>
          <cell r="D155" t="e">
            <v>#N/A</v>
          </cell>
          <cell r="E155">
            <v>2210</v>
          </cell>
          <cell r="F155" t="str">
            <v>VC01</v>
          </cell>
          <cell r="G155" t="str">
            <v>Auto</v>
          </cell>
          <cell r="H155">
            <v>311</v>
          </cell>
          <cell r="I155">
            <v>2210</v>
          </cell>
          <cell r="J155">
            <v>2360</v>
          </cell>
          <cell r="K155" t="str">
            <v>VC01</v>
          </cell>
        </row>
        <row r="156">
          <cell r="A156" t="str">
            <v>1VI1LPMB2130GMZA</v>
          </cell>
          <cell r="B156" t="str">
            <v>SMT</v>
          </cell>
          <cell r="C156">
            <v>1</v>
          </cell>
          <cell r="D156" t="e">
            <v>#N/A</v>
          </cell>
        </row>
        <row r="157">
          <cell r="A157" t="str">
            <v>1RE1LPMB2130GMZA</v>
          </cell>
          <cell r="B157" t="str">
            <v>SMT</v>
          </cell>
          <cell r="C157">
            <v>1</v>
          </cell>
          <cell r="D157">
            <v>264</v>
          </cell>
        </row>
        <row r="158">
          <cell r="A158" t="str">
            <v>1RE2LPMB2130GMZA</v>
          </cell>
          <cell r="B158" t="str">
            <v>SMT</v>
          </cell>
          <cell r="C158">
            <v>1</v>
          </cell>
          <cell r="D158">
            <v>360</v>
          </cell>
        </row>
        <row r="159">
          <cell r="A159" t="str">
            <v>1RH1LPMB2130GMZA</v>
          </cell>
          <cell r="B159" t="str">
            <v>SMT</v>
          </cell>
          <cell r="C159">
            <v>1</v>
          </cell>
          <cell r="D159">
            <v>14</v>
          </cell>
        </row>
        <row r="160">
          <cell r="A160" t="str">
            <v>1AP1LPMB2130GMZA</v>
          </cell>
          <cell r="B160" t="str">
            <v>DIP</v>
          </cell>
          <cell r="C160">
            <v>1</v>
          </cell>
          <cell r="D160" t="e">
            <v>#N/A</v>
          </cell>
          <cell r="E160">
            <v>2210</v>
          </cell>
        </row>
        <row r="161">
          <cell r="A161" t="str">
            <v>1VI1LPMB2130HXMZA</v>
          </cell>
          <cell r="B161" t="str">
            <v>SMT</v>
          </cell>
          <cell r="C161">
            <v>1</v>
          </cell>
          <cell r="D161" t="e">
            <v>#N/A</v>
          </cell>
        </row>
        <row r="162">
          <cell r="A162" t="str">
            <v>1RE1LPMB2130HXMZA</v>
          </cell>
          <cell r="B162" t="str">
            <v>SMT</v>
          </cell>
          <cell r="C162">
            <v>1</v>
          </cell>
          <cell r="D162">
            <v>278</v>
          </cell>
        </row>
        <row r="163">
          <cell r="A163" t="str">
            <v>1RE2LPMB2130HXMZA</v>
          </cell>
          <cell r="B163" t="str">
            <v>SMT</v>
          </cell>
          <cell r="C163">
            <v>1</v>
          </cell>
          <cell r="D163">
            <v>367</v>
          </cell>
        </row>
        <row r="164">
          <cell r="A164" t="str">
            <v>1RH1LPMB2130HXMZA</v>
          </cell>
          <cell r="B164" t="str">
            <v>SMT</v>
          </cell>
          <cell r="C164">
            <v>1</v>
          </cell>
          <cell r="D164">
            <v>7</v>
          </cell>
        </row>
        <row r="165">
          <cell r="A165" t="str">
            <v>1AP1LPMB2130HXMZA</v>
          </cell>
          <cell r="B165" t="str">
            <v>DIP</v>
          </cell>
          <cell r="C165">
            <v>1</v>
          </cell>
          <cell r="D165" t="e">
            <v>#N/A</v>
          </cell>
          <cell r="E165">
            <v>2210</v>
          </cell>
        </row>
        <row r="166">
          <cell r="A166" t="str">
            <v>1VI1LPMB2130RUMZA</v>
          </cell>
          <cell r="B166" t="str">
            <v>SMT</v>
          </cell>
          <cell r="C166">
            <v>1</v>
          </cell>
          <cell r="D166" t="e">
            <v>#N/A</v>
          </cell>
        </row>
        <row r="167">
          <cell r="A167" t="str">
            <v>1RE1LPMB2130RUMZA</v>
          </cell>
          <cell r="B167" t="str">
            <v>SMT</v>
          </cell>
          <cell r="C167">
            <v>1</v>
          </cell>
          <cell r="D167">
            <v>275</v>
          </cell>
        </row>
        <row r="168">
          <cell r="A168" t="str">
            <v>1RE2LPMB2130RUMZA</v>
          </cell>
          <cell r="B168" t="str">
            <v>SMT</v>
          </cell>
          <cell r="C168">
            <v>1</v>
          </cell>
          <cell r="D168">
            <v>366</v>
          </cell>
        </row>
        <row r="169">
          <cell r="A169" t="str">
            <v>1RH1LPMB2130RUMZA</v>
          </cell>
          <cell r="B169" t="str">
            <v>SMT</v>
          </cell>
          <cell r="C169">
            <v>1</v>
          </cell>
          <cell r="D169">
            <v>6</v>
          </cell>
          <cell r="E169">
            <v>2210</v>
          </cell>
          <cell r="F169" t="str">
            <v>VC01</v>
          </cell>
          <cell r="G169" t="str">
            <v>Auto</v>
          </cell>
          <cell r="H169">
            <v>311</v>
          </cell>
          <cell r="I169">
            <v>2210</v>
          </cell>
          <cell r="J169">
            <v>2260</v>
          </cell>
          <cell r="K169" t="str">
            <v>VC01</v>
          </cell>
        </row>
        <row r="170">
          <cell r="A170" t="str">
            <v>1AP1LPMB2130RUMZA</v>
          </cell>
          <cell r="B170" t="str">
            <v>DIP</v>
          </cell>
          <cell r="C170">
            <v>1</v>
          </cell>
          <cell r="D170" t="e">
            <v>#N/A</v>
          </cell>
          <cell r="E170">
            <v>2210</v>
          </cell>
          <cell r="F170" t="str">
            <v>VC01</v>
          </cell>
          <cell r="G170" t="str">
            <v>Auto</v>
          </cell>
          <cell r="H170">
            <v>311</v>
          </cell>
          <cell r="I170">
            <v>2210</v>
          </cell>
          <cell r="J170">
            <v>2260</v>
          </cell>
          <cell r="K170" t="str">
            <v>VC01</v>
          </cell>
        </row>
        <row r="171">
          <cell r="A171" t="str">
            <v>1VI1LPMB2137RUMZA</v>
          </cell>
          <cell r="B171" t="str">
            <v>SMT</v>
          </cell>
          <cell r="C171">
            <v>1</v>
          </cell>
          <cell r="D171" t="e">
            <v>#N/A</v>
          </cell>
        </row>
        <row r="172">
          <cell r="A172" t="str">
            <v>1RE1LPMB2137RUMZA</v>
          </cell>
          <cell r="B172" t="str">
            <v>SMT</v>
          </cell>
          <cell r="C172">
            <v>1</v>
          </cell>
          <cell r="D172">
            <v>293</v>
          </cell>
        </row>
        <row r="173">
          <cell r="A173" t="str">
            <v>1RE2LPMB2137RUMZA</v>
          </cell>
          <cell r="B173" t="str">
            <v>SMT</v>
          </cell>
          <cell r="C173">
            <v>1</v>
          </cell>
          <cell r="D173">
            <v>392</v>
          </cell>
        </row>
        <row r="174">
          <cell r="A174" t="str">
            <v>1RH1LPMB2137RUMZA</v>
          </cell>
          <cell r="B174" t="str">
            <v>SMT</v>
          </cell>
          <cell r="C174">
            <v>1</v>
          </cell>
          <cell r="D174">
            <v>6</v>
          </cell>
          <cell r="E174">
            <v>2210</v>
          </cell>
          <cell r="F174" t="str">
            <v>VC01</v>
          </cell>
          <cell r="G174" t="str">
            <v>Auto</v>
          </cell>
          <cell r="H174">
            <v>311</v>
          </cell>
          <cell r="I174">
            <v>2210</v>
          </cell>
          <cell r="J174">
            <v>2260</v>
          </cell>
          <cell r="K174" t="str">
            <v>VC01</v>
          </cell>
        </row>
        <row r="175">
          <cell r="A175" t="str">
            <v>1AP1LPMB2137RUMZA</v>
          </cell>
          <cell r="B175" t="str">
            <v>DIP</v>
          </cell>
          <cell r="C175">
            <v>1</v>
          </cell>
          <cell r="D175" t="e">
            <v>#N/A</v>
          </cell>
          <cell r="E175">
            <v>2210</v>
          </cell>
          <cell r="F175" t="str">
            <v>VC01</v>
          </cell>
          <cell r="G175" t="str">
            <v>Auto</v>
          </cell>
          <cell r="H175">
            <v>311</v>
          </cell>
          <cell r="I175">
            <v>2210</v>
          </cell>
          <cell r="J175">
            <v>2260</v>
          </cell>
          <cell r="K175" t="str">
            <v>VC01</v>
          </cell>
        </row>
        <row r="176">
          <cell r="A176" t="str">
            <v>1VI1LPMB2170CXMZA</v>
          </cell>
          <cell r="B176" t="str">
            <v>SMT</v>
          </cell>
          <cell r="C176">
            <v>1</v>
          </cell>
          <cell r="D176" t="e">
            <v>#N/A</v>
          </cell>
        </row>
        <row r="177">
          <cell r="A177" t="str">
            <v>1RE1LPMB2170CXMZA</v>
          </cell>
          <cell r="B177" t="str">
            <v>SMT</v>
          </cell>
          <cell r="C177">
            <v>1</v>
          </cell>
          <cell r="D177">
            <v>275</v>
          </cell>
        </row>
        <row r="178">
          <cell r="A178" t="str">
            <v>1RE2LPMB2170CXMZA</v>
          </cell>
          <cell r="B178" t="str">
            <v>SMT</v>
          </cell>
          <cell r="C178">
            <v>1</v>
          </cell>
          <cell r="D178">
            <v>380</v>
          </cell>
        </row>
        <row r="179">
          <cell r="A179" t="str">
            <v>1RH1LPMB2170CXMZA</v>
          </cell>
          <cell r="B179" t="str">
            <v>SMT</v>
          </cell>
          <cell r="C179">
            <v>1</v>
          </cell>
          <cell r="D179">
            <v>7</v>
          </cell>
          <cell r="E179">
            <v>2210</v>
          </cell>
          <cell r="F179" t="str">
            <v>VC01</v>
          </cell>
          <cell r="G179" t="str">
            <v>Auto</v>
          </cell>
          <cell r="H179">
            <v>311</v>
          </cell>
          <cell r="I179">
            <v>2210</v>
          </cell>
          <cell r="J179">
            <v>2260</v>
          </cell>
          <cell r="K179" t="str">
            <v>VC01</v>
          </cell>
        </row>
        <row r="180">
          <cell r="A180" t="str">
            <v>1AP1LPMB2170CXMZA</v>
          </cell>
          <cell r="B180" t="str">
            <v>DIP</v>
          </cell>
          <cell r="C180">
            <v>1</v>
          </cell>
          <cell r="D180" t="e">
            <v>#N/A</v>
          </cell>
          <cell r="E180">
            <v>2210</v>
          </cell>
          <cell r="F180" t="str">
            <v>VC01</v>
          </cell>
          <cell r="G180" t="str">
            <v>Auto</v>
          </cell>
          <cell r="H180">
            <v>311</v>
          </cell>
          <cell r="I180">
            <v>2210</v>
          </cell>
          <cell r="J180">
            <v>2260</v>
          </cell>
          <cell r="K180" t="str">
            <v>VC01</v>
          </cell>
        </row>
        <row r="181">
          <cell r="A181" t="str">
            <v>1VI1LPMB2170GMZA</v>
          </cell>
          <cell r="B181" t="str">
            <v>SMT</v>
          </cell>
          <cell r="C181">
            <v>1</v>
          </cell>
          <cell r="D181" t="e">
            <v>#N/A</v>
          </cell>
        </row>
        <row r="182">
          <cell r="A182" t="str">
            <v>1RE1LPMB2170GMZA</v>
          </cell>
          <cell r="B182" t="str">
            <v>SMT</v>
          </cell>
          <cell r="C182">
            <v>1</v>
          </cell>
          <cell r="D182">
            <v>264</v>
          </cell>
        </row>
        <row r="183">
          <cell r="A183" t="str">
            <v>1RE2LPMB2170GMZA</v>
          </cell>
          <cell r="B183" t="str">
            <v>SMT</v>
          </cell>
          <cell r="C183">
            <v>1</v>
          </cell>
          <cell r="D183">
            <v>373</v>
          </cell>
        </row>
        <row r="184">
          <cell r="A184" t="str">
            <v>1RH1LPMB2170GMZA</v>
          </cell>
          <cell r="B184" t="str">
            <v>SMT</v>
          </cell>
          <cell r="C184">
            <v>1</v>
          </cell>
          <cell r="D184">
            <v>14</v>
          </cell>
        </row>
        <row r="185">
          <cell r="A185" t="str">
            <v>1AP1LPMB2170GMZA</v>
          </cell>
          <cell r="B185" t="str">
            <v>DIP</v>
          </cell>
          <cell r="C185">
            <v>1</v>
          </cell>
          <cell r="D185" t="e">
            <v>#N/A</v>
          </cell>
          <cell r="E185">
            <v>2210</v>
          </cell>
        </row>
        <row r="186">
          <cell r="A186" t="str">
            <v>1VI1LPMB2170JTMZA</v>
          </cell>
          <cell r="B186" t="str">
            <v>SMT</v>
          </cell>
          <cell r="C186">
            <v>1</v>
          </cell>
          <cell r="D186" t="e">
            <v>#N/A</v>
          </cell>
        </row>
        <row r="187">
          <cell r="A187" t="str">
            <v>1RE1LPMB2170JTMZA</v>
          </cell>
          <cell r="B187" t="str">
            <v>SMT</v>
          </cell>
          <cell r="C187">
            <v>1</v>
          </cell>
          <cell r="D187">
            <v>264</v>
          </cell>
        </row>
        <row r="188">
          <cell r="A188" t="str">
            <v>1RE2LPMB2170JTMZA</v>
          </cell>
          <cell r="B188" t="str">
            <v>SMT</v>
          </cell>
          <cell r="C188">
            <v>1</v>
          </cell>
          <cell r="D188">
            <v>373</v>
          </cell>
        </row>
        <row r="189">
          <cell r="A189" t="str">
            <v>1RH1LPMB2170JTMZA</v>
          </cell>
          <cell r="B189" t="str">
            <v>SMT</v>
          </cell>
          <cell r="C189">
            <v>1</v>
          </cell>
          <cell r="D189">
            <v>14</v>
          </cell>
        </row>
        <row r="190">
          <cell r="A190" t="str">
            <v>1AP1LPMB2170JTMZA</v>
          </cell>
          <cell r="B190" t="str">
            <v>DIP</v>
          </cell>
          <cell r="C190">
            <v>1</v>
          </cell>
          <cell r="D190" t="e">
            <v>#N/A</v>
          </cell>
          <cell r="E190">
            <v>2210</v>
          </cell>
        </row>
        <row r="191">
          <cell r="A191" t="str">
            <v>1VI1LPMB2170RUMZA</v>
          </cell>
          <cell r="B191" t="str">
            <v>SMT</v>
          </cell>
          <cell r="C191">
            <v>1</v>
          </cell>
          <cell r="D191" t="e">
            <v>#N/A</v>
          </cell>
        </row>
        <row r="192">
          <cell r="A192" t="str">
            <v>1RE1LPMB2170RUMZA</v>
          </cell>
          <cell r="B192" t="str">
            <v>SMT</v>
          </cell>
          <cell r="C192">
            <v>1</v>
          </cell>
          <cell r="D192">
            <v>276</v>
          </cell>
        </row>
        <row r="193">
          <cell r="A193" t="str">
            <v>1RE2LPMB2170RUMZA</v>
          </cell>
          <cell r="B193" t="str">
            <v>SMT</v>
          </cell>
          <cell r="C193">
            <v>1</v>
          </cell>
          <cell r="D193">
            <v>385</v>
          </cell>
        </row>
        <row r="194">
          <cell r="A194" t="str">
            <v>1RH1LPMB2170RUMZA</v>
          </cell>
          <cell r="B194" t="str">
            <v>SMT</v>
          </cell>
          <cell r="C194">
            <v>1</v>
          </cell>
          <cell r="D194">
            <v>6</v>
          </cell>
          <cell r="E194">
            <v>2210</v>
          </cell>
          <cell r="F194" t="str">
            <v>VC01</v>
          </cell>
          <cell r="G194" t="str">
            <v>Auto</v>
          </cell>
          <cell r="H194">
            <v>311</v>
          </cell>
          <cell r="I194">
            <v>2210</v>
          </cell>
          <cell r="J194">
            <v>2260</v>
          </cell>
          <cell r="K194" t="str">
            <v>VC01</v>
          </cell>
        </row>
        <row r="195">
          <cell r="A195" t="str">
            <v>1AP1LPMB2170RUMZA</v>
          </cell>
          <cell r="B195" t="str">
            <v>DIP</v>
          </cell>
          <cell r="C195">
            <v>1</v>
          </cell>
          <cell r="D195" t="e">
            <v>#N/A</v>
          </cell>
          <cell r="E195">
            <v>2210</v>
          </cell>
          <cell r="F195" t="str">
            <v>VC01</v>
          </cell>
          <cell r="G195" t="str">
            <v>Auto</v>
          </cell>
          <cell r="H195">
            <v>311</v>
          </cell>
          <cell r="I195">
            <v>2210</v>
          </cell>
          <cell r="J195">
            <v>2260</v>
          </cell>
          <cell r="K195" t="str">
            <v>VC01</v>
          </cell>
        </row>
        <row r="196">
          <cell r="A196" t="str">
            <v>1VJ1LPMB536CNMZA</v>
          </cell>
          <cell r="B196" t="str">
            <v>SMT</v>
          </cell>
          <cell r="C196">
            <v>1</v>
          </cell>
          <cell r="D196" t="e">
            <v>#N/A</v>
          </cell>
        </row>
        <row r="197">
          <cell r="A197" t="str">
            <v>1RE1LPMB536CNMZA</v>
          </cell>
          <cell r="B197" t="str">
            <v>SMT</v>
          </cell>
          <cell r="C197">
            <v>1</v>
          </cell>
          <cell r="D197">
            <v>424</v>
          </cell>
        </row>
        <row r="198">
          <cell r="A198" t="str">
            <v>1RE2LPMB536CNMZA</v>
          </cell>
          <cell r="B198" t="str">
            <v>SMT</v>
          </cell>
          <cell r="C198">
            <v>1</v>
          </cell>
          <cell r="D198">
            <v>500</v>
          </cell>
        </row>
        <row r="199">
          <cell r="A199" t="str">
            <v>1RH1LPMB536CNMZA</v>
          </cell>
          <cell r="B199" t="str">
            <v>SMT</v>
          </cell>
          <cell r="C199">
            <v>1</v>
          </cell>
          <cell r="D199">
            <v>8</v>
          </cell>
          <cell r="E199">
            <v>2210</v>
          </cell>
          <cell r="F199" t="str">
            <v>VC01</v>
          </cell>
          <cell r="G199" t="str">
            <v>Auto</v>
          </cell>
          <cell r="H199">
            <v>311</v>
          </cell>
          <cell r="I199">
            <v>2210</v>
          </cell>
          <cell r="J199">
            <v>2260</v>
          </cell>
          <cell r="K199" t="str">
            <v>VC01</v>
          </cell>
        </row>
        <row r="200">
          <cell r="A200" t="str">
            <v>1AP1LPMB536CNMZA</v>
          </cell>
          <cell r="B200" t="str">
            <v>DIP</v>
          </cell>
          <cell r="C200">
            <v>1</v>
          </cell>
          <cell r="D200" t="e">
            <v>#N/A</v>
          </cell>
          <cell r="E200">
            <v>2210</v>
          </cell>
          <cell r="F200" t="str">
            <v>VC01</v>
          </cell>
          <cell r="G200" t="str">
            <v>Auto</v>
          </cell>
          <cell r="H200">
            <v>311</v>
          </cell>
          <cell r="I200">
            <v>2210</v>
          </cell>
          <cell r="J200">
            <v>2260</v>
          </cell>
          <cell r="K200" t="str">
            <v>VC01</v>
          </cell>
        </row>
        <row r="201">
          <cell r="A201" t="str">
            <v>1VJ1LPMB536CXMZA</v>
          </cell>
          <cell r="B201" t="str">
            <v>SMT</v>
          </cell>
          <cell r="C201">
            <v>1</v>
          </cell>
          <cell r="D201" t="e">
            <v>#N/A</v>
          </cell>
        </row>
        <row r="202">
          <cell r="A202" t="str">
            <v>1RE1LPMB536CXMZA</v>
          </cell>
          <cell r="B202" t="str">
            <v>SMT</v>
          </cell>
          <cell r="C202">
            <v>1</v>
          </cell>
          <cell r="D202">
            <v>431</v>
          </cell>
        </row>
        <row r="203">
          <cell r="A203" t="str">
            <v>1RE2LPMB536CXMZA</v>
          </cell>
          <cell r="B203" t="str">
            <v>SMT</v>
          </cell>
          <cell r="C203">
            <v>1</v>
          </cell>
          <cell r="D203">
            <v>519</v>
          </cell>
        </row>
        <row r="204">
          <cell r="A204" t="str">
            <v>1RH1LPMB536CXMZA</v>
          </cell>
          <cell r="B204" t="str">
            <v>SMT</v>
          </cell>
          <cell r="C204">
            <v>1</v>
          </cell>
          <cell r="D204">
            <v>8</v>
          </cell>
          <cell r="E204">
            <v>2210</v>
          </cell>
          <cell r="F204" t="str">
            <v>VC01</v>
          </cell>
          <cell r="G204" t="str">
            <v>Auto</v>
          </cell>
          <cell r="H204">
            <v>311</v>
          </cell>
          <cell r="I204">
            <v>2210</v>
          </cell>
          <cell r="J204">
            <v>2260</v>
          </cell>
          <cell r="K204" t="str">
            <v>VC01</v>
          </cell>
        </row>
        <row r="205">
          <cell r="A205" t="str">
            <v>1AP1LPMB536CXMZA</v>
          </cell>
          <cell r="B205" t="str">
            <v>DIP</v>
          </cell>
          <cell r="C205">
            <v>1</v>
          </cell>
          <cell r="D205" t="e">
            <v>#N/A</v>
          </cell>
          <cell r="E205">
            <v>2210</v>
          </cell>
          <cell r="F205" t="str">
            <v>VC01</v>
          </cell>
          <cell r="G205" t="str">
            <v>Auto</v>
          </cell>
          <cell r="H205">
            <v>311</v>
          </cell>
          <cell r="I205">
            <v>2210</v>
          </cell>
          <cell r="J205">
            <v>2260</v>
          </cell>
          <cell r="K205" t="str">
            <v>VC01</v>
          </cell>
        </row>
        <row r="206">
          <cell r="A206" t="str">
            <v>1CM1LPMB536CXSZA</v>
          </cell>
          <cell r="B206" t="str">
            <v>SMT</v>
          </cell>
          <cell r="C206">
            <v>1</v>
          </cell>
          <cell r="D206">
            <v>32</v>
          </cell>
          <cell r="E206">
            <v>2210</v>
          </cell>
          <cell r="F206" t="str">
            <v>VC01</v>
          </cell>
          <cell r="G206" t="str">
            <v>Auto</v>
          </cell>
          <cell r="H206">
            <v>311</v>
          </cell>
          <cell r="I206">
            <v>2210</v>
          </cell>
          <cell r="J206">
            <v>2260</v>
          </cell>
          <cell r="K206" t="str">
            <v>VC01</v>
          </cell>
        </row>
        <row r="207">
          <cell r="A207" t="str">
            <v>1AP1LPMB536CXSZA</v>
          </cell>
          <cell r="B207" t="str">
            <v>DIP</v>
          </cell>
          <cell r="C207">
            <v>1</v>
          </cell>
          <cell r="D207" t="e">
            <v>#N/A</v>
          </cell>
          <cell r="E207">
            <v>2210</v>
          </cell>
          <cell r="F207" t="str">
            <v>VC01</v>
          </cell>
          <cell r="G207" t="str">
            <v>Auto</v>
          </cell>
          <cell r="H207">
            <v>311</v>
          </cell>
          <cell r="I207">
            <v>2210</v>
          </cell>
          <cell r="J207">
            <v>2260</v>
          </cell>
          <cell r="K207" t="str">
            <v>VC01</v>
          </cell>
        </row>
        <row r="208">
          <cell r="A208" t="str">
            <v>1VJ1LPMB536LAMZA</v>
          </cell>
          <cell r="B208" t="str">
            <v>SMT</v>
          </cell>
          <cell r="C208">
            <v>1</v>
          </cell>
          <cell r="D208" t="e">
            <v>#N/A</v>
          </cell>
        </row>
        <row r="209">
          <cell r="A209" t="str">
            <v>1RE1LPMB536LAMZA</v>
          </cell>
          <cell r="B209" t="str">
            <v>SMT</v>
          </cell>
          <cell r="C209">
            <v>1</v>
          </cell>
          <cell r="D209">
            <v>427</v>
          </cell>
        </row>
        <row r="210">
          <cell r="A210" t="str">
            <v>1RE2LPMB536LAMZA</v>
          </cell>
          <cell r="B210" t="str">
            <v>SMT</v>
          </cell>
          <cell r="C210">
            <v>1</v>
          </cell>
          <cell r="D210">
            <v>501</v>
          </cell>
        </row>
        <row r="211">
          <cell r="A211" t="str">
            <v>1RH1LPMB536LAMZA</v>
          </cell>
          <cell r="B211" t="str">
            <v>SMT</v>
          </cell>
          <cell r="C211">
            <v>1</v>
          </cell>
          <cell r="D211">
            <v>9</v>
          </cell>
          <cell r="E211">
            <v>2210</v>
          </cell>
          <cell r="F211" t="str">
            <v>VC01</v>
          </cell>
          <cell r="G211" t="str">
            <v>Auto</v>
          </cell>
          <cell r="H211">
            <v>311</v>
          </cell>
          <cell r="I211">
            <v>2210</v>
          </cell>
          <cell r="J211">
            <v>2260</v>
          </cell>
          <cell r="K211" t="str">
            <v>VC01</v>
          </cell>
        </row>
        <row r="212">
          <cell r="A212" t="str">
            <v>1AP1LPMB536LAMZA</v>
          </cell>
          <cell r="B212" t="str">
            <v>DIP</v>
          </cell>
          <cell r="C212">
            <v>1</v>
          </cell>
          <cell r="D212" t="e">
            <v>#N/A</v>
          </cell>
          <cell r="E212">
            <v>2210</v>
          </cell>
          <cell r="F212" t="str">
            <v>VC01</v>
          </cell>
          <cell r="G212" t="str">
            <v>Auto</v>
          </cell>
          <cell r="H212">
            <v>311</v>
          </cell>
          <cell r="I212">
            <v>2210</v>
          </cell>
          <cell r="J212">
            <v>2260</v>
          </cell>
          <cell r="K212" t="str">
            <v>VC01</v>
          </cell>
        </row>
        <row r="213">
          <cell r="A213" t="str">
            <v>1VJ1LPMB536RUMZA</v>
          </cell>
          <cell r="B213" t="str">
            <v>SMT</v>
          </cell>
          <cell r="C213">
            <v>1</v>
          </cell>
          <cell r="D213" t="e">
            <v>#N/A</v>
          </cell>
        </row>
        <row r="214">
          <cell r="A214" t="str">
            <v>1RE1LPMB536RUMZA</v>
          </cell>
          <cell r="B214" t="str">
            <v>SMT</v>
          </cell>
          <cell r="C214">
            <v>1</v>
          </cell>
          <cell r="D214">
            <v>420</v>
          </cell>
        </row>
        <row r="215">
          <cell r="A215" t="str">
            <v>1RE2LPMB536RUMZA</v>
          </cell>
          <cell r="B215" t="str">
            <v>SMT</v>
          </cell>
          <cell r="C215">
            <v>1</v>
          </cell>
          <cell r="D215">
            <v>500</v>
          </cell>
        </row>
        <row r="216">
          <cell r="A216" t="str">
            <v>1RH1LPMB536RUMZA</v>
          </cell>
          <cell r="B216" t="str">
            <v>SMT</v>
          </cell>
          <cell r="C216">
            <v>1</v>
          </cell>
          <cell r="D216">
            <v>7</v>
          </cell>
          <cell r="E216">
            <v>2210</v>
          </cell>
          <cell r="F216" t="str">
            <v>VC01</v>
          </cell>
          <cell r="G216" t="str">
            <v>Auto</v>
          </cell>
          <cell r="H216">
            <v>311</v>
          </cell>
          <cell r="I216">
            <v>2210</v>
          </cell>
          <cell r="J216">
            <v>2260</v>
          </cell>
          <cell r="K216" t="str">
            <v>VC01</v>
          </cell>
        </row>
        <row r="217">
          <cell r="A217" t="str">
            <v>1AP1LPMB536RUMZA</v>
          </cell>
          <cell r="B217" t="str">
            <v>DIP</v>
          </cell>
          <cell r="C217">
            <v>1</v>
          </cell>
          <cell r="D217" t="e">
            <v>#N/A</v>
          </cell>
          <cell r="E217">
            <v>2210</v>
          </cell>
          <cell r="F217" t="str">
            <v>VC01</v>
          </cell>
          <cell r="G217" t="str">
            <v>Auto</v>
          </cell>
          <cell r="H217">
            <v>311</v>
          </cell>
          <cell r="I217">
            <v>2210</v>
          </cell>
          <cell r="J217">
            <v>2260</v>
          </cell>
          <cell r="K217" t="str">
            <v>VC01</v>
          </cell>
        </row>
        <row r="218">
          <cell r="A218" t="str">
            <v>1VJ1LPMB537JTMZA</v>
          </cell>
          <cell r="B218" t="str">
            <v>SMT</v>
          </cell>
          <cell r="C218">
            <v>1</v>
          </cell>
          <cell r="D218" t="e">
            <v>#N/A</v>
          </cell>
        </row>
        <row r="219">
          <cell r="A219" t="str">
            <v>1RE1LPMB537JTMZA</v>
          </cell>
          <cell r="B219" t="str">
            <v>SMT</v>
          </cell>
          <cell r="C219">
            <v>1</v>
          </cell>
          <cell r="D219">
            <v>420</v>
          </cell>
        </row>
        <row r="220">
          <cell r="A220" t="str">
            <v>1RE2LPMB537JTMZA</v>
          </cell>
          <cell r="B220" t="str">
            <v>SMT</v>
          </cell>
          <cell r="C220">
            <v>1</v>
          </cell>
          <cell r="D220">
            <v>511</v>
          </cell>
        </row>
        <row r="221">
          <cell r="A221" t="str">
            <v>1RH1LPMB537JTMZA</v>
          </cell>
          <cell r="B221" t="str">
            <v>SMT</v>
          </cell>
          <cell r="C221">
            <v>1</v>
          </cell>
          <cell r="D221">
            <v>8</v>
          </cell>
          <cell r="E221">
            <v>2210</v>
          </cell>
          <cell r="F221" t="str">
            <v>VC01</v>
          </cell>
          <cell r="G221" t="str">
            <v>Auto</v>
          </cell>
          <cell r="H221">
            <v>311</v>
          </cell>
          <cell r="I221">
            <v>2210</v>
          </cell>
          <cell r="J221">
            <v>2260</v>
          </cell>
          <cell r="K221" t="str">
            <v>VC01</v>
          </cell>
        </row>
        <row r="222">
          <cell r="A222" t="str">
            <v>1AP1LPMB537JTMZA</v>
          </cell>
          <cell r="B222" t="str">
            <v>DIP</v>
          </cell>
          <cell r="C222">
            <v>1</v>
          </cell>
          <cell r="D222" t="e">
            <v>#N/A</v>
          </cell>
          <cell r="E222">
            <v>2210</v>
          </cell>
          <cell r="F222" t="str">
            <v>VC01</v>
          </cell>
          <cell r="G222" t="str">
            <v>Auto</v>
          </cell>
          <cell r="H222">
            <v>311</v>
          </cell>
          <cell r="I222">
            <v>2210</v>
          </cell>
          <cell r="J222">
            <v>2260</v>
          </cell>
          <cell r="K222" t="str">
            <v>VC01</v>
          </cell>
        </row>
        <row r="223">
          <cell r="A223" t="str">
            <v>1VJ1LPMB539CNMZA</v>
          </cell>
          <cell r="B223" t="str">
            <v>SMT</v>
          </cell>
          <cell r="C223">
            <v>1</v>
          </cell>
          <cell r="D223" t="e">
            <v>#N/A</v>
          </cell>
        </row>
        <row r="224">
          <cell r="A224" t="str">
            <v>1RE1LPMB539CNMZA</v>
          </cell>
          <cell r="B224" t="str">
            <v>SMT</v>
          </cell>
          <cell r="C224">
            <v>1</v>
          </cell>
          <cell r="D224">
            <v>423</v>
          </cell>
        </row>
        <row r="225">
          <cell r="A225" t="str">
            <v>1RE2LPMB539CNMZA</v>
          </cell>
          <cell r="B225" t="str">
            <v>SMT</v>
          </cell>
          <cell r="C225">
            <v>1</v>
          </cell>
          <cell r="D225">
            <v>509</v>
          </cell>
        </row>
        <row r="226">
          <cell r="A226" t="str">
            <v>1RH1LPMB539CNMZA</v>
          </cell>
          <cell r="B226" t="str">
            <v>SMT</v>
          </cell>
          <cell r="C226">
            <v>1</v>
          </cell>
          <cell r="D226">
            <v>8</v>
          </cell>
          <cell r="E226">
            <v>2210</v>
          </cell>
          <cell r="F226" t="str">
            <v>VC01</v>
          </cell>
          <cell r="G226" t="str">
            <v>Auto</v>
          </cell>
          <cell r="H226">
            <v>311</v>
          </cell>
          <cell r="I226">
            <v>2210</v>
          </cell>
          <cell r="J226">
            <v>2260</v>
          </cell>
          <cell r="K226" t="str">
            <v>VC01</v>
          </cell>
        </row>
        <row r="227">
          <cell r="A227" t="str">
            <v>1AP1LPMB539CNMZA</v>
          </cell>
          <cell r="B227" t="str">
            <v>DIP</v>
          </cell>
          <cell r="C227">
            <v>1</v>
          </cell>
          <cell r="D227" t="e">
            <v>#N/A</v>
          </cell>
          <cell r="E227">
            <v>2210</v>
          </cell>
          <cell r="F227" t="str">
            <v>VC01</v>
          </cell>
          <cell r="G227" t="str">
            <v>Auto</v>
          </cell>
          <cell r="H227">
            <v>311</v>
          </cell>
          <cell r="I227">
            <v>2210</v>
          </cell>
          <cell r="J227">
            <v>2260</v>
          </cell>
          <cell r="K227" t="str">
            <v>VC01</v>
          </cell>
        </row>
        <row r="228">
          <cell r="A228" t="str">
            <v>1VJ1LPMB545CXMZA</v>
          </cell>
          <cell r="B228" t="str">
            <v>SMT</v>
          </cell>
          <cell r="C228">
            <v>1</v>
          </cell>
          <cell r="D228" t="e">
            <v>#N/A</v>
          </cell>
        </row>
        <row r="229">
          <cell r="A229" t="str">
            <v>1RE1LPMB545CXMZA</v>
          </cell>
          <cell r="B229" t="str">
            <v>SMT</v>
          </cell>
          <cell r="C229">
            <v>1</v>
          </cell>
          <cell r="D229">
            <v>430</v>
          </cell>
        </row>
        <row r="230">
          <cell r="A230" t="str">
            <v>1RE2LPMB545CXMZA</v>
          </cell>
          <cell r="B230" t="str">
            <v>SMT</v>
          </cell>
          <cell r="C230">
            <v>1</v>
          </cell>
          <cell r="D230">
            <v>528</v>
          </cell>
        </row>
        <row r="231">
          <cell r="A231" t="str">
            <v>1RH1LPMB545CXMZA</v>
          </cell>
          <cell r="B231" t="str">
            <v>SMT</v>
          </cell>
          <cell r="C231">
            <v>1</v>
          </cell>
          <cell r="D231">
            <v>8</v>
          </cell>
          <cell r="E231">
            <v>2210</v>
          </cell>
          <cell r="F231" t="str">
            <v>VC01</v>
          </cell>
          <cell r="G231" t="str">
            <v>Auto</v>
          </cell>
          <cell r="H231">
            <v>311</v>
          </cell>
          <cell r="I231">
            <v>2210</v>
          </cell>
          <cell r="J231">
            <v>2260</v>
          </cell>
          <cell r="K231" t="str">
            <v>VC01</v>
          </cell>
        </row>
        <row r="232">
          <cell r="A232" t="str">
            <v>1AP1LPMB545CXMZA</v>
          </cell>
          <cell r="B232" t="str">
            <v>DIP</v>
          </cell>
          <cell r="C232">
            <v>1</v>
          </cell>
          <cell r="D232" t="e">
            <v>#N/A</v>
          </cell>
          <cell r="E232">
            <v>2210</v>
          </cell>
          <cell r="F232" t="str">
            <v>VC01</v>
          </cell>
          <cell r="G232" t="str">
            <v>Auto</v>
          </cell>
          <cell r="H232">
            <v>311</v>
          </cell>
          <cell r="I232">
            <v>2210</v>
          </cell>
          <cell r="J232">
            <v>2260</v>
          </cell>
          <cell r="K232" t="str">
            <v>VC01</v>
          </cell>
        </row>
        <row r="233">
          <cell r="A233" t="str">
            <v>1RE1LPMB545JTDZA</v>
          </cell>
          <cell r="B233" t="str">
            <v>SMT</v>
          </cell>
          <cell r="C233">
            <v>1</v>
          </cell>
          <cell r="D233">
            <v>48</v>
          </cell>
          <cell r="E233">
            <v>2210</v>
          </cell>
          <cell r="F233" t="str">
            <v>VC01</v>
          </cell>
          <cell r="G233" t="str">
            <v>Auto</v>
          </cell>
          <cell r="H233">
            <v>311</v>
          </cell>
          <cell r="I233">
            <v>2210</v>
          </cell>
          <cell r="J233">
            <v>2260</v>
          </cell>
          <cell r="K233" t="str">
            <v>VC01</v>
          </cell>
        </row>
        <row r="234">
          <cell r="A234" t="str">
            <v>1AP1LPMB545JTDZA</v>
          </cell>
          <cell r="B234" t="str">
            <v>DIP</v>
          </cell>
          <cell r="C234">
            <v>1</v>
          </cell>
          <cell r="D234" t="e">
            <v>#N/A</v>
          </cell>
          <cell r="E234">
            <v>2210</v>
          </cell>
          <cell r="F234" t="str">
            <v>VC01</v>
          </cell>
          <cell r="G234" t="str">
            <v>Auto</v>
          </cell>
          <cell r="H234">
            <v>311</v>
          </cell>
          <cell r="I234">
            <v>2210</v>
          </cell>
          <cell r="J234">
            <v>2260</v>
          </cell>
          <cell r="K234" t="str">
            <v>VC01</v>
          </cell>
        </row>
        <row r="235">
          <cell r="A235" t="str">
            <v>1VJ1LPMB545JTMZA</v>
          </cell>
          <cell r="B235" t="str">
            <v>SMT</v>
          </cell>
          <cell r="C235">
            <v>1</v>
          </cell>
          <cell r="D235" t="e">
            <v>#N/A</v>
          </cell>
        </row>
        <row r="236">
          <cell r="A236" t="str">
            <v>1RE1LPMB545JTMZA</v>
          </cell>
          <cell r="B236" t="str">
            <v>SMT</v>
          </cell>
          <cell r="C236">
            <v>1</v>
          </cell>
          <cell r="D236">
            <v>420</v>
          </cell>
        </row>
        <row r="237">
          <cell r="A237" t="str">
            <v>1RE2LPMB545JTMZA</v>
          </cell>
          <cell r="B237" t="str">
            <v>SMT</v>
          </cell>
          <cell r="C237">
            <v>1</v>
          </cell>
          <cell r="D237">
            <v>512</v>
          </cell>
        </row>
        <row r="238">
          <cell r="A238" t="str">
            <v>1RH1LPMB545JTMZA</v>
          </cell>
          <cell r="B238" t="str">
            <v>SMT</v>
          </cell>
          <cell r="C238">
            <v>1</v>
          </cell>
          <cell r="D238">
            <v>8</v>
          </cell>
          <cell r="E238">
            <v>2210</v>
          </cell>
          <cell r="F238" t="str">
            <v>VC01</v>
          </cell>
          <cell r="G238" t="str">
            <v>Auto</v>
          </cell>
          <cell r="H238">
            <v>311</v>
          </cell>
          <cell r="I238">
            <v>2210</v>
          </cell>
          <cell r="J238">
            <v>2260</v>
          </cell>
          <cell r="K238" t="str">
            <v>VC01</v>
          </cell>
        </row>
        <row r="239">
          <cell r="A239" t="str">
            <v>1AP1LPMB545JTMZA</v>
          </cell>
          <cell r="B239" t="str">
            <v>DIP</v>
          </cell>
          <cell r="C239">
            <v>1</v>
          </cell>
          <cell r="D239" t="e">
            <v>#N/A</v>
          </cell>
          <cell r="E239">
            <v>2210</v>
          </cell>
          <cell r="F239" t="str">
            <v>VC01</v>
          </cell>
          <cell r="G239" t="str">
            <v>Auto</v>
          </cell>
          <cell r="H239">
            <v>311</v>
          </cell>
          <cell r="I239">
            <v>2210</v>
          </cell>
          <cell r="J239">
            <v>2260</v>
          </cell>
          <cell r="K239" t="str">
            <v>VC01</v>
          </cell>
        </row>
        <row r="240">
          <cell r="A240" t="str">
            <v>1CM1LPMB545JTSZA</v>
          </cell>
          <cell r="B240" t="str">
            <v>SMT</v>
          </cell>
          <cell r="C240">
            <v>1</v>
          </cell>
          <cell r="D240">
            <v>30</v>
          </cell>
          <cell r="E240">
            <v>2210</v>
          </cell>
          <cell r="F240" t="str">
            <v>VC01</v>
          </cell>
          <cell r="G240" t="str">
            <v>Auto</v>
          </cell>
          <cell r="H240">
            <v>311</v>
          </cell>
          <cell r="I240">
            <v>2210</v>
          </cell>
          <cell r="J240">
            <v>2260</v>
          </cell>
          <cell r="K240" t="str">
            <v>VC01</v>
          </cell>
        </row>
        <row r="241">
          <cell r="A241" t="str">
            <v>1AP1LPMB545JTSZA</v>
          </cell>
          <cell r="B241" t="str">
            <v>DIP</v>
          </cell>
          <cell r="C241">
            <v>1</v>
          </cell>
          <cell r="D241" t="e">
            <v>#N/A</v>
          </cell>
          <cell r="E241">
            <v>2210</v>
          </cell>
          <cell r="F241" t="str">
            <v>VC01</v>
          </cell>
          <cell r="G241" t="str">
            <v>Auto</v>
          </cell>
          <cell r="H241">
            <v>311</v>
          </cell>
          <cell r="I241">
            <v>2210</v>
          </cell>
          <cell r="J241">
            <v>2260</v>
          </cell>
          <cell r="K241" t="str">
            <v>VC01</v>
          </cell>
        </row>
        <row r="242">
          <cell r="A242" t="str">
            <v>1VI1LPMB545JTTZA</v>
          </cell>
          <cell r="B242" t="str">
            <v>SMT</v>
          </cell>
          <cell r="C242">
            <v>1</v>
          </cell>
          <cell r="D242" t="e">
            <v>#N/A</v>
          </cell>
        </row>
        <row r="243">
          <cell r="A243" t="str">
            <v>1RE1LPMB545JTTZA</v>
          </cell>
          <cell r="B243" t="str">
            <v>SMT</v>
          </cell>
          <cell r="C243">
            <v>1</v>
          </cell>
          <cell r="D243">
            <v>78</v>
          </cell>
        </row>
        <row r="244">
          <cell r="A244" t="str">
            <v>1RE2LPMB545JTTZA</v>
          </cell>
          <cell r="B244" t="str">
            <v>SMT</v>
          </cell>
          <cell r="C244">
            <v>1</v>
          </cell>
          <cell r="D244">
            <v>124</v>
          </cell>
          <cell r="E244">
            <v>2210</v>
          </cell>
          <cell r="F244" t="str">
            <v>VC01</v>
          </cell>
          <cell r="G244" t="str">
            <v>Auto</v>
          </cell>
          <cell r="H244">
            <v>311</v>
          </cell>
          <cell r="I244">
            <v>2210</v>
          </cell>
          <cell r="J244">
            <v>2260</v>
          </cell>
          <cell r="K244" t="str">
            <v>VC01</v>
          </cell>
        </row>
        <row r="245">
          <cell r="A245" t="str">
            <v>1AP1LPMB545JTTZA</v>
          </cell>
          <cell r="B245" t="str">
            <v>DIP</v>
          </cell>
          <cell r="C245">
            <v>1</v>
          </cell>
          <cell r="D245" t="e">
            <v>#N/A</v>
          </cell>
          <cell r="E245">
            <v>2210</v>
          </cell>
          <cell r="F245" t="str">
            <v>VC01</v>
          </cell>
          <cell r="G245" t="str">
            <v>Auto</v>
          </cell>
          <cell r="H245">
            <v>311</v>
          </cell>
          <cell r="I245">
            <v>2210</v>
          </cell>
          <cell r="J245">
            <v>2260</v>
          </cell>
          <cell r="K245" t="str">
            <v>VC01</v>
          </cell>
        </row>
        <row r="246">
          <cell r="A246" t="str">
            <v>1RE1LPMB545JTWZA</v>
          </cell>
          <cell r="B246" t="str">
            <v>SMT</v>
          </cell>
          <cell r="C246">
            <v>1</v>
          </cell>
          <cell r="D246">
            <v>9</v>
          </cell>
          <cell r="E246">
            <v>2210</v>
          </cell>
          <cell r="F246" t="str">
            <v>VC01</v>
          </cell>
          <cell r="G246" t="str">
            <v>Auto</v>
          </cell>
          <cell r="H246">
            <v>311</v>
          </cell>
          <cell r="I246">
            <v>2210</v>
          </cell>
          <cell r="J246">
            <v>2260</v>
          </cell>
          <cell r="K246" t="str">
            <v>VC01</v>
          </cell>
        </row>
        <row r="247">
          <cell r="A247" t="str">
            <v>1AP1LPMB545JTWZA</v>
          </cell>
          <cell r="B247" t="str">
            <v>DIP</v>
          </cell>
          <cell r="C247">
            <v>1</v>
          </cell>
          <cell r="D247" t="e">
            <v>#N/A</v>
          </cell>
          <cell r="E247">
            <v>2210</v>
          </cell>
          <cell r="F247" t="str">
            <v>VC01</v>
          </cell>
          <cell r="G247" t="str">
            <v>Auto</v>
          </cell>
          <cell r="H247">
            <v>311</v>
          </cell>
          <cell r="I247">
            <v>2210</v>
          </cell>
          <cell r="J247">
            <v>2260</v>
          </cell>
          <cell r="K247" t="str">
            <v>VC01</v>
          </cell>
        </row>
        <row r="248">
          <cell r="A248" t="str">
            <v>1VJ1LPMB545LAMZA</v>
          </cell>
          <cell r="B248" t="str">
            <v>SMT</v>
          </cell>
          <cell r="C248">
            <v>1</v>
          </cell>
          <cell r="D248" t="e">
            <v>#N/A</v>
          </cell>
        </row>
        <row r="249">
          <cell r="A249" t="str">
            <v>1RE1LPMB545LAMZA</v>
          </cell>
          <cell r="B249" t="str">
            <v>SMT</v>
          </cell>
          <cell r="C249">
            <v>1</v>
          </cell>
          <cell r="D249">
            <v>426</v>
          </cell>
        </row>
        <row r="250">
          <cell r="A250" t="str">
            <v>1RE2LPMB545LAMZA</v>
          </cell>
          <cell r="B250" t="str">
            <v>SMT</v>
          </cell>
          <cell r="C250">
            <v>1</v>
          </cell>
          <cell r="D250">
            <v>510</v>
          </cell>
        </row>
        <row r="251">
          <cell r="A251" t="str">
            <v>1RH1LPMB545LAMZA</v>
          </cell>
          <cell r="B251" t="str">
            <v>SMT</v>
          </cell>
          <cell r="C251">
            <v>1</v>
          </cell>
          <cell r="D251">
            <v>9</v>
          </cell>
          <cell r="E251">
            <v>2210</v>
          </cell>
          <cell r="F251" t="str">
            <v>VC01</v>
          </cell>
          <cell r="G251" t="str">
            <v>Auto</v>
          </cell>
          <cell r="H251">
            <v>311</v>
          </cell>
          <cell r="I251">
            <v>2210</v>
          </cell>
          <cell r="J251">
            <v>2260</v>
          </cell>
          <cell r="K251" t="str">
            <v>VC01</v>
          </cell>
        </row>
        <row r="252">
          <cell r="A252" t="str">
            <v>1AP1LPMB545LAMZA</v>
          </cell>
          <cell r="B252" t="str">
            <v>DIP</v>
          </cell>
          <cell r="C252">
            <v>1</v>
          </cell>
          <cell r="D252" t="e">
            <v>#N/A</v>
          </cell>
          <cell r="E252">
            <v>2210</v>
          </cell>
          <cell r="F252" t="str">
            <v>VC01</v>
          </cell>
          <cell r="G252" t="str">
            <v>Auto</v>
          </cell>
          <cell r="H252">
            <v>311</v>
          </cell>
          <cell r="I252">
            <v>2210</v>
          </cell>
          <cell r="J252">
            <v>2260</v>
          </cell>
          <cell r="K252" t="str">
            <v>VC01</v>
          </cell>
        </row>
        <row r="253">
          <cell r="A253" t="str">
            <v>1VJ1LPMB545RUMZA</v>
          </cell>
          <cell r="B253" t="str">
            <v>SMT</v>
          </cell>
          <cell r="C253">
            <v>1</v>
          </cell>
          <cell r="D253" t="e">
            <v>#N/A</v>
          </cell>
        </row>
        <row r="254">
          <cell r="A254" t="str">
            <v>1RE1LPMB545RUMZA</v>
          </cell>
          <cell r="B254" t="str">
            <v>SMT</v>
          </cell>
          <cell r="C254">
            <v>1</v>
          </cell>
          <cell r="D254">
            <v>419</v>
          </cell>
        </row>
        <row r="255">
          <cell r="A255" t="str">
            <v>1RE2LPMB545RUMZA</v>
          </cell>
          <cell r="B255" t="str">
            <v>SMT</v>
          </cell>
          <cell r="C255">
            <v>1</v>
          </cell>
          <cell r="D255">
            <v>509</v>
          </cell>
        </row>
        <row r="256">
          <cell r="A256" t="str">
            <v>1RH1LPMB545RUMZA</v>
          </cell>
          <cell r="B256" t="str">
            <v>SMT</v>
          </cell>
          <cell r="C256">
            <v>1</v>
          </cell>
          <cell r="D256">
            <v>7</v>
          </cell>
          <cell r="E256">
            <v>2210</v>
          </cell>
          <cell r="F256" t="str">
            <v>VC01</v>
          </cell>
          <cell r="G256" t="str">
            <v>Auto</v>
          </cell>
          <cell r="H256">
            <v>311</v>
          </cell>
          <cell r="I256">
            <v>2210</v>
          </cell>
          <cell r="J256">
            <v>2260</v>
          </cell>
          <cell r="K256" t="str">
            <v>VC01</v>
          </cell>
        </row>
        <row r="257">
          <cell r="A257" t="str">
            <v>1AP1LPMB545RUMZA</v>
          </cell>
          <cell r="B257" t="str">
            <v>DIP</v>
          </cell>
          <cell r="C257">
            <v>1</v>
          </cell>
          <cell r="D257" t="e">
            <v>#N/A</v>
          </cell>
          <cell r="E257">
            <v>2210</v>
          </cell>
          <cell r="F257" t="str">
            <v>VC01</v>
          </cell>
          <cell r="G257" t="str">
            <v>Auto</v>
          </cell>
          <cell r="H257">
            <v>311</v>
          </cell>
          <cell r="I257">
            <v>2210</v>
          </cell>
          <cell r="J257">
            <v>2260</v>
          </cell>
          <cell r="K257" t="str">
            <v>VC01</v>
          </cell>
        </row>
        <row r="258">
          <cell r="A258" t="str">
            <v>1VI1LPNS0154CEHZA</v>
          </cell>
          <cell r="B258" t="str">
            <v>SMT</v>
          </cell>
          <cell r="C258">
            <v>1</v>
          </cell>
          <cell r="D258" t="e">
            <v>#N/A</v>
          </cell>
        </row>
        <row r="259">
          <cell r="A259" t="str">
            <v>1VI2LPNS0154CEHZA</v>
          </cell>
          <cell r="B259" t="str">
            <v>SMT</v>
          </cell>
          <cell r="C259">
            <v>1</v>
          </cell>
          <cell r="D259" t="e">
            <v>#N/A</v>
          </cell>
        </row>
        <row r="260">
          <cell r="A260" t="str">
            <v>1VJ1LPNS0154CEHZA</v>
          </cell>
          <cell r="B260" t="str">
            <v>SMT</v>
          </cell>
          <cell r="C260">
            <v>1</v>
          </cell>
          <cell r="D260" t="e">
            <v>#N/A</v>
          </cell>
        </row>
        <row r="261">
          <cell r="A261" t="str">
            <v>1RE1LPNS0154CEHZA</v>
          </cell>
          <cell r="B261" t="str">
            <v>SMT</v>
          </cell>
          <cell r="C261">
            <v>1</v>
          </cell>
          <cell r="D261">
            <v>238</v>
          </cell>
        </row>
        <row r="262">
          <cell r="A262" t="str">
            <v>1RE2LPNS0154CEHZA</v>
          </cell>
          <cell r="B262" t="str">
            <v>SMT</v>
          </cell>
          <cell r="C262">
            <v>1</v>
          </cell>
          <cell r="D262">
            <v>228</v>
          </cell>
          <cell r="E262">
            <v>2210</v>
          </cell>
          <cell r="F262" t="str">
            <v>VC01</v>
          </cell>
          <cell r="G262" t="str">
            <v>Auto</v>
          </cell>
          <cell r="H262">
            <v>311</v>
          </cell>
          <cell r="I262">
            <v>2210</v>
          </cell>
          <cell r="J262">
            <v>2220</v>
          </cell>
          <cell r="K262" t="str">
            <v>VC01</v>
          </cell>
        </row>
        <row r="263">
          <cell r="A263" t="str">
            <v>1AP1LPNS0154CEHZA</v>
          </cell>
          <cell r="B263" t="str">
            <v>DIP</v>
          </cell>
          <cell r="C263">
            <v>1</v>
          </cell>
          <cell r="D263" t="e">
            <v>#N/A</v>
          </cell>
          <cell r="E263">
            <v>2210</v>
          </cell>
          <cell r="F263" t="str">
            <v>VC01</v>
          </cell>
          <cell r="G263" t="str">
            <v>Auto</v>
          </cell>
          <cell r="H263">
            <v>311</v>
          </cell>
          <cell r="I263">
            <v>2210</v>
          </cell>
          <cell r="J263">
            <v>2220</v>
          </cell>
          <cell r="K263" t="str">
            <v>VC01</v>
          </cell>
        </row>
        <row r="264">
          <cell r="A264" t="str">
            <v>1VI1LPNS0154HZA</v>
          </cell>
          <cell r="B264" t="str">
            <v>SMT</v>
          </cell>
          <cell r="C264">
            <v>1</v>
          </cell>
          <cell r="D264" t="e">
            <v>#N/A</v>
          </cell>
        </row>
        <row r="265">
          <cell r="A265" t="str">
            <v>1VI2LPNS0154HZA</v>
          </cell>
          <cell r="B265" t="str">
            <v>SMT</v>
          </cell>
          <cell r="C265">
            <v>1</v>
          </cell>
          <cell r="D265" t="e">
            <v>#N/A</v>
          </cell>
        </row>
        <row r="266">
          <cell r="A266" t="str">
            <v>1VJ1LPNS0154HZA</v>
          </cell>
          <cell r="B266" t="str">
            <v>SMT</v>
          </cell>
          <cell r="C266">
            <v>1</v>
          </cell>
          <cell r="D266" t="e">
            <v>#N/A</v>
          </cell>
        </row>
        <row r="267">
          <cell r="A267" t="str">
            <v>1RE1LPNS0154HZA</v>
          </cell>
          <cell r="B267" t="str">
            <v>SMT</v>
          </cell>
          <cell r="C267">
            <v>1</v>
          </cell>
          <cell r="D267">
            <v>238</v>
          </cell>
        </row>
        <row r="268">
          <cell r="A268" t="str">
            <v>1RE2LPNS0154HZA</v>
          </cell>
          <cell r="B268" t="str">
            <v>SMT</v>
          </cell>
          <cell r="C268">
            <v>1</v>
          </cell>
          <cell r="D268">
            <v>228</v>
          </cell>
          <cell r="E268">
            <v>2210</v>
          </cell>
          <cell r="F268" t="str">
            <v>VC01</v>
          </cell>
          <cell r="G268" t="str">
            <v>Auto</v>
          </cell>
          <cell r="H268">
            <v>311</v>
          </cell>
          <cell r="I268">
            <v>2210</v>
          </cell>
          <cell r="J268">
            <v>2220</v>
          </cell>
          <cell r="K268" t="str">
            <v>VC01</v>
          </cell>
        </row>
        <row r="269">
          <cell r="A269" t="str">
            <v>1AP1LPNS0154HZA</v>
          </cell>
          <cell r="B269" t="str">
            <v>DIP</v>
          </cell>
          <cell r="C269">
            <v>1</v>
          </cell>
          <cell r="D269" t="e">
            <v>#N/A</v>
          </cell>
          <cell r="E269">
            <v>2210</v>
          </cell>
          <cell r="F269" t="str">
            <v>VC01</v>
          </cell>
          <cell r="G269" t="str">
            <v>Auto</v>
          </cell>
          <cell r="H269">
            <v>311</v>
          </cell>
          <cell r="I269">
            <v>2210</v>
          </cell>
          <cell r="J269">
            <v>2220</v>
          </cell>
          <cell r="K269" t="str">
            <v>VC01</v>
          </cell>
        </row>
        <row r="270">
          <cell r="A270" t="str">
            <v>1VJ1LPNSX2K1ZA</v>
          </cell>
          <cell r="B270" t="str">
            <v>SMT</v>
          </cell>
          <cell r="C270">
            <v>1</v>
          </cell>
          <cell r="D270" t="e">
            <v>#N/A</v>
          </cell>
        </row>
        <row r="271">
          <cell r="A271" t="str">
            <v>1RE1LPNSX2K1ZA</v>
          </cell>
          <cell r="B271" t="str">
            <v>SMT</v>
          </cell>
          <cell r="C271">
            <v>1</v>
          </cell>
          <cell r="D271">
            <v>378</v>
          </cell>
        </row>
        <row r="272">
          <cell r="A272" t="str">
            <v>1RE2LPNSX2K1ZA</v>
          </cell>
          <cell r="B272" t="str">
            <v>SMT</v>
          </cell>
          <cell r="C272">
            <v>1</v>
          </cell>
          <cell r="D272">
            <v>670</v>
          </cell>
          <cell r="E272">
            <v>2210</v>
          </cell>
          <cell r="F272" t="str">
            <v>VC01</v>
          </cell>
          <cell r="G272" t="str">
            <v>Auto</v>
          </cell>
          <cell r="H272">
            <v>311</v>
          </cell>
          <cell r="I272">
            <v>2210</v>
          </cell>
          <cell r="J272">
            <v>2220</v>
          </cell>
          <cell r="K272" t="str">
            <v>VC01</v>
          </cell>
        </row>
        <row r="273">
          <cell r="A273" t="str">
            <v>1AP1LPNSX2K1ZA</v>
          </cell>
          <cell r="B273" t="str">
            <v>DIP</v>
          </cell>
          <cell r="C273">
            <v>1</v>
          </cell>
          <cell r="D273" t="e">
            <v>#N/A</v>
          </cell>
          <cell r="E273">
            <v>2210</v>
          </cell>
          <cell r="F273" t="str">
            <v>VC01</v>
          </cell>
          <cell r="G273" t="str">
            <v>Auto</v>
          </cell>
          <cell r="H273">
            <v>311</v>
          </cell>
          <cell r="I273">
            <v>2210</v>
          </cell>
          <cell r="J273">
            <v>2220</v>
          </cell>
          <cell r="K273" t="str">
            <v>VC01</v>
          </cell>
        </row>
        <row r="274">
          <cell r="A274" t="str">
            <v>1VI1LPS1057CMZA</v>
          </cell>
          <cell r="B274" t="str">
            <v>SMT</v>
          </cell>
          <cell r="C274">
            <v>1</v>
          </cell>
          <cell r="D274" t="e">
            <v>#N/A</v>
          </cell>
        </row>
        <row r="275">
          <cell r="A275" t="str">
            <v>1RE1LPS1027CMZA</v>
          </cell>
          <cell r="B275" t="str">
            <v>SMT</v>
          </cell>
          <cell r="C275">
            <v>1</v>
          </cell>
          <cell r="D275">
            <v>550</v>
          </cell>
        </row>
        <row r="276">
          <cell r="A276" t="str">
            <v>1RE2LPS1027CMZA</v>
          </cell>
          <cell r="B276" t="str">
            <v>SMT</v>
          </cell>
          <cell r="C276">
            <v>1</v>
          </cell>
          <cell r="D276">
            <v>510</v>
          </cell>
        </row>
        <row r="277">
          <cell r="A277" t="str">
            <v>1AP1LPS1027CMZA</v>
          </cell>
          <cell r="B277" t="str">
            <v>DIP</v>
          </cell>
          <cell r="C277">
            <v>1</v>
          </cell>
          <cell r="D277" t="e">
            <v>#N/A</v>
          </cell>
          <cell r="E277">
            <v>2210</v>
          </cell>
        </row>
        <row r="278">
          <cell r="A278" t="str">
            <v>1RE1LPS1057CMZA</v>
          </cell>
          <cell r="B278" t="str">
            <v>SMT</v>
          </cell>
          <cell r="C278">
            <v>1</v>
          </cell>
          <cell r="D278">
            <v>700</v>
          </cell>
        </row>
        <row r="279">
          <cell r="A279" t="str">
            <v>1RE2LPS1057CMZA</v>
          </cell>
          <cell r="B279" t="str">
            <v>SMT</v>
          </cell>
          <cell r="C279">
            <v>1</v>
          </cell>
          <cell r="D279">
            <v>646</v>
          </cell>
        </row>
        <row r="280">
          <cell r="A280" t="str">
            <v>1AP1LPS1057CMZA</v>
          </cell>
          <cell r="B280" t="str">
            <v>DIP</v>
          </cell>
          <cell r="C280">
            <v>1</v>
          </cell>
          <cell r="D280" t="e">
            <v>#N/A</v>
          </cell>
          <cell r="E280">
            <v>2210</v>
          </cell>
        </row>
        <row r="281">
          <cell r="A281" t="str">
            <v>1VI1LPS2087MZA</v>
          </cell>
          <cell r="B281" t="str">
            <v>SMT</v>
          </cell>
          <cell r="C281">
            <v>1</v>
          </cell>
          <cell r="D281" t="e">
            <v>#N/A</v>
          </cell>
        </row>
        <row r="282">
          <cell r="A282" t="str">
            <v>PNLB2516ZA-GW</v>
          </cell>
          <cell r="B282" t="str">
            <v>SMT</v>
          </cell>
          <cell r="C282">
            <v>1</v>
          </cell>
          <cell r="D282" t="e">
            <v>#N/A</v>
          </cell>
        </row>
        <row r="283">
          <cell r="A283" t="str">
            <v>1RE1LPS2087MZA</v>
          </cell>
          <cell r="B283" t="str">
            <v>SMT</v>
          </cell>
          <cell r="C283">
            <v>1</v>
          </cell>
          <cell r="D283">
            <v>1172</v>
          </cell>
        </row>
        <row r="284">
          <cell r="A284" t="str">
            <v>1RE2LPS2087MZA</v>
          </cell>
          <cell r="B284" t="str">
            <v>SMT</v>
          </cell>
          <cell r="C284">
            <v>1</v>
          </cell>
          <cell r="D284">
            <v>1298</v>
          </cell>
          <cell r="E284">
            <v>2210</v>
          </cell>
          <cell r="F284" t="str">
            <v>VC01</v>
          </cell>
          <cell r="G284" t="str">
            <v>Auto</v>
          </cell>
          <cell r="H284">
            <v>311</v>
          </cell>
          <cell r="I284">
            <v>2210</v>
          </cell>
          <cell r="J284">
            <v>2250</v>
          </cell>
          <cell r="K284" t="str">
            <v>VC01</v>
          </cell>
        </row>
        <row r="285">
          <cell r="A285" t="str">
            <v>1AP1LPS2087MZA</v>
          </cell>
          <cell r="B285" t="str">
            <v>DIP</v>
          </cell>
          <cell r="C285">
            <v>1</v>
          </cell>
          <cell r="D285" t="e">
            <v>#N/A</v>
          </cell>
          <cell r="E285">
            <v>2210</v>
          </cell>
          <cell r="F285" t="str">
            <v>VC01</v>
          </cell>
          <cell r="G285" t="str">
            <v>Auto</v>
          </cell>
          <cell r="H285">
            <v>311</v>
          </cell>
          <cell r="I285">
            <v>2210</v>
          </cell>
          <cell r="J285">
            <v>2250</v>
          </cell>
          <cell r="K285" t="str">
            <v>VC01</v>
          </cell>
        </row>
        <row r="286">
          <cell r="A286" t="str">
            <v>PNLB2521ZA-GW</v>
          </cell>
          <cell r="B286" t="str">
            <v>SMT</v>
          </cell>
          <cell r="C286">
            <v>1</v>
          </cell>
          <cell r="D286" t="e">
            <v>#N/A</v>
          </cell>
        </row>
        <row r="287">
          <cell r="A287" t="str">
            <v>1RE1LPS2087PZA</v>
          </cell>
          <cell r="B287" t="str">
            <v>SMT</v>
          </cell>
          <cell r="C287">
            <v>1</v>
          </cell>
          <cell r="D287">
            <v>26</v>
          </cell>
        </row>
        <row r="288">
          <cell r="A288" t="str">
            <v>1RH1LPS2087PZA</v>
          </cell>
          <cell r="B288" t="str">
            <v>SMT</v>
          </cell>
          <cell r="C288">
            <v>1</v>
          </cell>
          <cell r="D288">
            <v>8</v>
          </cell>
        </row>
        <row r="289">
          <cell r="A289" t="str">
            <v>1CM1LPS2087PZA</v>
          </cell>
          <cell r="B289" t="str">
            <v>SMT</v>
          </cell>
          <cell r="C289">
            <v>1</v>
          </cell>
          <cell r="D289">
            <v>11</v>
          </cell>
          <cell r="E289">
            <v>2210</v>
          </cell>
          <cell r="F289" t="str">
            <v>VC01</v>
          </cell>
          <cell r="G289" t="str">
            <v>Auto</v>
          </cell>
          <cell r="H289">
            <v>311</v>
          </cell>
          <cell r="I289">
            <v>2210</v>
          </cell>
          <cell r="J289">
            <v>2250</v>
          </cell>
          <cell r="K289" t="str">
            <v>VC01</v>
          </cell>
        </row>
        <row r="290">
          <cell r="A290" t="str">
            <v>1AP1LPS2087PZA</v>
          </cell>
          <cell r="B290" t="str">
            <v>DIP</v>
          </cell>
          <cell r="C290">
            <v>1</v>
          </cell>
          <cell r="D290" t="e">
            <v>#N/A</v>
          </cell>
          <cell r="E290">
            <v>2210</v>
          </cell>
          <cell r="F290" t="str">
            <v>VC01</v>
          </cell>
          <cell r="G290" t="str">
            <v>Auto</v>
          </cell>
          <cell r="H290">
            <v>311</v>
          </cell>
          <cell r="I290">
            <v>2210</v>
          </cell>
          <cell r="J290">
            <v>2250</v>
          </cell>
          <cell r="K290" t="str">
            <v>VC01</v>
          </cell>
        </row>
        <row r="291">
          <cell r="A291" t="str">
            <v>PNLB2519ZA-PN</v>
          </cell>
          <cell r="B291" t="str">
            <v>SMT</v>
          </cell>
          <cell r="C291">
            <v>1</v>
          </cell>
          <cell r="D291" t="e">
            <v>#N/A</v>
          </cell>
        </row>
        <row r="292">
          <cell r="A292" t="str">
            <v>1CM1LPS2087SZA</v>
          </cell>
          <cell r="B292" t="str">
            <v>SMT</v>
          </cell>
          <cell r="C292">
            <v>1</v>
          </cell>
          <cell r="D292">
            <v>44</v>
          </cell>
          <cell r="E292">
            <v>2210</v>
          </cell>
          <cell r="F292" t="str">
            <v>VC01</v>
          </cell>
          <cell r="G292" t="str">
            <v>Auto</v>
          </cell>
          <cell r="H292">
            <v>311</v>
          </cell>
          <cell r="I292">
            <v>2210</v>
          </cell>
          <cell r="J292">
            <v>2250</v>
          </cell>
          <cell r="K292" t="str">
            <v>VC01</v>
          </cell>
        </row>
        <row r="293">
          <cell r="A293" t="str">
            <v>1AP1LPS2087SZA</v>
          </cell>
          <cell r="B293" t="str">
            <v>DIP</v>
          </cell>
          <cell r="C293">
            <v>1</v>
          </cell>
          <cell r="D293" t="e">
            <v>#N/A</v>
          </cell>
          <cell r="E293">
            <v>2210</v>
          </cell>
          <cell r="F293" t="str">
            <v>VC01</v>
          </cell>
          <cell r="G293" t="str">
            <v>Auto</v>
          </cell>
          <cell r="H293">
            <v>311</v>
          </cell>
          <cell r="I293">
            <v>2210</v>
          </cell>
          <cell r="J293">
            <v>2250</v>
          </cell>
          <cell r="K293" t="str">
            <v>VC01</v>
          </cell>
        </row>
        <row r="294">
          <cell r="A294" t="str">
            <v>1RE1LPSL1056MZA</v>
          </cell>
          <cell r="B294" t="str">
            <v>SMT</v>
          </cell>
          <cell r="C294">
            <v>1</v>
          </cell>
          <cell r="D294">
            <v>511</v>
          </cell>
        </row>
        <row r="295">
          <cell r="A295" t="str">
            <v>1RE2LPSL1056MZA</v>
          </cell>
          <cell r="B295" t="str">
            <v>SMT</v>
          </cell>
          <cell r="C295">
            <v>1</v>
          </cell>
          <cell r="D295">
            <v>474</v>
          </cell>
        </row>
        <row r="296">
          <cell r="A296" t="str">
            <v>1AP1LPSL1056MZA</v>
          </cell>
          <cell r="B296" t="str">
            <v>DIP</v>
          </cell>
          <cell r="C296">
            <v>1</v>
          </cell>
          <cell r="D296" t="e">
            <v>#N/A</v>
          </cell>
          <cell r="E296">
            <v>2210</v>
          </cell>
        </row>
        <row r="297">
          <cell r="A297" t="str">
            <v>1RE1LPSL1066MZA</v>
          </cell>
          <cell r="B297" t="str">
            <v>SMT</v>
          </cell>
          <cell r="C297">
            <v>1</v>
          </cell>
          <cell r="D297">
            <v>661</v>
          </cell>
        </row>
        <row r="298">
          <cell r="A298" t="str">
            <v>1RE2LPSL1066MZA</v>
          </cell>
          <cell r="B298" t="str">
            <v>SMT</v>
          </cell>
          <cell r="C298">
            <v>1</v>
          </cell>
          <cell r="D298">
            <v>610</v>
          </cell>
        </row>
        <row r="299">
          <cell r="A299" t="str">
            <v>1AP1LPSL1066MZA</v>
          </cell>
          <cell r="B299" t="str">
            <v>DIP</v>
          </cell>
          <cell r="C299">
            <v>1</v>
          </cell>
          <cell r="D299" t="e">
            <v>#N/A</v>
          </cell>
          <cell r="E299">
            <v>2210</v>
          </cell>
        </row>
        <row r="300">
          <cell r="A300" t="str">
            <v>1VJ1LPTDA6381X1ZA</v>
          </cell>
          <cell r="B300" t="str">
            <v>SMT</v>
          </cell>
          <cell r="C300">
            <v>1</v>
          </cell>
          <cell r="D300" t="e">
            <v>#N/A</v>
          </cell>
        </row>
        <row r="301">
          <cell r="A301" t="str">
            <v>1RE1LPTDA6381X1ZA</v>
          </cell>
          <cell r="B301" t="str">
            <v>SMT</v>
          </cell>
          <cell r="C301">
            <v>1</v>
          </cell>
          <cell r="D301">
            <v>305</v>
          </cell>
        </row>
        <row r="302">
          <cell r="A302" t="str">
            <v>1RE2LPTDA6381X1ZA</v>
          </cell>
          <cell r="B302" t="str">
            <v>SMT</v>
          </cell>
          <cell r="C302">
            <v>1</v>
          </cell>
          <cell r="D302">
            <v>480</v>
          </cell>
        </row>
        <row r="303">
          <cell r="A303" t="str">
            <v>1RH1LPTDA6381X1ZA</v>
          </cell>
          <cell r="B303" t="str">
            <v>SMT</v>
          </cell>
          <cell r="C303">
            <v>1</v>
          </cell>
          <cell r="D303">
            <v>25</v>
          </cell>
          <cell r="E303">
            <v>2210</v>
          </cell>
          <cell r="F303" t="str">
            <v>VC01</v>
          </cell>
          <cell r="G303" t="str">
            <v>Auto</v>
          </cell>
          <cell r="H303">
            <v>311</v>
          </cell>
          <cell r="I303">
            <v>2210</v>
          </cell>
          <cell r="J303">
            <v>2310</v>
          </cell>
          <cell r="K303" t="str">
            <v>VC01</v>
          </cell>
        </row>
        <row r="304">
          <cell r="A304" t="str">
            <v>1AP1LPTDA6381X1ZA</v>
          </cell>
          <cell r="B304" t="str">
            <v>DIP</v>
          </cell>
          <cell r="C304">
            <v>1</v>
          </cell>
          <cell r="D304" t="e">
            <v>#N/A</v>
          </cell>
          <cell r="E304">
            <v>2210</v>
          </cell>
          <cell r="F304" t="str">
            <v>VC01</v>
          </cell>
          <cell r="G304" t="str">
            <v>Auto</v>
          </cell>
          <cell r="H304">
            <v>311</v>
          </cell>
          <cell r="I304">
            <v>2210</v>
          </cell>
          <cell r="J304">
            <v>2310</v>
          </cell>
          <cell r="K304" t="str">
            <v>VC01</v>
          </cell>
        </row>
        <row r="305">
          <cell r="A305" t="str">
            <v>1RE1LPTDA6381X2ZA</v>
          </cell>
          <cell r="B305" t="str">
            <v>SMT</v>
          </cell>
          <cell r="C305">
            <v>1</v>
          </cell>
          <cell r="D305">
            <v>304</v>
          </cell>
        </row>
        <row r="306">
          <cell r="A306" t="str">
            <v>1RE2LPTDA6381X2ZA</v>
          </cell>
          <cell r="B306" t="str">
            <v>SMT</v>
          </cell>
          <cell r="C306">
            <v>1</v>
          </cell>
          <cell r="D306">
            <v>210</v>
          </cell>
          <cell r="E306">
            <v>2210</v>
          </cell>
          <cell r="F306" t="str">
            <v>VC01</v>
          </cell>
          <cell r="G306" t="str">
            <v>Auto</v>
          </cell>
          <cell r="H306">
            <v>311</v>
          </cell>
          <cell r="I306">
            <v>2210</v>
          </cell>
          <cell r="J306">
            <v>2310</v>
          </cell>
          <cell r="K306" t="str">
            <v>VC01</v>
          </cell>
        </row>
        <row r="307">
          <cell r="A307" t="str">
            <v>1AP1LPTDA6381X2ZA</v>
          </cell>
          <cell r="B307" t="str">
            <v>DIP</v>
          </cell>
          <cell r="C307">
            <v>1</v>
          </cell>
          <cell r="D307" t="e">
            <v>#N/A</v>
          </cell>
          <cell r="E307">
            <v>2210</v>
          </cell>
          <cell r="F307" t="str">
            <v>VC01</v>
          </cell>
          <cell r="G307" t="str">
            <v>Auto</v>
          </cell>
          <cell r="H307">
            <v>311</v>
          </cell>
          <cell r="I307">
            <v>2210</v>
          </cell>
          <cell r="J307">
            <v>2310</v>
          </cell>
          <cell r="K307" t="str">
            <v>VC01</v>
          </cell>
        </row>
        <row r="308">
          <cell r="A308" t="str">
            <v>1VJ1LPTDA6382C1ZA</v>
          </cell>
          <cell r="B308" t="str">
            <v>SMT</v>
          </cell>
          <cell r="C308">
            <v>1</v>
          </cell>
          <cell r="D308" t="e">
            <v>#N/A</v>
          </cell>
        </row>
        <row r="309">
          <cell r="A309" t="str">
            <v>1RE1LPTDA6382C1ZA</v>
          </cell>
          <cell r="B309" t="str">
            <v>SMT</v>
          </cell>
          <cell r="C309">
            <v>1</v>
          </cell>
          <cell r="D309">
            <v>363</v>
          </cell>
        </row>
        <row r="310">
          <cell r="A310" t="str">
            <v>1RE2LPTDA6382C1ZA</v>
          </cell>
          <cell r="B310" t="str">
            <v>SMT</v>
          </cell>
          <cell r="C310">
            <v>1</v>
          </cell>
          <cell r="D310">
            <v>581</v>
          </cell>
        </row>
        <row r="311">
          <cell r="A311" t="str">
            <v>1RH1LPTDA6382C1ZA</v>
          </cell>
          <cell r="B311" t="str">
            <v>SMT</v>
          </cell>
          <cell r="C311">
            <v>1</v>
          </cell>
          <cell r="D311">
            <v>41</v>
          </cell>
          <cell r="E311">
            <v>2210</v>
          </cell>
          <cell r="F311" t="str">
            <v>VC01</v>
          </cell>
          <cell r="G311" t="str">
            <v>Auto</v>
          </cell>
          <cell r="H311">
            <v>311</v>
          </cell>
          <cell r="I311">
            <v>2210</v>
          </cell>
          <cell r="J311">
            <v>2310</v>
          </cell>
          <cell r="K311" t="str">
            <v>VC01</v>
          </cell>
        </row>
        <row r="312">
          <cell r="A312" t="str">
            <v>1AP1LPTDA6382C1ZA</v>
          </cell>
          <cell r="B312" t="str">
            <v>DIP</v>
          </cell>
          <cell r="C312">
            <v>1</v>
          </cell>
          <cell r="D312" t="e">
            <v>#N/A</v>
          </cell>
          <cell r="E312">
            <v>2210</v>
          </cell>
          <cell r="F312" t="str">
            <v>VC01</v>
          </cell>
          <cell r="G312" t="str">
            <v>Auto</v>
          </cell>
          <cell r="H312">
            <v>311</v>
          </cell>
          <cell r="I312">
            <v>2210</v>
          </cell>
          <cell r="J312">
            <v>2310</v>
          </cell>
          <cell r="K312" t="str">
            <v>VC01</v>
          </cell>
        </row>
        <row r="313">
          <cell r="A313" t="str">
            <v>1RE1LPTDA6382C2ZA</v>
          </cell>
          <cell r="B313" t="str">
            <v>SMT</v>
          </cell>
          <cell r="C313">
            <v>1</v>
          </cell>
          <cell r="D313">
            <v>461</v>
          </cell>
        </row>
        <row r="314">
          <cell r="A314" t="str">
            <v>1RE2LPTDA6382C2ZA</v>
          </cell>
          <cell r="B314" t="str">
            <v>SMT</v>
          </cell>
          <cell r="C314">
            <v>1</v>
          </cell>
          <cell r="D314">
            <v>235</v>
          </cell>
          <cell r="E314">
            <v>2210</v>
          </cell>
          <cell r="F314" t="str">
            <v>VC01</v>
          </cell>
          <cell r="G314" t="str">
            <v>Auto</v>
          </cell>
          <cell r="H314">
            <v>311</v>
          </cell>
          <cell r="I314">
            <v>2210</v>
          </cell>
          <cell r="J314">
            <v>2310</v>
          </cell>
          <cell r="K314" t="str">
            <v>VC01</v>
          </cell>
        </row>
        <row r="315">
          <cell r="A315" t="str">
            <v>1AP1LPTDA6382C2ZA</v>
          </cell>
          <cell r="B315" t="str">
            <v>DIP</v>
          </cell>
          <cell r="C315">
            <v>1</v>
          </cell>
          <cell r="D315" t="e">
            <v>#N/A</v>
          </cell>
          <cell r="E315">
            <v>2210</v>
          </cell>
          <cell r="F315" t="str">
            <v>VC01</v>
          </cell>
          <cell r="G315" t="str">
            <v>Auto</v>
          </cell>
          <cell r="H315">
            <v>311</v>
          </cell>
          <cell r="I315">
            <v>2210</v>
          </cell>
          <cell r="J315">
            <v>2310</v>
          </cell>
          <cell r="K315" t="str">
            <v>VC01</v>
          </cell>
        </row>
        <row r="316">
          <cell r="A316" t="str">
            <v>1VJ1LPTDA6382TW1ZA</v>
          </cell>
          <cell r="B316" t="str">
            <v>SMT</v>
          </cell>
          <cell r="C316">
            <v>1</v>
          </cell>
          <cell r="D316" t="e">
            <v>#N/A</v>
          </cell>
        </row>
        <row r="317">
          <cell r="A317" t="str">
            <v>1RE1LPTDA6382TW1ZA</v>
          </cell>
          <cell r="B317" t="str">
            <v>SMT</v>
          </cell>
          <cell r="C317">
            <v>1</v>
          </cell>
          <cell r="D317">
            <v>339</v>
          </cell>
        </row>
        <row r="318">
          <cell r="A318" t="str">
            <v>1RE2LPTDA6382TW1ZA</v>
          </cell>
          <cell r="B318" t="str">
            <v>SMT</v>
          </cell>
          <cell r="C318">
            <v>1</v>
          </cell>
          <cell r="D318">
            <v>597</v>
          </cell>
        </row>
        <row r="319">
          <cell r="A319" t="str">
            <v>1RH1LPTDA6382TW1ZA</v>
          </cell>
          <cell r="B319" t="str">
            <v>SMT</v>
          </cell>
          <cell r="C319">
            <v>1</v>
          </cell>
          <cell r="D319">
            <v>25</v>
          </cell>
          <cell r="E319">
            <v>2210</v>
          </cell>
          <cell r="F319" t="str">
            <v>VC01</v>
          </cell>
          <cell r="G319" t="str">
            <v>Auto</v>
          </cell>
          <cell r="H319">
            <v>311</v>
          </cell>
          <cell r="I319">
            <v>2210</v>
          </cell>
          <cell r="J319">
            <v>2310</v>
          </cell>
          <cell r="K319" t="str">
            <v>VC01</v>
          </cell>
        </row>
        <row r="320">
          <cell r="A320" t="str">
            <v>1AP1LPTDA6382TW1ZA</v>
          </cell>
          <cell r="B320" t="str">
            <v>DIP</v>
          </cell>
          <cell r="C320">
            <v>1</v>
          </cell>
          <cell r="D320" t="e">
            <v>#N/A</v>
          </cell>
          <cell r="E320">
            <v>2210</v>
          </cell>
          <cell r="F320" t="str">
            <v>VC01</v>
          </cell>
          <cell r="G320" t="str">
            <v>Auto</v>
          </cell>
          <cell r="H320">
            <v>311</v>
          </cell>
          <cell r="I320">
            <v>2210</v>
          </cell>
          <cell r="J320">
            <v>2310</v>
          </cell>
          <cell r="K320" t="str">
            <v>VC01</v>
          </cell>
        </row>
        <row r="321">
          <cell r="A321" t="str">
            <v>PNLPFUS300ZA-V4</v>
          </cell>
          <cell r="B321" t="str">
            <v>DIP</v>
          </cell>
          <cell r="C321">
            <v>1</v>
          </cell>
          <cell r="D321" t="e">
            <v>#N/A</v>
          </cell>
          <cell r="E321">
            <v>2210</v>
          </cell>
          <cell r="F321" t="str">
            <v>VC01</v>
          </cell>
          <cell r="G321" t="str">
            <v>Auto</v>
          </cell>
          <cell r="H321">
            <v>311</v>
          </cell>
          <cell r="I321">
            <v>2210</v>
          </cell>
          <cell r="J321" t="e">
            <v>#N/A</v>
          </cell>
          <cell r="K321" t="str">
            <v>VC01</v>
          </cell>
        </row>
        <row r="322">
          <cell r="A322" t="str">
            <v>1RE1LPTDA6382TW2ZA</v>
          </cell>
          <cell r="B322" t="str">
            <v>SMT</v>
          </cell>
          <cell r="C322">
            <v>1</v>
          </cell>
          <cell r="D322">
            <v>437</v>
          </cell>
        </row>
        <row r="323">
          <cell r="A323" t="str">
            <v>1RE2LPTDA6382TW2ZA</v>
          </cell>
          <cell r="B323" t="str">
            <v>SMT</v>
          </cell>
          <cell r="C323">
            <v>1</v>
          </cell>
          <cell r="D323">
            <v>235</v>
          </cell>
          <cell r="E323">
            <v>2210</v>
          </cell>
          <cell r="F323" t="str">
            <v>VC01</v>
          </cell>
          <cell r="G323" t="str">
            <v>Auto</v>
          </cell>
          <cell r="H323">
            <v>311</v>
          </cell>
          <cell r="I323">
            <v>2210</v>
          </cell>
          <cell r="J323">
            <v>2310</v>
          </cell>
          <cell r="K323" t="str">
            <v>VC01</v>
          </cell>
        </row>
        <row r="324">
          <cell r="A324" t="str">
            <v>1AP1LPTDA6382TW2ZA</v>
          </cell>
          <cell r="B324" t="str">
            <v>DIP</v>
          </cell>
          <cell r="C324">
            <v>1</v>
          </cell>
          <cell r="D324" t="e">
            <v>#N/A</v>
          </cell>
          <cell r="E324">
            <v>2210</v>
          </cell>
          <cell r="F324" t="str">
            <v>VC01</v>
          </cell>
          <cell r="G324" t="str">
            <v>Auto</v>
          </cell>
          <cell r="H324">
            <v>311</v>
          </cell>
          <cell r="I324">
            <v>2210</v>
          </cell>
          <cell r="J324">
            <v>2310</v>
          </cell>
          <cell r="K324" t="str">
            <v>VC01</v>
          </cell>
        </row>
        <row r="325">
          <cell r="A325" t="str">
            <v>1VJ1LPTDA6382UK1ZA</v>
          </cell>
          <cell r="B325" t="str">
            <v>SMT</v>
          </cell>
          <cell r="C325">
            <v>1</v>
          </cell>
          <cell r="D325" t="e">
            <v>#N/A</v>
          </cell>
        </row>
        <row r="326">
          <cell r="A326" t="str">
            <v>1RE1LPTDA6382UK1ZA</v>
          </cell>
          <cell r="B326" t="str">
            <v>SMT</v>
          </cell>
          <cell r="C326">
            <v>1</v>
          </cell>
          <cell r="D326">
            <v>363</v>
          </cell>
        </row>
        <row r="327">
          <cell r="A327" t="str">
            <v>1RE2LPTDA6382UK1ZA</v>
          </cell>
          <cell r="B327" t="str">
            <v>SMT</v>
          </cell>
          <cell r="C327">
            <v>1</v>
          </cell>
          <cell r="D327">
            <v>597</v>
          </cell>
        </row>
        <row r="328">
          <cell r="A328" t="str">
            <v>1RH1LPTDA6382UK1ZA</v>
          </cell>
          <cell r="B328" t="str">
            <v>SMT</v>
          </cell>
          <cell r="C328">
            <v>1</v>
          </cell>
          <cell r="D328">
            <v>25</v>
          </cell>
          <cell r="E328">
            <v>2210</v>
          </cell>
          <cell r="F328" t="str">
            <v>VC01</v>
          </cell>
          <cell r="G328" t="str">
            <v>Auto</v>
          </cell>
          <cell r="H328">
            <v>311</v>
          </cell>
          <cell r="I328">
            <v>2210</v>
          </cell>
          <cell r="J328">
            <v>2310</v>
          </cell>
          <cell r="K328" t="str">
            <v>VC01</v>
          </cell>
        </row>
        <row r="329">
          <cell r="A329" t="str">
            <v>1AP1LPTDA6382UK1ZA</v>
          </cell>
          <cell r="B329" t="str">
            <v>DIP</v>
          </cell>
          <cell r="C329">
            <v>1</v>
          </cell>
          <cell r="D329" t="e">
            <v>#N/A</v>
          </cell>
          <cell r="E329">
            <v>2210</v>
          </cell>
          <cell r="F329" t="str">
            <v>VC01</v>
          </cell>
          <cell r="G329" t="str">
            <v>Auto</v>
          </cell>
          <cell r="H329">
            <v>311</v>
          </cell>
          <cell r="I329">
            <v>2210</v>
          </cell>
          <cell r="J329">
            <v>2310</v>
          </cell>
          <cell r="K329" t="str">
            <v>VC01</v>
          </cell>
        </row>
        <row r="330">
          <cell r="A330" t="str">
            <v>1RE1LPTDA6382UK2ZA</v>
          </cell>
          <cell r="B330" t="str">
            <v>SMT</v>
          </cell>
          <cell r="C330">
            <v>1</v>
          </cell>
          <cell r="D330">
            <v>461</v>
          </cell>
        </row>
        <row r="331">
          <cell r="A331" t="str">
            <v>1RE2LPTDA6382UK2ZA</v>
          </cell>
          <cell r="B331" t="str">
            <v>SMT</v>
          </cell>
          <cell r="C331">
            <v>1</v>
          </cell>
          <cell r="D331">
            <v>235</v>
          </cell>
          <cell r="E331">
            <v>2210</v>
          </cell>
          <cell r="F331" t="str">
            <v>VC01</v>
          </cell>
          <cell r="G331" t="str">
            <v>Auto</v>
          </cell>
          <cell r="H331">
            <v>311</v>
          </cell>
          <cell r="I331">
            <v>2210</v>
          </cell>
          <cell r="J331">
            <v>2310</v>
          </cell>
          <cell r="K331" t="str">
            <v>VC01</v>
          </cell>
        </row>
        <row r="332">
          <cell r="A332" t="str">
            <v>1AP1LPTDA6382UK2ZA</v>
          </cell>
          <cell r="B332" t="str">
            <v>DIP</v>
          </cell>
          <cell r="C332">
            <v>1</v>
          </cell>
          <cell r="D332" t="e">
            <v>#N/A</v>
          </cell>
          <cell r="E332">
            <v>2210</v>
          </cell>
          <cell r="F332" t="str">
            <v>VC01</v>
          </cell>
          <cell r="G332" t="str">
            <v>Auto</v>
          </cell>
          <cell r="H332">
            <v>311</v>
          </cell>
          <cell r="I332">
            <v>2210</v>
          </cell>
          <cell r="J332">
            <v>2310</v>
          </cell>
          <cell r="K332" t="str">
            <v>VC01</v>
          </cell>
        </row>
        <row r="333">
          <cell r="A333" t="str">
            <v>1VJ1LPTDA6382X1ZA</v>
          </cell>
          <cell r="B333" t="str">
            <v>SMT</v>
          </cell>
          <cell r="C333">
            <v>1</v>
          </cell>
          <cell r="D333" t="e">
            <v>#N/A</v>
          </cell>
        </row>
        <row r="334">
          <cell r="A334" t="str">
            <v>1RE1LPTDA6382X1ZA</v>
          </cell>
          <cell r="B334" t="str">
            <v>SMT</v>
          </cell>
          <cell r="C334">
            <v>1</v>
          </cell>
          <cell r="D334">
            <v>362</v>
          </cell>
        </row>
        <row r="335">
          <cell r="A335" t="str">
            <v>1RE2LPTDA6382X1ZA</v>
          </cell>
          <cell r="B335" t="str">
            <v>SMT</v>
          </cell>
          <cell r="C335">
            <v>1</v>
          </cell>
          <cell r="D335">
            <v>598</v>
          </cell>
        </row>
        <row r="336">
          <cell r="A336" t="str">
            <v>1RH1LPTDA6382X1ZA</v>
          </cell>
          <cell r="B336" t="str">
            <v>SMT</v>
          </cell>
          <cell r="C336">
            <v>1</v>
          </cell>
          <cell r="D336">
            <v>25</v>
          </cell>
          <cell r="E336">
            <v>2210</v>
          </cell>
          <cell r="F336" t="str">
            <v>VC01</v>
          </cell>
          <cell r="G336" t="str">
            <v>Auto</v>
          </cell>
          <cell r="H336">
            <v>311</v>
          </cell>
          <cell r="I336">
            <v>2210</v>
          </cell>
          <cell r="J336">
            <v>2310</v>
          </cell>
          <cell r="K336" t="str">
            <v>VC01</v>
          </cell>
        </row>
        <row r="337">
          <cell r="A337" t="str">
            <v>1AP1LPTDA6382X1ZA</v>
          </cell>
          <cell r="B337" t="str">
            <v>DIP</v>
          </cell>
          <cell r="C337">
            <v>1</v>
          </cell>
          <cell r="D337" t="e">
            <v>#N/A</v>
          </cell>
          <cell r="E337">
            <v>2210</v>
          </cell>
          <cell r="F337" t="str">
            <v>VC01</v>
          </cell>
          <cell r="G337" t="str">
            <v>Auto</v>
          </cell>
          <cell r="H337">
            <v>311</v>
          </cell>
          <cell r="I337">
            <v>2210</v>
          </cell>
          <cell r="J337">
            <v>2310</v>
          </cell>
          <cell r="K337" t="str">
            <v>VC01</v>
          </cell>
        </row>
        <row r="338">
          <cell r="A338" t="str">
            <v>1RE1LPTDA6382X2ZA</v>
          </cell>
          <cell r="B338" t="str">
            <v>SMT</v>
          </cell>
          <cell r="C338">
            <v>1</v>
          </cell>
          <cell r="D338">
            <v>461</v>
          </cell>
        </row>
        <row r="339">
          <cell r="A339" t="str">
            <v>1RE2LPTDA6382X2ZA</v>
          </cell>
          <cell r="B339" t="str">
            <v>SMT</v>
          </cell>
          <cell r="C339">
            <v>1</v>
          </cell>
          <cell r="D339">
            <v>235</v>
          </cell>
          <cell r="E339">
            <v>2210</v>
          </cell>
          <cell r="F339" t="str">
            <v>VC01</v>
          </cell>
          <cell r="G339" t="str">
            <v>Auto</v>
          </cell>
          <cell r="H339">
            <v>311</v>
          </cell>
          <cell r="I339">
            <v>2210</v>
          </cell>
          <cell r="J339">
            <v>2310</v>
          </cell>
          <cell r="K339" t="str">
            <v>VC01</v>
          </cell>
        </row>
        <row r="340">
          <cell r="A340" t="str">
            <v>1AP1LPTDA6382X2ZA</v>
          </cell>
          <cell r="B340" t="str">
            <v>DIP</v>
          </cell>
          <cell r="C340">
            <v>1</v>
          </cell>
          <cell r="D340" t="e">
            <v>#N/A</v>
          </cell>
          <cell r="E340">
            <v>2210</v>
          </cell>
          <cell r="F340" t="str">
            <v>VC01</v>
          </cell>
          <cell r="G340" t="str">
            <v>Auto</v>
          </cell>
          <cell r="H340">
            <v>311</v>
          </cell>
          <cell r="I340">
            <v>2210</v>
          </cell>
          <cell r="J340">
            <v>2310</v>
          </cell>
          <cell r="K340" t="str">
            <v>VC01</v>
          </cell>
        </row>
        <row r="341">
          <cell r="A341" t="str">
            <v>1VI1LPUDS124CEHZA</v>
          </cell>
          <cell r="B341" t="str">
            <v>SMT</v>
          </cell>
          <cell r="C341">
            <v>1</v>
          </cell>
          <cell r="D341" t="e">
            <v>#N/A</v>
          </cell>
        </row>
        <row r="342">
          <cell r="A342" t="str">
            <v>1RE1LPUDS124CEHZA</v>
          </cell>
          <cell r="B342" t="str">
            <v>SMT</v>
          </cell>
          <cell r="C342">
            <v>1</v>
          </cell>
          <cell r="D342">
            <v>189</v>
          </cell>
        </row>
        <row r="343">
          <cell r="A343" t="str">
            <v>1RE2LPUDS124CEHZA</v>
          </cell>
          <cell r="B343" t="str">
            <v>SMT</v>
          </cell>
          <cell r="C343">
            <v>1</v>
          </cell>
          <cell r="D343">
            <v>221</v>
          </cell>
          <cell r="E343">
            <v>2210</v>
          </cell>
          <cell r="F343" t="str">
            <v>VC01</v>
          </cell>
          <cell r="G343" t="str">
            <v>Auto</v>
          </cell>
          <cell r="H343">
            <v>311</v>
          </cell>
          <cell r="I343">
            <v>2210</v>
          </cell>
          <cell r="J343">
            <v>2220</v>
          </cell>
          <cell r="K343" t="str">
            <v>VC01</v>
          </cell>
        </row>
        <row r="344">
          <cell r="A344" t="str">
            <v>1AP1LPUDS124CEHZA</v>
          </cell>
          <cell r="B344" t="str">
            <v>DIP</v>
          </cell>
          <cell r="C344">
            <v>1</v>
          </cell>
          <cell r="D344" t="e">
            <v>#N/A</v>
          </cell>
          <cell r="E344">
            <v>2210</v>
          </cell>
          <cell r="F344" t="str">
            <v>VC01</v>
          </cell>
          <cell r="G344" t="str">
            <v>Auto</v>
          </cell>
          <cell r="H344">
            <v>311</v>
          </cell>
          <cell r="I344">
            <v>2210</v>
          </cell>
          <cell r="J344">
            <v>2220</v>
          </cell>
          <cell r="K344" t="str">
            <v>VC01</v>
          </cell>
        </row>
        <row r="345">
          <cell r="A345" t="str">
            <v>1RE1LPUDT121CECZA</v>
          </cell>
          <cell r="B345" t="str">
            <v>SMT</v>
          </cell>
          <cell r="C345">
            <v>1</v>
          </cell>
          <cell r="D345">
            <v>8</v>
          </cell>
          <cell r="E345">
            <v>2210</v>
          </cell>
          <cell r="F345" t="str">
            <v>VC01</v>
          </cell>
          <cell r="G345" t="str">
            <v>Auto</v>
          </cell>
          <cell r="H345">
            <v>311</v>
          </cell>
          <cell r="I345">
            <v>2210</v>
          </cell>
          <cell r="J345">
            <v>2310</v>
          </cell>
          <cell r="K345" t="str">
            <v>VC01</v>
          </cell>
        </row>
        <row r="346">
          <cell r="A346" t="str">
            <v>1AP1LPUDT121CECZA</v>
          </cell>
          <cell r="B346" t="str">
            <v>DIP</v>
          </cell>
          <cell r="C346">
            <v>1</v>
          </cell>
          <cell r="D346" t="e">
            <v>#N/A</v>
          </cell>
          <cell r="E346">
            <v>2210</v>
          </cell>
          <cell r="F346" t="str">
            <v>VC01</v>
          </cell>
          <cell r="G346" t="str">
            <v>Auto</v>
          </cell>
          <cell r="H346">
            <v>311</v>
          </cell>
          <cell r="I346">
            <v>2210</v>
          </cell>
          <cell r="J346">
            <v>2310</v>
          </cell>
          <cell r="K346" t="str">
            <v>VC01</v>
          </cell>
        </row>
        <row r="347">
          <cell r="A347" t="str">
            <v>1VI1LPUT2481ZA</v>
          </cell>
          <cell r="B347" t="str">
            <v>SMT</v>
          </cell>
          <cell r="C347">
            <v>1</v>
          </cell>
          <cell r="D347" t="e">
            <v>#N/A</v>
          </cell>
        </row>
        <row r="348">
          <cell r="A348" t="str">
            <v>1RE1LPUT2481ZA</v>
          </cell>
          <cell r="B348" t="str">
            <v>SMT</v>
          </cell>
          <cell r="C348">
            <v>1</v>
          </cell>
          <cell r="D348">
            <v>313</v>
          </cell>
        </row>
        <row r="349">
          <cell r="A349" t="str">
            <v>1RE2LPUT2481ZA</v>
          </cell>
          <cell r="B349" t="str">
            <v>SMT</v>
          </cell>
          <cell r="C349">
            <v>1</v>
          </cell>
          <cell r="D349">
            <v>336</v>
          </cell>
          <cell r="E349">
            <v>2210</v>
          </cell>
          <cell r="F349" t="str">
            <v>VC01</v>
          </cell>
          <cell r="G349" t="str">
            <v>Auto</v>
          </cell>
          <cell r="H349">
            <v>311</v>
          </cell>
          <cell r="I349">
            <v>2210</v>
          </cell>
          <cell r="J349">
            <v>2220</v>
          </cell>
          <cell r="K349" t="str">
            <v>VC01</v>
          </cell>
        </row>
        <row r="350">
          <cell r="A350" t="str">
            <v>1AP1LPUT2481ZA</v>
          </cell>
          <cell r="B350" t="str">
            <v>DIP</v>
          </cell>
          <cell r="C350">
            <v>1</v>
          </cell>
          <cell r="D350" t="e">
            <v>#N/A</v>
          </cell>
          <cell r="E350">
            <v>2210</v>
          </cell>
          <cell r="F350" t="str">
            <v>VC01</v>
          </cell>
          <cell r="G350" t="str">
            <v>Auto</v>
          </cell>
          <cell r="H350">
            <v>311</v>
          </cell>
          <cell r="I350">
            <v>2210</v>
          </cell>
          <cell r="J350">
            <v>2220</v>
          </cell>
          <cell r="K350" t="str">
            <v>VC01</v>
          </cell>
        </row>
        <row r="351">
          <cell r="A351" t="str">
            <v>1RE1LPUT2482ZA</v>
          </cell>
          <cell r="B351" t="str">
            <v>SMT</v>
          </cell>
          <cell r="C351">
            <v>1</v>
          </cell>
          <cell r="D351">
            <v>147</v>
          </cell>
          <cell r="E351">
            <v>2210</v>
          </cell>
          <cell r="F351" t="str">
            <v>VC01</v>
          </cell>
          <cell r="G351" t="str">
            <v>Auto</v>
          </cell>
          <cell r="H351">
            <v>311</v>
          </cell>
          <cell r="I351">
            <v>2210</v>
          </cell>
          <cell r="J351">
            <v>2220</v>
          </cell>
          <cell r="K351" t="str">
            <v>VC01</v>
          </cell>
        </row>
        <row r="352">
          <cell r="A352" t="str">
            <v>1AP1LPUT2482ZA</v>
          </cell>
          <cell r="B352" t="str">
            <v>DIP</v>
          </cell>
          <cell r="C352">
            <v>1</v>
          </cell>
          <cell r="D352" t="e">
            <v>#N/A</v>
          </cell>
          <cell r="E352">
            <v>2210</v>
          </cell>
          <cell r="F352" t="str">
            <v>VC01</v>
          </cell>
          <cell r="G352" t="str">
            <v>Auto</v>
          </cell>
          <cell r="H352">
            <v>311</v>
          </cell>
          <cell r="I352">
            <v>2210</v>
          </cell>
          <cell r="J352">
            <v>2220</v>
          </cell>
          <cell r="K352" t="str">
            <v>VC01</v>
          </cell>
        </row>
        <row r="353">
          <cell r="A353" t="str">
            <v>1RE1LP2593ZA</v>
          </cell>
          <cell r="B353" t="str">
            <v>SMT</v>
          </cell>
          <cell r="C353">
            <v>1</v>
          </cell>
          <cell r="D353">
            <v>1</v>
          </cell>
          <cell r="E353">
            <v>2210</v>
          </cell>
          <cell r="F353" t="str">
            <v>VC01</v>
          </cell>
        </row>
        <row r="354">
          <cell r="A354" t="str">
            <v>1CM1NCP1170NEV4</v>
          </cell>
          <cell r="B354" t="str">
            <v>SMT</v>
          </cell>
          <cell r="C354">
            <v>1</v>
          </cell>
          <cell r="D354">
            <v>264</v>
          </cell>
        </row>
        <row r="355">
          <cell r="A355" t="str">
            <v>1RE2NCP1170NEV4</v>
          </cell>
          <cell r="B355" t="str">
            <v>SMT</v>
          </cell>
          <cell r="C355">
            <v>1</v>
          </cell>
          <cell r="D355">
            <v>575</v>
          </cell>
        </row>
        <row r="356">
          <cell r="A356" t="str">
            <v>1RH1NCP1170NEV4</v>
          </cell>
          <cell r="B356" t="str">
            <v>SMT</v>
          </cell>
          <cell r="C356">
            <v>1</v>
          </cell>
          <cell r="D356">
            <v>40</v>
          </cell>
          <cell r="E356">
            <v>2210</v>
          </cell>
          <cell r="F356" t="str">
            <v>VC01</v>
          </cell>
          <cell r="G356" t="str">
            <v>Auto</v>
          </cell>
          <cell r="H356">
            <v>311</v>
          </cell>
          <cell r="I356">
            <v>2210</v>
          </cell>
          <cell r="J356">
            <v>2310</v>
          </cell>
          <cell r="K356" t="str">
            <v>VC01</v>
          </cell>
        </row>
        <row r="357">
          <cell r="A357" t="str">
            <v>1AP1NCP1170NEV4</v>
          </cell>
          <cell r="B357" t="str">
            <v>DIP</v>
          </cell>
          <cell r="C357">
            <v>1</v>
          </cell>
          <cell r="D357" t="e">
            <v>#N/A</v>
          </cell>
          <cell r="E357">
            <v>2210</v>
          </cell>
          <cell r="F357" t="str">
            <v>VC01</v>
          </cell>
          <cell r="G357" t="str">
            <v>Auto</v>
          </cell>
          <cell r="H357">
            <v>311</v>
          </cell>
          <cell r="I357">
            <v>2210</v>
          </cell>
          <cell r="J357">
            <v>2310</v>
          </cell>
          <cell r="K357" t="str">
            <v>VC01</v>
          </cell>
        </row>
        <row r="358">
          <cell r="A358" t="str">
            <v>1RE1NCP1171NEV4</v>
          </cell>
          <cell r="B358" t="str">
            <v>SMT</v>
          </cell>
          <cell r="C358">
            <v>1</v>
          </cell>
          <cell r="D358">
            <v>334</v>
          </cell>
        </row>
        <row r="359">
          <cell r="A359" t="str">
            <v>1RE2NCP1171NEV4</v>
          </cell>
          <cell r="B359" t="str">
            <v>SMT</v>
          </cell>
          <cell r="C359">
            <v>1</v>
          </cell>
          <cell r="D359">
            <v>331</v>
          </cell>
        </row>
        <row r="360">
          <cell r="A360" t="str">
            <v>1RH1NCP1171NEV4</v>
          </cell>
          <cell r="B360" t="str">
            <v>SMT</v>
          </cell>
          <cell r="C360">
            <v>1</v>
          </cell>
          <cell r="D360">
            <v>28</v>
          </cell>
          <cell r="E360">
            <v>2210</v>
          </cell>
          <cell r="F360" t="str">
            <v>VC01</v>
          </cell>
          <cell r="G360" t="str">
            <v>Auto</v>
          </cell>
          <cell r="H360">
            <v>311</v>
          </cell>
          <cell r="I360">
            <v>2210</v>
          </cell>
          <cell r="J360">
            <v>2310</v>
          </cell>
          <cell r="K360" t="str">
            <v>VC01</v>
          </cell>
        </row>
        <row r="361">
          <cell r="A361" t="str">
            <v>1AP1NCP1171NEV4</v>
          </cell>
          <cell r="B361" t="str">
            <v>DIP</v>
          </cell>
          <cell r="C361">
            <v>1</v>
          </cell>
          <cell r="D361" t="e">
            <v>#N/A</v>
          </cell>
          <cell r="E361">
            <v>2210</v>
          </cell>
          <cell r="F361" t="str">
            <v>VC01</v>
          </cell>
          <cell r="G361" t="str">
            <v>Auto</v>
          </cell>
          <cell r="H361">
            <v>311</v>
          </cell>
          <cell r="I361">
            <v>2210</v>
          </cell>
          <cell r="J361">
            <v>2310</v>
          </cell>
          <cell r="K361" t="str">
            <v>VC01</v>
          </cell>
        </row>
        <row r="362">
          <cell r="A362" t="str">
            <v>1RE1NCP1172NEV4</v>
          </cell>
          <cell r="B362" t="str">
            <v>SMT</v>
          </cell>
          <cell r="C362">
            <v>1</v>
          </cell>
          <cell r="D362">
            <v>538</v>
          </cell>
        </row>
        <row r="363">
          <cell r="A363" t="str">
            <v>1RE2NCP1172NEV4</v>
          </cell>
          <cell r="B363" t="str">
            <v>SMT</v>
          </cell>
          <cell r="C363">
            <v>1</v>
          </cell>
          <cell r="D363">
            <v>566</v>
          </cell>
        </row>
        <row r="364">
          <cell r="A364" t="str">
            <v>1RH1NCP1172NEV4</v>
          </cell>
          <cell r="B364" t="str">
            <v>SMT</v>
          </cell>
          <cell r="C364">
            <v>1</v>
          </cell>
          <cell r="D364">
            <v>37</v>
          </cell>
          <cell r="E364">
            <v>2210</v>
          </cell>
          <cell r="F364" t="str">
            <v>VC01</v>
          </cell>
          <cell r="G364" t="str">
            <v>Auto</v>
          </cell>
          <cell r="H364">
            <v>311</v>
          </cell>
          <cell r="I364">
            <v>2210</v>
          </cell>
          <cell r="J364">
            <v>2310</v>
          </cell>
          <cell r="K364" t="str">
            <v>VC01</v>
          </cell>
        </row>
        <row r="365">
          <cell r="A365" t="str">
            <v>1AP1NCP1172NEV4</v>
          </cell>
          <cell r="B365" t="str">
            <v>DIP</v>
          </cell>
          <cell r="C365">
            <v>1</v>
          </cell>
          <cell r="D365" t="e">
            <v>#N/A</v>
          </cell>
          <cell r="E365">
            <v>2210</v>
          </cell>
          <cell r="F365" t="str">
            <v>VC01</v>
          </cell>
          <cell r="G365" t="str">
            <v>Auto</v>
          </cell>
          <cell r="H365">
            <v>311</v>
          </cell>
          <cell r="I365">
            <v>2210</v>
          </cell>
          <cell r="J365">
            <v>2310</v>
          </cell>
          <cell r="K365" t="str">
            <v>VC01</v>
          </cell>
        </row>
        <row r="366">
          <cell r="A366" t="str">
            <v>1RE1NCP1173NEV4</v>
          </cell>
          <cell r="B366" t="str">
            <v>SMT</v>
          </cell>
          <cell r="C366">
            <v>1</v>
          </cell>
          <cell r="D366">
            <v>492</v>
          </cell>
        </row>
        <row r="367">
          <cell r="A367" t="str">
            <v>1RE2NCP1173NEV4</v>
          </cell>
          <cell r="B367" t="str">
            <v>SMT</v>
          </cell>
          <cell r="C367">
            <v>1</v>
          </cell>
          <cell r="D367">
            <v>360</v>
          </cell>
        </row>
        <row r="368">
          <cell r="A368" t="str">
            <v>1RH1NCP1173NEV4</v>
          </cell>
          <cell r="B368" t="str">
            <v>SMT</v>
          </cell>
          <cell r="C368">
            <v>1</v>
          </cell>
          <cell r="D368">
            <v>51</v>
          </cell>
          <cell r="E368">
            <v>2210</v>
          </cell>
          <cell r="F368" t="str">
            <v>VC01</v>
          </cell>
          <cell r="G368" t="str">
            <v>Auto</v>
          </cell>
          <cell r="H368">
            <v>311</v>
          </cell>
          <cell r="I368">
            <v>2210</v>
          </cell>
          <cell r="J368">
            <v>2310</v>
          </cell>
          <cell r="K368" t="str">
            <v>VC01</v>
          </cell>
        </row>
        <row r="369">
          <cell r="A369" t="str">
            <v>1AP1NCP1173NEV4</v>
          </cell>
          <cell r="B369" t="str">
            <v>DIP</v>
          </cell>
          <cell r="C369">
            <v>1</v>
          </cell>
          <cell r="D369" t="e">
            <v>#N/A</v>
          </cell>
          <cell r="E369">
            <v>2210</v>
          </cell>
          <cell r="F369" t="str">
            <v>VC01</v>
          </cell>
          <cell r="G369" t="str">
            <v>Auto</v>
          </cell>
          <cell r="H369">
            <v>311</v>
          </cell>
          <cell r="I369">
            <v>2210</v>
          </cell>
          <cell r="J369">
            <v>2310</v>
          </cell>
          <cell r="K369" t="str">
            <v>VC01</v>
          </cell>
        </row>
        <row r="370">
          <cell r="A370" t="str">
            <v>1RE1NCP1174NEV4</v>
          </cell>
          <cell r="B370" t="str">
            <v>SMT</v>
          </cell>
          <cell r="C370">
            <v>1</v>
          </cell>
          <cell r="D370">
            <v>211</v>
          </cell>
        </row>
        <row r="371">
          <cell r="A371" t="str">
            <v>1RE2NCP1174NEV4</v>
          </cell>
          <cell r="B371" t="str">
            <v>SMT</v>
          </cell>
          <cell r="C371">
            <v>1</v>
          </cell>
          <cell r="D371">
            <v>441</v>
          </cell>
        </row>
        <row r="372">
          <cell r="A372" t="str">
            <v>1RH1NCP1174NEV4</v>
          </cell>
          <cell r="B372" t="str">
            <v>SMT</v>
          </cell>
          <cell r="C372">
            <v>1</v>
          </cell>
          <cell r="D372">
            <v>101</v>
          </cell>
          <cell r="E372">
            <v>2210</v>
          </cell>
          <cell r="F372" t="str">
            <v>VC01</v>
          </cell>
          <cell r="G372" t="str">
            <v>Auto</v>
          </cell>
          <cell r="H372">
            <v>311</v>
          </cell>
          <cell r="I372">
            <v>2210</v>
          </cell>
          <cell r="J372">
            <v>2310</v>
          </cell>
          <cell r="K372" t="str">
            <v>VC01</v>
          </cell>
        </row>
        <row r="373">
          <cell r="A373" t="str">
            <v>1AP1NCP1174NEV4</v>
          </cell>
          <cell r="B373" t="str">
            <v>DIP</v>
          </cell>
          <cell r="C373">
            <v>1</v>
          </cell>
          <cell r="D373" t="e">
            <v>#N/A</v>
          </cell>
          <cell r="E373">
            <v>2210</v>
          </cell>
          <cell r="F373" t="str">
            <v>VC01</v>
          </cell>
          <cell r="G373" t="str">
            <v>Auto</v>
          </cell>
          <cell r="H373">
            <v>311</v>
          </cell>
          <cell r="I373">
            <v>2210</v>
          </cell>
          <cell r="J373">
            <v>2310</v>
          </cell>
          <cell r="K373" t="str">
            <v>VC01</v>
          </cell>
        </row>
        <row r="374">
          <cell r="A374" t="str">
            <v>1RE1PSLP1246XA</v>
          </cell>
          <cell r="B374" t="str">
            <v>SMT</v>
          </cell>
          <cell r="C374">
            <v>1</v>
          </cell>
          <cell r="D374">
            <v>21</v>
          </cell>
        </row>
        <row r="375">
          <cell r="A375" t="str">
            <v>1RE2PSLP1246XA</v>
          </cell>
          <cell r="B375" t="str">
            <v>SMT</v>
          </cell>
          <cell r="C375">
            <v>1</v>
          </cell>
          <cell r="D375">
            <v>21</v>
          </cell>
          <cell r="E375">
            <v>2210</v>
          </cell>
          <cell r="F375" t="str">
            <v>VC01</v>
          </cell>
          <cell r="G375" t="str">
            <v>Auto</v>
          </cell>
          <cell r="H375">
            <v>311</v>
          </cell>
          <cell r="I375">
            <v>2210</v>
          </cell>
          <cell r="J375">
            <v>2220</v>
          </cell>
          <cell r="K375" t="str">
            <v>VC01</v>
          </cell>
        </row>
        <row r="376">
          <cell r="A376" t="str">
            <v>1PB1PSLP1246XA</v>
          </cell>
          <cell r="B376" t="str">
            <v>DIP</v>
          </cell>
          <cell r="C376">
            <v>1</v>
          </cell>
          <cell r="D376" t="e">
            <v>#N/A</v>
          </cell>
          <cell r="E376">
            <v>2210</v>
          </cell>
          <cell r="F376" t="str">
            <v>VC01</v>
          </cell>
          <cell r="G376" t="str">
            <v>Auto</v>
          </cell>
          <cell r="H376">
            <v>311</v>
          </cell>
          <cell r="I376">
            <v>2210</v>
          </cell>
          <cell r="J376">
            <v>2220</v>
          </cell>
          <cell r="K376" t="str">
            <v>VC01</v>
          </cell>
        </row>
        <row r="377">
          <cell r="A377" t="str">
            <v>1RE1NCP1180NEV4</v>
          </cell>
          <cell r="B377" t="str">
            <v>SMT</v>
          </cell>
          <cell r="C377">
            <v>1</v>
          </cell>
          <cell r="D377">
            <v>224</v>
          </cell>
        </row>
        <row r="378">
          <cell r="A378" t="str">
            <v>1RE2NCP1180NEV4</v>
          </cell>
          <cell r="B378" t="str">
            <v>SMT</v>
          </cell>
          <cell r="C378">
            <v>1</v>
          </cell>
          <cell r="D378">
            <v>319</v>
          </cell>
        </row>
        <row r="379">
          <cell r="A379" t="str">
            <v>1RH1NCP1180NEV4</v>
          </cell>
          <cell r="B379" t="str">
            <v>SMT</v>
          </cell>
          <cell r="C379">
            <v>1</v>
          </cell>
          <cell r="D379">
            <v>21</v>
          </cell>
          <cell r="E379">
            <v>2210</v>
          </cell>
          <cell r="F379" t="str">
            <v>VC01</v>
          </cell>
          <cell r="G379" t="str">
            <v>Auto</v>
          </cell>
          <cell r="H379">
            <v>311</v>
          </cell>
          <cell r="I379">
            <v>2210</v>
          </cell>
          <cell r="J379">
            <v>2310</v>
          </cell>
          <cell r="K379" t="str">
            <v>VC01</v>
          </cell>
        </row>
        <row r="380">
          <cell r="A380" t="str">
            <v>1AP1NCP1180NEV4</v>
          </cell>
          <cell r="B380" t="str">
            <v>DIP</v>
          </cell>
          <cell r="C380">
            <v>1</v>
          </cell>
          <cell r="D380" t="e">
            <v>#N/A</v>
          </cell>
          <cell r="E380">
            <v>2210</v>
          </cell>
          <cell r="F380" t="str">
            <v>VC01</v>
          </cell>
          <cell r="G380" t="str">
            <v>Auto</v>
          </cell>
          <cell r="H380">
            <v>311</v>
          </cell>
          <cell r="I380">
            <v>2210</v>
          </cell>
          <cell r="J380">
            <v>2310</v>
          </cell>
          <cell r="K380" t="str">
            <v>VC01</v>
          </cell>
        </row>
        <row r="381">
          <cell r="A381" t="str">
            <v>1VJ1NCP1190XJ</v>
          </cell>
          <cell r="B381" t="str">
            <v>SMT</v>
          </cell>
          <cell r="C381">
            <v>1</v>
          </cell>
          <cell r="D381" t="e">
            <v>#N/A</v>
          </cell>
        </row>
        <row r="382">
          <cell r="A382" t="str">
            <v>1CM1NCP1190XJ</v>
          </cell>
          <cell r="B382" t="str">
            <v>SMT</v>
          </cell>
          <cell r="C382">
            <v>1</v>
          </cell>
          <cell r="D382">
            <v>177</v>
          </cell>
        </row>
        <row r="383">
          <cell r="A383" t="str">
            <v>1RE2NCP1190XJ</v>
          </cell>
          <cell r="B383" t="str">
            <v>SMT</v>
          </cell>
          <cell r="C383">
            <v>1</v>
          </cell>
          <cell r="D383">
            <v>207</v>
          </cell>
        </row>
        <row r="384">
          <cell r="A384" t="str">
            <v>1RH1NCP1190XJ</v>
          </cell>
          <cell r="B384" t="str">
            <v>SMT</v>
          </cell>
          <cell r="C384">
            <v>1</v>
          </cell>
          <cell r="D384">
            <v>1</v>
          </cell>
          <cell r="E384">
            <v>2210</v>
          </cell>
          <cell r="F384" t="str">
            <v>VC01</v>
          </cell>
          <cell r="G384" t="str">
            <v>Auto</v>
          </cell>
          <cell r="H384">
            <v>311</v>
          </cell>
          <cell r="I384">
            <v>2210</v>
          </cell>
          <cell r="J384">
            <v>2310</v>
          </cell>
          <cell r="K384" t="str">
            <v>VC01</v>
          </cell>
        </row>
        <row r="385">
          <cell r="A385" t="str">
            <v>1AP1NCP1190XJ</v>
          </cell>
          <cell r="B385" t="str">
            <v>DIP</v>
          </cell>
          <cell r="C385">
            <v>1</v>
          </cell>
          <cell r="D385" t="e">
            <v>#N/A</v>
          </cell>
          <cell r="E385">
            <v>2210</v>
          </cell>
          <cell r="F385" t="str">
            <v>VC01</v>
          </cell>
          <cell r="G385" t="str">
            <v>Auto</v>
          </cell>
          <cell r="H385">
            <v>311</v>
          </cell>
          <cell r="I385">
            <v>2210</v>
          </cell>
          <cell r="J385">
            <v>2310</v>
          </cell>
          <cell r="K385" t="str">
            <v>VC01</v>
          </cell>
        </row>
        <row r="386">
          <cell r="A386" t="str">
            <v>1VJ1NCP1190XV4</v>
          </cell>
          <cell r="B386" t="str">
            <v>SMT</v>
          </cell>
          <cell r="C386">
            <v>1</v>
          </cell>
          <cell r="D386" t="e">
            <v>#N/A</v>
          </cell>
        </row>
        <row r="387">
          <cell r="A387" t="str">
            <v>1CM1NCP1190XV4</v>
          </cell>
          <cell r="B387" t="str">
            <v>SMT</v>
          </cell>
          <cell r="C387">
            <v>1</v>
          </cell>
          <cell r="D387">
            <v>178</v>
          </cell>
        </row>
        <row r="388">
          <cell r="A388" t="str">
            <v>1RE2NCP1190XV4</v>
          </cell>
          <cell r="B388" t="str">
            <v>SMT</v>
          </cell>
          <cell r="C388">
            <v>1</v>
          </cell>
          <cell r="D388">
            <v>206</v>
          </cell>
        </row>
        <row r="389">
          <cell r="A389" t="str">
            <v>1RH1NCP1190XV4</v>
          </cell>
          <cell r="B389" t="str">
            <v>SMT</v>
          </cell>
          <cell r="C389">
            <v>1</v>
          </cell>
          <cell r="D389">
            <v>1</v>
          </cell>
          <cell r="E389">
            <v>2210</v>
          </cell>
          <cell r="F389" t="str">
            <v>VC01</v>
          </cell>
          <cell r="G389" t="str">
            <v>Auto</v>
          </cell>
          <cell r="H389">
            <v>311</v>
          </cell>
          <cell r="I389">
            <v>2210</v>
          </cell>
          <cell r="J389">
            <v>2310</v>
          </cell>
          <cell r="K389" t="str">
            <v>VC01</v>
          </cell>
        </row>
        <row r="390">
          <cell r="A390" t="str">
            <v>1AP1NCP1190XV4</v>
          </cell>
          <cell r="B390" t="str">
            <v>DIP</v>
          </cell>
          <cell r="C390">
            <v>1</v>
          </cell>
          <cell r="D390" t="e">
            <v>#N/A</v>
          </cell>
          <cell r="E390">
            <v>2210</v>
          </cell>
          <cell r="F390" t="str">
            <v>VC01</v>
          </cell>
          <cell r="G390" t="str">
            <v>Auto</v>
          </cell>
          <cell r="H390">
            <v>311</v>
          </cell>
          <cell r="I390">
            <v>2210</v>
          </cell>
          <cell r="J390">
            <v>2310</v>
          </cell>
          <cell r="K390" t="str">
            <v>VC01</v>
          </cell>
        </row>
        <row r="391">
          <cell r="A391" t="str">
            <v>1RE1NCP1280CE</v>
          </cell>
          <cell r="B391" t="str">
            <v>SMT</v>
          </cell>
          <cell r="C391">
            <v>1</v>
          </cell>
          <cell r="D391">
            <v>55</v>
          </cell>
        </row>
        <row r="392">
          <cell r="A392" t="str">
            <v>1RE2NCP1280CE</v>
          </cell>
          <cell r="B392" t="str">
            <v>SMT</v>
          </cell>
          <cell r="C392">
            <v>1</v>
          </cell>
          <cell r="D392">
            <v>327</v>
          </cell>
        </row>
        <row r="393">
          <cell r="A393" t="str">
            <v>1RH1NCP1280CE</v>
          </cell>
          <cell r="B393" t="str">
            <v>SMT</v>
          </cell>
          <cell r="C393">
            <v>1</v>
          </cell>
          <cell r="D393">
            <v>18</v>
          </cell>
          <cell r="E393">
            <v>2210</v>
          </cell>
          <cell r="F393" t="str">
            <v>VC01</v>
          </cell>
          <cell r="G393" t="str">
            <v>Auto</v>
          </cell>
          <cell r="H393">
            <v>311</v>
          </cell>
          <cell r="I393">
            <v>2210</v>
          </cell>
          <cell r="J393">
            <v>2310</v>
          </cell>
          <cell r="K393" t="str">
            <v>VC01</v>
          </cell>
        </row>
        <row r="394">
          <cell r="A394" t="str">
            <v>1AP1NCP1280CE</v>
          </cell>
          <cell r="B394" t="str">
            <v>DIP</v>
          </cell>
          <cell r="C394">
            <v>1</v>
          </cell>
          <cell r="D394" t="e">
            <v>#N/A</v>
          </cell>
          <cell r="E394">
            <v>2210</v>
          </cell>
          <cell r="F394" t="str">
            <v>VC01</v>
          </cell>
          <cell r="G394" t="str">
            <v>Auto</v>
          </cell>
          <cell r="H394">
            <v>311</v>
          </cell>
          <cell r="I394">
            <v>2210</v>
          </cell>
          <cell r="J394">
            <v>2310</v>
          </cell>
          <cell r="K394" t="str">
            <v>VC01</v>
          </cell>
        </row>
        <row r="395">
          <cell r="A395" t="str">
            <v>1VJ1NS0130X</v>
          </cell>
          <cell r="B395" t="str">
            <v>SMT</v>
          </cell>
          <cell r="C395">
            <v>1</v>
          </cell>
          <cell r="D395" t="e">
            <v>#N/A</v>
          </cell>
        </row>
        <row r="396">
          <cell r="A396" t="str">
            <v>1RE1NS0130X</v>
          </cell>
          <cell r="B396" t="str">
            <v>SMT</v>
          </cell>
          <cell r="C396">
            <v>1</v>
          </cell>
          <cell r="D396">
            <v>51</v>
          </cell>
        </row>
        <row r="397">
          <cell r="A397" t="str">
            <v>1RE2NS0130X</v>
          </cell>
          <cell r="B397" t="str">
            <v>SMT</v>
          </cell>
          <cell r="C397">
            <v>1</v>
          </cell>
          <cell r="D397">
            <v>511</v>
          </cell>
          <cell r="E397">
            <v>2210</v>
          </cell>
          <cell r="F397" t="str">
            <v>VC01</v>
          </cell>
          <cell r="G397" t="str">
            <v>Auto</v>
          </cell>
          <cell r="H397">
            <v>311</v>
          </cell>
          <cell r="I397">
            <v>2210</v>
          </cell>
          <cell r="J397">
            <v>2310</v>
          </cell>
          <cell r="K397" t="str">
            <v>VC01</v>
          </cell>
        </row>
        <row r="398">
          <cell r="A398" t="str">
            <v>1AP1NS0130X</v>
          </cell>
          <cell r="B398" t="str">
            <v>DIP</v>
          </cell>
          <cell r="C398">
            <v>1</v>
          </cell>
          <cell r="D398" t="e">
            <v>#N/A</v>
          </cell>
          <cell r="E398">
            <v>2210</v>
          </cell>
          <cell r="F398" t="str">
            <v>VC01</v>
          </cell>
          <cell r="G398" t="str">
            <v>Auto</v>
          </cell>
          <cell r="H398">
            <v>311</v>
          </cell>
          <cell r="I398">
            <v>2210</v>
          </cell>
          <cell r="J398">
            <v>2310</v>
          </cell>
          <cell r="K398" t="str">
            <v>VC01</v>
          </cell>
        </row>
        <row r="399">
          <cell r="A399" t="str">
            <v>1VJ1NS0130XSX</v>
          </cell>
          <cell r="B399" t="str">
            <v>SMT</v>
          </cell>
          <cell r="C399">
            <v>1</v>
          </cell>
          <cell r="D399" t="e">
            <v>#N/A</v>
          </cell>
        </row>
        <row r="400">
          <cell r="A400" t="str">
            <v>1RE1NS0130XSX</v>
          </cell>
          <cell r="B400" t="str">
            <v>SMT</v>
          </cell>
          <cell r="C400">
            <v>1</v>
          </cell>
          <cell r="D400">
            <v>51</v>
          </cell>
        </row>
        <row r="401">
          <cell r="A401" t="str">
            <v>1RE2NS0130XSX</v>
          </cell>
          <cell r="B401" t="str">
            <v>SMT</v>
          </cell>
          <cell r="C401">
            <v>1</v>
          </cell>
          <cell r="D401">
            <v>511</v>
          </cell>
          <cell r="E401">
            <v>2210</v>
          </cell>
          <cell r="F401" t="str">
            <v>VC01</v>
          </cell>
          <cell r="G401" t="str">
            <v>Auto</v>
          </cell>
          <cell r="H401">
            <v>311</v>
          </cell>
          <cell r="I401">
            <v>2210</v>
          </cell>
          <cell r="J401">
            <v>2310</v>
          </cell>
          <cell r="K401" t="str">
            <v>VC01</v>
          </cell>
        </row>
        <row r="402">
          <cell r="A402" t="str">
            <v>1AP1NS0130XSX</v>
          </cell>
          <cell r="B402" t="str">
            <v>DIP</v>
          </cell>
          <cell r="C402">
            <v>1</v>
          </cell>
          <cell r="D402" t="e">
            <v>#N/A</v>
          </cell>
          <cell r="E402">
            <v>2210</v>
          </cell>
          <cell r="F402" t="str">
            <v>VC01</v>
          </cell>
          <cell r="G402" t="str">
            <v>Auto</v>
          </cell>
          <cell r="H402">
            <v>311</v>
          </cell>
          <cell r="I402">
            <v>2210</v>
          </cell>
          <cell r="J402">
            <v>2310</v>
          </cell>
          <cell r="K402" t="str">
            <v>VC01</v>
          </cell>
        </row>
        <row r="403">
          <cell r="A403" t="str">
            <v>1VI1NS0132X</v>
          </cell>
          <cell r="B403" t="str">
            <v>SMT</v>
          </cell>
          <cell r="C403">
            <v>1</v>
          </cell>
          <cell r="D403" t="e">
            <v>#N/A</v>
          </cell>
        </row>
        <row r="404">
          <cell r="A404" t="str">
            <v>1VI2NS0132X</v>
          </cell>
          <cell r="B404" t="str">
            <v>SMT</v>
          </cell>
          <cell r="C404">
            <v>1</v>
          </cell>
          <cell r="D404" t="e">
            <v>#N/A</v>
          </cell>
        </row>
        <row r="405">
          <cell r="A405" t="str">
            <v>1RE1NS0132X</v>
          </cell>
          <cell r="B405" t="str">
            <v>SMT</v>
          </cell>
          <cell r="C405">
            <v>1</v>
          </cell>
          <cell r="D405">
            <v>685</v>
          </cell>
          <cell r="E405">
            <v>2210</v>
          </cell>
          <cell r="F405" t="str">
            <v>VC01</v>
          </cell>
          <cell r="G405" t="str">
            <v>Auto</v>
          </cell>
          <cell r="H405">
            <v>311</v>
          </cell>
          <cell r="I405">
            <v>2210</v>
          </cell>
          <cell r="J405">
            <v>2310</v>
          </cell>
          <cell r="K405" t="str">
            <v>VC01</v>
          </cell>
        </row>
        <row r="406">
          <cell r="A406" t="str">
            <v>1AP1NS0132X</v>
          </cell>
          <cell r="B406" t="str">
            <v>DIP</v>
          </cell>
          <cell r="C406">
            <v>1</v>
          </cell>
          <cell r="D406" t="e">
            <v>#N/A</v>
          </cell>
          <cell r="E406">
            <v>2210</v>
          </cell>
          <cell r="F406" t="str">
            <v>VC01</v>
          </cell>
          <cell r="G406" t="str">
            <v>Auto</v>
          </cell>
          <cell r="H406">
            <v>311</v>
          </cell>
          <cell r="I406">
            <v>2210</v>
          </cell>
          <cell r="J406">
            <v>2310</v>
          </cell>
          <cell r="K406" t="str">
            <v>VC01</v>
          </cell>
        </row>
        <row r="407">
          <cell r="A407" t="str">
            <v>1VI1NS0132XSX</v>
          </cell>
          <cell r="B407" t="str">
            <v>SMT</v>
          </cell>
          <cell r="C407">
            <v>1</v>
          </cell>
          <cell r="D407" t="e">
            <v>#N/A</v>
          </cell>
        </row>
        <row r="408">
          <cell r="A408" t="str">
            <v>1VI2NS0132XSX</v>
          </cell>
          <cell r="B408" t="str">
            <v>SMT</v>
          </cell>
          <cell r="C408">
            <v>1</v>
          </cell>
          <cell r="D408" t="e">
            <v>#N/A</v>
          </cell>
        </row>
        <row r="409">
          <cell r="A409" t="str">
            <v>1RE1NS0132XSX</v>
          </cell>
          <cell r="B409" t="str">
            <v>SMT</v>
          </cell>
          <cell r="C409">
            <v>1</v>
          </cell>
          <cell r="D409">
            <v>685</v>
          </cell>
          <cell r="E409">
            <v>2210</v>
          </cell>
          <cell r="F409" t="str">
            <v>VC01</v>
          </cell>
          <cell r="G409" t="str">
            <v>Auto</v>
          </cell>
          <cell r="H409">
            <v>311</v>
          </cell>
          <cell r="I409">
            <v>2210</v>
          </cell>
          <cell r="J409">
            <v>2310</v>
          </cell>
          <cell r="K409" t="str">
            <v>VC01</v>
          </cell>
        </row>
        <row r="410">
          <cell r="A410" t="str">
            <v>1AP1NS0132XSX</v>
          </cell>
          <cell r="B410" t="str">
            <v>DIP</v>
          </cell>
          <cell r="C410">
            <v>1</v>
          </cell>
          <cell r="D410" t="e">
            <v>#N/A</v>
          </cell>
          <cell r="E410">
            <v>2210</v>
          </cell>
          <cell r="F410" t="str">
            <v>VC01</v>
          </cell>
          <cell r="G410" t="str">
            <v>Auto</v>
          </cell>
          <cell r="H410">
            <v>311</v>
          </cell>
          <cell r="I410">
            <v>2210</v>
          </cell>
          <cell r="J410">
            <v>2310</v>
          </cell>
          <cell r="K410" t="str">
            <v>VC01</v>
          </cell>
        </row>
        <row r="411">
          <cell r="A411" t="str">
            <v>1RE1NS0161X</v>
          </cell>
          <cell r="B411" t="str">
            <v>SMT</v>
          </cell>
          <cell r="C411">
            <v>1</v>
          </cell>
          <cell r="D411">
            <v>81</v>
          </cell>
        </row>
        <row r="412">
          <cell r="A412" t="str">
            <v>1RH1NS0161X</v>
          </cell>
          <cell r="B412" t="str">
            <v>SMT</v>
          </cell>
          <cell r="C412">
            <v>1</v>
          </cell>
          <cell r="D412">
            <v>6</v>
          </cell>
          <cell r="E412">
            <v>2210</v>
          </cell>
          <cell r="F412" t="str">
            <v>VC01</v>
          </cell>
          <cell r="G412" t="str">
            <v>Auto</v>
          </cell>
          <cell r="H412">
            <v>311</v>
          </cell>
          <cell r="I412">
            <v>2210</v>
          </cell>
          <cell r="J412">
            <v>2310</v>
          </cell>
          <cell r="K412" t="str">
            <v>VC01</v>
          </cell>
        </row>
        <row r="413">
          <cell r="A413" t="str">
            <v>1AP1NS0161X</v>
          </cell>
          <cell r="B413" t="str">
            <v>DIP</v>
          </cell>
          <cell r="C413">
            <v>1</v>
          </cell>
          <cell r="D413" t="e">
            <v>#N/A</v>
          </cell>
          <cell r="E413">
            <v>2210</v>
          </cell>
          <cell r="F413" t="str">
            <v>VC01</v>
          </cell>
          <cell r="G413" t="str">
            <v>Auto</v>
          </cell>
          <cell r="H413">
            <v>311</v>
          </cell>
          <cell r="I413">
            <v>2210</v>
          </cell>
          <cell r="J413">
            <v>2310</v>
          </cell>
          <cell r="K413" t="str">
            <v>VC01</v>
          </cell>
        </row>
        <row r="414">
          <cell r="A414" t="str">
            <v>1RE1NS0180</v>
          </cell>
          <cell r="B414" t="str">
            <v>SMT</v>
          </cell>
          <cell r="C414">
            <v>1</v>
          </cell>
          <cell r="D414">
            <v>198</v>
          </cell>
        </row>
        <row r="415">
          <cell r="A415" t="str">
            <v>1RE2NS0180</v>
          </cell>
          <cell r="B415" t="str">
            <v>SMT</v>
          </cell>
          <cell r="C415">
            <v>1</v>
          </cell>
          <cell r="D415">
            <v>247</v>
          </cell>
        </row>
        <row r="416">
          <cell r="A416" t="str">
            <v>1RH1NS0180</v>
          </cell>
          <cell r="B416" t="str">
            <v>SMT</v>
          </cell>
          <cell r="C416">
            <v>1</v>
          </cell>
          <cell r="D416">
            <v>24</v>
          </cell>
          <cell r="E416">
            <v>2210</v>
          </cell>
          <cell r="F416" t="str">
            <v>VC01</v>
          </cell>
          <cell r="G416" t="str">
            <v>Auto</v>
          </cell>
          <cell r="H416">
            <v>311</v>
          </cell>
          <cell r="I416">
            <v>2210</v>
          </cell>
          <cell r="J416">
            <v>2310</v>
          </cell>
          <cell r="K416" t="str">
            <v>VC01</v>
          </cell>
        </row>
        <row r="417">
          <cell r="A417" t="str">
            <v>1AP1NS0180</v>
          </cell>
          <cell r="B417" t="str">
            <v>DIP</v>
          </cell>
          <cell r="C417">
            <v>1</v>
          </cell>
          <cell r="D417" t="e">
            <v>#N/A</v>
          </cell>
          <cell r="E417">
            <v>2210</v>
          </cell>
          <cell r="F417" t="str">
            <v>VC01</v>
          </cell>
          <cell r="G417" t="str">
            <v>Auto</v>
          </cell>
          <cell r="H417">
            <v>311</v>
          </cell>
          <cell r="I417">
            <v>2210</v>
          </cell>
          <cell r="J417">
            <v>2310</v>
          </cell>
          <cell r="K417" t="str">
            <v>VC01</v>
          </cell>
        </row>
        <row r="418">
          <cell r="A418" t="str">
            <v>1RE1NS0290CE</v>
          </cell>
          <cell r="B418" t="str">
            <v>SMT</v>
          </cell>
          <cell r="C418">
            <v>1</v>
          </cell>
          <cell r="D418">
            <v>46</v>
          </cell>
        </row>
        <row r="419">
          <cell r="A419" t="str">
            <v>1RE2NS0290CE</v>
          </cell>
          <cell r="B419" t="str">
            <v>SMT</v>
          </cell>
          <cell r="C419">
            <v>1</v>
          </cell>
          <cell r="D419">
            <v>242</v>
          </cell>
        </row>
        <row r="420">
          <cell r="A420" t="str">
            <v>1RH1NS0290CE</v>
          </cell>
          <cell r="B420" t="str">
            <v>SMT</v>
          </cell>
          <cell r="C420">
            <v>1</v>
          </cell>
          <cell r="D420">
            <v>16</v>
          </cell>
          <cell r="E420">
            <v>2210</v>
          </cell>
          <cell r="F420" t="str">
            <v>VC01</v>
          </cell>
          <cell r="G420" t="str">
            <v>Auto</v>
          </cell>
          <cell r="H420">
            <v>311</v>
          </cell>
          <cell r="I420">
            <v>2210</v>
          </cell>
          <cell r="J420">
            <v>2310</v>
          </cell>
          <cell r="K420" t="str">
            <v>VC01</v>
          </cell>
        </row>
        <row r="421">
          <cell r="A421" t="str">
            <v>1AP1NS0290CE</v>
          </cell>
          <cell r="B421" t="str">
            <v>DIP</v>
          </cell>
          <cell r="C421">
            <v>1</v>
          </cell>
          <cell r="D421" t="e">
            <v>#N/A</v>
          </cell>
          <cell r="E421">
            <v>2210</v>
          </cell>
          <cell r="F421" t="str">
            <v>VC01</v>
          </cell>
          <cell r="G421" t="str">
            <v>Auto</v>
          </cell>
          <cell r="H421">
            <v>311</v>
          </cell>
          <cell r="I421">
            <v>2210</v>
          </cell>
          <cell r="J421">
            <v>2310</v>
          </cell>
          <cell r="K421" t="str">
            <v>VC01</v>
          </cell>
        </row>
        <row r="422">
          <cell r="A422" t="str">
            <v>1AP1NS0290CEVN</v>
          </cell>
          <cell r="B422" t="str">
            <v>DIP</v>
          </cell>
          <cell r="C422">
            <v>1</v>
          </cell>
          <cell r="D422" t="e">
            <v>#N/A</v>
          </cell>
          <cell r="E422">
            <v>2210</v>
          </cell>
          <cell r="F422" t="str">
            <v>VC01</v>
          </cell>
          <cell r="G422" t="str">
            <v>Auto</v>
          </cell>
          <cell r="H422">
            <v>311</v>
          </cell>
          <cell r="I422">
            <v>2210</v>
          </cell>
          <cell r="J422">
            <v>2310</v>
          </cell>
          <cell r="K422" t="str">
            <v>VC01</v>
          </cell>
        </row>
        <row r="423">
          <cell r="A423" t="str">
            <v>1RE1NS0290X</v>
          </cell>
          <cell r="B423" t="str">
            <v>SMT</v>
          </cell>
          <cell r="C423">
            <v>1</v>
          </cell>
          <cell r="D423">
            <v>46</v>
          </cell>
        </row>
        <row r="424">
          <cell r="A424" t="str">
            <v>1RE2NS0290X</v>
          </cell>
          <cell r="B424" t="str">
            <v>SMT</v>
          </cell>
          <cell r="C424">
            <v>1</v>
          </cell>
          <cell r="D424">
            <v>240</v>
          </cell>
        </row>
        <row r="425">
          <cell r="A425" t="str">
            <v>1RH1NS0290X</v>
          </cell>
          <cell r="B425" t="str">
            <v>SMT</v>
          </cell>
          <cell r="C425">
            <v>1</v>
          </cell>
          <cell r="D425">
            <v>16</v>
          </cell>
          <cell r="E425">
            <v>2210</v>
          </cell>
          <cell r="F425" t="str">
            <v>VC01</v>
          </cell>
          <cell r="G425" t="str">
            <v>Auto</v>
          </cell>
          <cell r="H425">
            <v>311</v>
          </cell>
          <cell r="I425">
            <v>2210</v>
          </cell>
          <cell r="J425">
            <v>2310</v>
          </cell>
          <cell r="K425" t="str">
            <v>VC01</v>
          </cell>
        </row>
        <row r="426">
          <cell r="A426" t="str">
            <v>1AP1NS0290X</v>
          </cell>
          <cell r="B426" t="str">
            <v>DIP</v>
          </cell>
          <cell r="C426">
            <v>1</v>
          </cell>
          <cell r="D426" t="e">
            <v>#N/A</v>
          </cell>
          <cell r="E426">
            <v>2210</v>
          </cell>
          <cell r="F426" t="str">
            <v>VC01</v>
          </cell>
          <cell r="G426" t="str">
            <v>Auto</v>
          </cell>
          <cell r="H426">
            <v>311</v>
          </cell>
          <cell r="I426">
            <v>2210</v>
          </cell>
          <cell r="J426">
            <v>2310</v>
          </cell>
          <cell r="K426" t="str">
            <v>VC01</v>
          </cell>
        </row>
        <row r="427">
          <cell r="A427" t="str">
            <v>1RE1NS5130SX</v>
          </cell>
          <cell r="B427" t="str">
            <v>SMT</v>
          </cell>
          <cell r="C427">
            <v>1</v>
          </cell>
          <cell r="D427">
            <v>127</v>
          </cell>
          <cell r="E427">
            <v>2210</v>
          </cell>
          <cell r="F427" t="str">
            <v>VC01</v>
          </cell>
          <cell r="G427" t="str">
            <v>Auto</v>
          </cell>
          <cell r="H427">
            <v>311</v>
          </cell>
          <cell r="I427">
            <v>2210</v>
          </cell>
          <cell r="J427">
            <v>2310</v>
          </cell>
          <cell r="K427" t="str">
            <v>VC01</v>
          </cell>
        </row>
        <row r="428">
          <cell r="A428" t="str">
            <v>1AP1NS5130SX</v>
          </cell>
          <cell r="B428" t="str">
            <v>DIP</v>
          </cell>
          <cell r="C428">
            <v>1</v>
          </cell>
          <cell r="D428" t="e">
            <v>#N/A</v>
          </cell>
          <cell r="E428">
            <v>2210</v>
          </cell>
          <cell r="F428" t="str">
            <v>VC01</v>
          </cell>
          <cell r="G428" t="str">
            <v>Auto</v>
          </cell>
          <cell r="H428">
            <v>311</v>
          </cell>
          <cell r="I428">
            <v>2210</v>
          </cell>
          <cell r="J428">
            <v>2310</v>
          </cell>
          <cell r="K428" t="str">
            <v>VC01</v>
          </cell>
        </row>
        <row r="429">
          <cell r="A429" t="str">
            <v>1RE1NS5130X</v>
          </cell>
          <cell r="B429" t="str">
            <v>SMT</v>
          </cell>
          <cell r="C429">
            <v>1</v>
          </cell>
          <cell r="D429">
            <v>127</v>
          </cell>
          <cell r="E429">
            <v>2210</v>
          </cell>
          <cell r="F429" t="str">
            <v>VC01</v>
          </cell>
          <cell r="G429" t="str">
            <v>Auto</v>
          </cell>
          <cell r="H429">
            <v>311</v>
          </cell>
          <cell r="I429">
            <v>2210</v>
          </cell>
          <cell r="J429">
            <v>2310</v>
          </cell>
          <cell r="K429" t="str">
            <v>VC01</v>
          </cell>
        </row>
        <row r="430">
          <cell r="A430" t="str">
            <v>1AP1NS5130X</v>
          </cell>
          <cell r="B430" t="str">
            <v>DIP</v>
          </cell>
          <cell r="C430">
            <v>1</v>
          </cell>
          <cell r="D430" t="e">
            <v>#N/A</v>
          </cell>
          <cell r="E430">
            <v>2210</v>
          </cell>
          <cell r="F430" t="str">
            <v>VC01</v>
          </cell>
          <cell r="G430" t="str">
            <v>Auto</v>
          </cell>
          <cell r="H430">
            <v>311</v>
          </cell>
          <cell r="I430">
            <v>2210</v>
          </cell>
          <cell r="J430">
            <v>2310</v>
          </cell>
          <cell r="K430" t="str">
            <v>VC01</v>
          </cell>
        </row>
        <row r="431">
          <cell r="A431" t="str">
            <v>PNLB2270YA-LV</v>
          </cell>
          <cell r="B431" t="str">
            <v>SMT</v>
          </cell>
          <cell r="C431">
            <v>1</v>
          </cell>
          <cell r="D431" t="e">
            <v>#N/A</v>
          </cell>
        </row>
        <row r="432">
          <cell r="A432" t="str">
            <v>1RE1NS5162SX</v>
          </cell>
          <cell r="B432" t="str">
            <v>SMT</v>
          </cell>
          <cell r="C432">
            <v>1</v>
          </cell>
          <cell r="D432">
            <v>1</v>
          </cell>
        </row>
        <row r="433">
          <cell r="A433" t="str">
            <v>1RE2NS5162SX</v>
          </cell>
          <cell r="B433" t="str">
            <v>SMT</v>
          </cell>
          <cell r="C433">
            <v>1</v>
          </cell>
          <cell r="D433">
            <v>182</v>
          </cell>
        </row>
        <row r="434">
          <cell r="A434" t="str">
            <v>1RH1NS5162SX</v>
          </cell>
          <cell r="B434" t="str">
            <v>SMT</v>
          </cell>
          <cell r="C434">
            <v>1</v>
          </cell>
          <cell r="D434">
            <v>12</v>
          </cell>
          <cell r="E434">
            <v>2210</v>
          </cell>
          <cell r="F434" t="str">
            <v>VC01</v>
          </cell>
          <cell r="G434" t="str">
            <v>Auto</v>
          </cell>
          <cell r="H434">
            <v>311</v>
          </cell>
          <cell r="I434">
            <v>2210</v>
          </cell>
          <cell r="J434">
            <v>2310</v>
          </cell>
          <cell r="K434" t="str">
            <v>VC01</v>
          </cell>
        </row>
        <row r="435">
          <cell r="A435" t="str">
            <v>1AP1NS5162SX</v>
          </cell>
          <cell r="B435" t="str">
            <v>DIP</v>
          </cell>
          <cell r="C435">
            <v>1</v>
          </cell>
          <cell r="D435" t="e">
            <v>#N/A</v>
          </cell>
          <cell r="E435">
            <v>2210</v>
          </cell>
          <cell r="F435" t="str">
            <v>VC01</v>
          </cell>
          <cell r="G435" t="str">
            <v>Auto</v>
          </cell>
          <cell r="H435">
            <v>311</v>
          </cell>
          <cell r="I435">
            <v>2210</v>
          </cell>
          <cell r="J435">
            <v>2310</v>
          </cell>
          <cell r="K435" t="str">
            <v>VC01</v>
          </cell>
        </row>
        <row r="436">
          <cell r="A436" t="str">
            <v>1RE1NS5162X</v>
          </cell>
          <cell r="B436" t="str">
            <v>SMT</v>
          </cell>
          <cell r="C436">
            <v>1</v>
          </cell>
          <cell r="D436">
            <v>1</v>
          </cell>
        </row>
        <row r="437">
          <cell r="A437" t="str">
            <v>1RE2NS5162X</v>
          </cell>
          <cell r="B437" t="str">
            <v>SMT</v>
          </cell>
          <cell r="C437">
            <v>1</v>
          </cell>
          <cell r="D437">
            <v>182</v>
          </cell>
        </row>
        <row r="438">
          <cell r="A438" t="str">
            <v>1RH1NS5162X</v>
          </cell>
          <cell r="B438" t="str">
            <v>SMT</v>
          </cell>
          <cell r="C438">
            <v>1</v>
          </cell>
          <cell r="D438">
            <v>12</v>
          </cell>
          <cell r="E438">
            <v>2210</v>
          </cell>
          <cell r="F438" t="str">
            <v>VC01</v>
          </cell>
          <cell r="G438" t="str">
            <v>Auto</v>
          </cell>
          <cell r="H438">
            <v>311</v>
          </cell>
          <cell r="I438">
            <v>2210</v>
          </cell>
          <cell r="J438">
            <v>2310</v>
          </cell>
          <cell r="K438" t="str">
            <v>VC01</v>
          </cell>
        </row>
        <row r="439">
          <cell r="A439" t="str">
            <v>1AP1NS5162X</v>
          </cell>
          <cell r="B439" t="str">
            <v>DIP</v>
          </cell>
          <cell r="C439">
            <v>1</v>
          </cell>
          <cell r="D439" t="e">
            <v>#N/A</v>
          </cell>
          <cell r="E439">
            <v>2210</v>
          </cell>
          <cell r="F439" t="str">
            <v>VC01</v>
          </cell>
          <cell r="G439" t="str">
            <v>Auto</v>
          </cell>
          <cell r="H439">
            <v>311</v>
          </cell>
          <cell r="I439">
            <v>2210</v>
          </cell>
          <cell r="J439">
            <v>2310</v>
          </cell>
          <cell r="K439" t="str">
            <v>VC01</v>
          </cell>
        </row>
        <row r="440">
          <cell r="A440" t="str">
            <v>1VI1NS5170SX</v>
          </cell>
          <cell r="B440" t="str">
            <v>SMT</v>
          </cell>
          <cell r="C440">
            <v>1</v>
          </cell>
          <cell r="D440" t="e">
            <v>#N/A</v>
          </cell>
        </row>
        <row r="441">
          <cell r="A441" t="str">
            <v>1VJ1NS5170SX</v>
          </cell>
          <cell r="B441" t="str">
            <v>SMT</v>
          </cell>
          <cell r="C441">
            <v>1</v>
          </cell>
          <cell r="D441" t="e">
            <v>#N/A</v>
          </cell>
        </row>
        <row r="442">
          <cell r="A442" t="str">
            <v>PNLB2265ZA-LV</v>
          </cell>
          <cell r="B442" t="str">
            <v>SMT</v>
          </cell>
          <cell r="C442">
            <v>1</v>
          </cell>
          <cell r="D442" t="e">
            <v>#N/A</v>
          </cell>
        </row>
        <row r="443">
          <cell r="A443" t="str">
            <v>1RE1NS5170SX</v>
          </cell>
          <cell r="B443" t="str">
            <v>SMT</v>
          </cell>
          <cell r="C443">
            <v>1</v>
          </cell>
          <cell r="D443">
            <v>232</v>
          </cell>
        </row>
        <row r="444">
          <cell r="A444" t="str">
            <v>1RE2NS5170SX</v>
          </cell>
          <cell r="B444" t="str">
            <v>SMT</v>
          </cell>
          <cell r="C444">
            <v>1</v>
          </cell>
          <cell r="D444">
            <v>424</v>
          </cell>
        </row>
        <row r="445">
          <cell r="A445" t="str">
            <v>1RH1NS5170SX</v>
          </cell>
          <cell r="B445" t="str">
            <v>SMT</v>
          </cell>
          <cell r="C445">
            <v>1</v>
          </cell>
          <cell r="D445">
            <v>10</v>
          </cell>
          <cell r="E445">
            <v>2210</v>
          </cell>
          <cell r="F445" t="str">
            <v>VC01</v>
          </cell>
          <cell r="G445" t="str">
            <v>Auto</v>
          </cell>
          <cell r="H445">
            <v>311</v>
          </cell>
          <cell r="I445">
            <v>2210</v>
          </cell>
          <cell r="J445">
            <v>2310</v>
          </cell>
          <cell r="K445" t="str">
            <v>VC01</v>
          </cell>
        </row>
        <row r="446">
          <cell r="A446" t="str">
            <v>1AP1NS5170SX</v>
          </cell>
          <cell r="B446" t="str">
            <v>DIP</v>
          </cell>
          <cell r="C446">
            <v>1</v>
          </cell>
          <cell r="D446" t="e">
            <v>#N/A</v>
          </cell>
          <cell r="E446">
            <v>2210</v>
          </cell>
          <cell r="F446" t="str">
            <v>VC01</v>
          </cell>
          <cell r="G446" t="str">
            <v>Auto</v>
          </cell>
          <cell r="H446">
            <v>311</v>
          </cell>
          <cell r="I446">
            <v>2210</v>
          </cell>
          <cell r="J446">
            <v>2310</v>
          </cell>
          <cell r="K446" t="str">
            <v>VC01</v>
          </cell>
        </row>
        <row r="447">
          <cell r="A447" t="str">
            <v>1VI1NS5170X</v>
          </cell>
          <cell r="B447" t="str">
            <v>SMT</v>
          </cell>
          <cell r="C447">
            <v>1</v>
          </cell>
          <cell r="D447" t="e">
            <v>#N/A</v>
          </cell>
        </row>
        <row r="448">
          <cell r="A448" t="str">
            <v>1VJ1NS5170X</v>
          </cell>
          <cell r="B448" t="str">
            <v>SMT</v>
          </cell>
          <cell r="C448">
            <v>1</v>
          </cell>
          <cell r="D448" t="e">
            <v>#N/A</v>
          </cell>
        </row>
        <row r="449">
          <cell r="A449" t="str">
            <v>1RE1NS5170X</v>
          </cell>
          <cell r="B449" t="str">
            <v>SMT</v>
          </cell>
          <cell r="C449">
            <v>1</v>
          </cell>
          <cell r="D449">
            <v>232</v>
          </cell>
        </row>
        <row r="450">
          <cell r="A450" t="str">
            <v>1RE2NS5170X</v>
          </cell>
          <cell r="B450" t="str">
            <v>SMT</v>
          </cell>
          <cell r="C450">
            <v>1</v>
          </cell>
          <cell r="D450">
            <v>425</v>
          </cell>
        </row>
        <row r="451">
          <cell r="A451" t="str">
            <v>1RH1NS5170X</v>
          </cell>
          <cell r="B451" t="str">
            <v>SMT</v>
          </cell>
          <cell r="C451">
            <v>1</v>
          </cell>
          <cell r="D451">
            <v>10</v>
          </cell>
          <cell r="E451">
            <v>2210</v>
          </cell>
          <cell r="F451" t="str">
            <v>VC01</v>
          </cell>
          <cell r="G451" t="str">
            <v>Auto</v>
          </cell>
          <cell r="H451">
            <v>311</v>
          </cell>
          <cell r="I451">
            <v>2210</v>
          </cell>
          <cell r="J451">
            <v>2310</v>
          </cell>
          <cell r="K451" t="str">
            <v>VC01</v>
          </cell>
        </row>
        <row r="452">
          <cell r="A452" t="str">
            <v>1AP1NS5170XVN</v>
          </cell>
          <cell r="B452" t="str">
            <v>DIP</v>
          </cell>
          <cell r="C452">
            <v>1</v>
          </cell>
          <cell r="D452" t="e">
            <v>#N/A</v>
          </cell>
          <cell r="E452">
            <v>2210</v>
          </cell>
          <cell r="F452" t="str">
            <v>VC01</v>
          </cell>
          <cell r="G452" t="str">
            <v>Auto</v>
          </cell>
          <cell r="H452">
            <v>311</v>
          </cell>
          <cell r="I452">
            <v>2210</v>
          </cell>
          <cell r="J452">
            <v>2310</v>
          </cell>
          <cell r="K452" t="str">
            <v>VC01</v>
          </cell>
        </row>
        <row r="453">
          <cell r="A453" t="str">
            <v>1AP1NS5170X</v>
          </cell>
          <cell r="B453" t="str">
            <v>DIP</v>
          </cell>
          <cell r="C453">
            <v>1</v>
          </cell>
          <cell r="D453" t="e">
            <v>#N/A</v>
          </cell>
          <cell r="E453">
            <v>2210</v>
          </cell>
          <cell r="F453" t="str">
            <v>VC01</v>
          </cell>
          <cell r="G453" t="str">
            <v>Auto</v>
          </cell>
          <cell r="H453">
            <v>311</v>
          </cell>
          <cell r="I453">
            <v>2210</v>
          </cell>
          <cell r="J453">
            <v>2310</v>
          </cell>
          <cell r="K453" t="str">
            <v>VC01</v>
          </cell>
        </row>
        <row r="454">
          <cell r="A454" t="str">
            <v>1VI1NS5171SX</v>
          </cell>
          <cell r="B454" t="str">
            <v>SMT</v>
          </cell>
          <cell r="C454">
            <v>1</v>
          </cell>
          <cell r="D454" t="e">
            <v>#N/A</v>
          </cell>
        </row>
        <row r="455">
          <cell r="A455" t="str">
            <v>1VI2NS5171SX</v>
          </cell>
          <cell r="B455" t="str">
            <v>SMT</v>
          </cell>
          <cell r="C455">
            <v>1</v>
          </cell>
          <cell r="D455" t="e">
            <v>#N/A</v>
          </cell>
        </row>
        <row r="456">
          <cell r="A456" t="str">
            <v>PNLB2266ZA-LV</v>
          </cell>
          <cell r="B456" t="str">
            <v>SMT</v>
          </cell>
          <cell r="C456">
            <v>1</v>
          </cell>
          <cell r="D456" t="e">
            <v>#N/A</v>
          </cell>
        </row>
        <row r="457">
          <cell r="A457" t="str">
            <v>1RE1NS5171SX</v>
          </cell>
          <cell r="B457" t="str">
            <v>SMT</v>
          </cell>
          <cell r="C457">
            <v>1</v>
          </cell>
          <cell r="D457">
            <v>321</v>
          </cell>
        </row>
        <row r="458">
          <cell r="A458" t="str">
            <v>1RE2NS5171SX</v>
          </cell>
          <cell r="B458" t="str">
            <v>SMT</v>
          </cell>
          <cell r="C458">
            <v>1</v>
          </cell>
          <cell r="D458">
            <v>229</v>
          </cell>
        </row>
        <row r="459">
          <cell r="A459" t="str">
            <v>1RH1NS5171SX</v>
          </cell>
          <cell r="B459" t="str">
            <v>SMT</v>
          </cell>
          <cell r="C459">
            <v>1</v>
          </cell>
          <cell r="D459">
            <v>16</v>
          </cell>
          <cell r="E459">
            <v>2210</v>
          </cell>
          <cell r="F459" t="str">
            <v>VC01</v>
          </cell>
          <cell r="G459" t="str">
            <v>Auto</v>
          </cell>
          <cell r="H459">
            <v>311</v>
          </cell>
          <cell r="I459">
            <v>2210</v>
          </cell>
          <cell r="J459">
            <v>2310</v>
          </cell>
          <cell r="K459" t="str">
            <v>VC01</v>
          </cell>
        </row>
        <row r="460">
          <cell r="A460" t="str">
            <v>1AP1NS5171SX</v>
          </cell>
          <cell r="B460" t="str">
            <v>DIP</v>
          </cell>
          <cell r="C460">
            <v>1</v>
          </cell>
          <cell r="D460" t="e">
            <v>#N/A</v>
          </cell>
          <cell r="E460">
            <v>2210</v>
          </cell>
          <cell r="F460" t="str">
            <v>VC01</v>
          </cell>
          <cell r="G460" t="str">
            <v>Auto</v>
          </cell>
          <cell r="H460">
            <v>311</v>
          </cell>
          <cell r="I460">
            <v>2210</v>
          </cell>
          <cell r="J460">
            <v>2310</v>
          </cell>
          <cell r="K460" t="str">
            <v>VC01</v>
          </cell>
        </row>
        <row r="461">
          <cell r="A461" t="str">
            <v>1VI1NS5171X</v>
          </cell>
          <cell r="B461" t="str">
            <v>SMT</v>
          </cell>
          <cell r="C461">
            <v>1</v>
          </cell>
          <cell r="D461" t="e">
            <v>#N/A</v>
          </cell>
        </row>
        <row r="462">
          <cell r="A462" t="str">
            <v>1VI2NS5171X</v>
          </cell>
          <cell r="B462" t="str">
            <v>SMT</v>
          </cell>
          <cell r="C462">
            <v>1</v>
          </cell>
          <cell r="D462" t="e">
            <v>#N/A</v>
          </cell>
        </row>
        <row r="463">
          <cell r="A463" t="str">
            <v>1RE1NS5171X</v>
          </cell>
          <cell r="B463" t="str">
            <v>SMT</v>
          </cell>
          <cell r="C463">
            <v>1</v>
          </cell>
          <cell r="D463">
            <v>321</v>
          </cell>
        </row>
        <row r="464">
          <cell r="A464" t="str">
            <v>1RE2NS5171X</v>
          </cell>
          <cell r="B464" t="str">
            <v>SMT</v>
          </cell>
          <cell r="C464">
            <v>1</v>
          </cell>
          <cell r="D464">
            <v>229</v>
          </cell>
        </row>
        <row r="465">
          <cell r="A465" t="str">
            <v>1RH1NS5171X</v>
          </cell>
          <cell r="B465" t="str">
            <v>SMT</v>
          </cell>
          <cell r="C465">
            <v>1</v>
          </cell>
          <cell r="D465">
            <v>16</v>
          </cell>
          <cell r="E465">
            <v>2210</v>
          </cell>
          <cell r="F465" t="str">
            <v>VC01</v>
          </cell>
          <cell r="G465" t="str">
            <v>Auto</v>
          </cell>
          <cell r="H465">
            <v>311</v>
          </cell>
          <cell r="I465">
            <v>2210</v>
          </cell>
          <cell r="J465">
            <v>2310</v>
          </cell>
          <cell r="K465" t="str">
            <v>VC01</v>
          </cell>
        </row>
        <row r="466">
          <cell r="A466" t="str">
            <v>1AP1NS5171X</v>
          </cell>
          <cell r="B466" t="str">
            <v>DIP</v>
          </cell>
          <cell r="C466">
            <v>1</v>
          </cell>
          <cell r="D466" t="e">
            <v>#N/A</v>
          </cell>
          <cell r="E466">
            <v>2210</v>
          </cell>
          <cell r="F466" t="str">
            <v>VC01</v>
          </cell>
          <cell r="G466" t="str">
            <v>Auto</v>
          </cell>
          <cell r="H466">
            <v>311</v>
          </cell>
          <cell r="I466">
            <v>2210</v>
          </cell>
          <cell r="J466">
            <v>2310</v>
          </cell>
          <cell r="K466" t="str">
            <v>VC01</v>
          </cell>
        </row>
        <row r="467">
          <cell r="A467" t="str">
            <v>1AP1NS5171XVN</v>
          </cell>
          <cell r="B467" t="str">
            <v>DIP</v>
          </cell>
          <cell r="C467">
            <v>1</v>
          </cell>
          <cell r="D467" t="e">
            <v>#N/A</v>
          </cell>
          <cell r="E467">
            <v>2210</v>
          </cell>
          <cell r="F467" t="str">
            <v>VC01</v>
          </cell>
          <cell r="G467" t="str">
            <v>Auto</v>
          </cell>
          <cell r="H467">
            <v>311</v>
          </cell>
          <cell r="I467">
            <v>2210</v>
          </cell>
          <cell r="J467">
            <v>2310</v>
          </cell>
          <cell r="K467" t="str">
            <v>VC01</v>
          </cell>
        </row>
        <row r="468">
          <cell r="A468" t="str">
            <v>1VI1NS5172SX</v>
          </cell>
          <cell r="B468" t="str">
            <v>SMT</v>
          </cell>
          <cell r="C468">
            <v>1</v>
          </cell>
          <cell r="D468" t="e">
            <v>#N/A</v>
          </cell>
        </row>
        <row r="469">
          <cell r="A469" t="str">
            <v>1VI2NS5172SX</v>
          </cell>
          <cell r="B469" t="str">
            <v>SMT</v>
          </cell>
          <cell r="C469">
            <v>1</v>
          </cell>
          <cell r="D469" t="e">
            <v>#N/A</v>
          </cell>
        </row>
        <row r="470">
          <cell r="A470" t="str">
            <v>1RE1NS5172SX</v>
          </cell>
          <cell r="B470" t="str">
            <v>SMT</v>
          </cell>
          <cell r="C470">
            <v>1</v>
          </cell>
          <cell r="D470">
            <v>537</v>
          </cell>
        </row>
        <row r="471">
          <cell r="A471" t="str">
            <v>1RE2NS5172SX</v>
          </cell>
          <cell r="B471" t="str">
            <v>SMT</v>
          </cell>
          <cell r="C471">
            <v>1</v>
          </cell>
          <cell r="D471">
            <v>375</v>
          </cell>
        </row>
        <row r="472">
          <cell r="A472" t="str">
            <v>1RH1NS5172SX</v>
          </cell>
          <cell r="B472" t="str">
            <v>SMT</v>
          </cell>
          <cell r="C472">
            <v>1</v>
          </cell>
          <cell r="D472">
            <v>32</v>
          </cell>
          <cell r="E472">
            <v>2210</v>
          </cell>
          <cell r="F472" t="str">
            <v>VC01</v>
          </cell>
          <cell r="G472" t="str">
            <v>Auto</v>
          </cell>
          <cell r="H472">
            <v>311</v>
          </cell>
          <cell r="I472">
            <v>2210</v>
          </cell>
          <cell r="J472">
            <v>2310</v>
          </cell>
          <cell r="K472" t="str">
            <v>VC01</v>
          </cell>
        </row>
        <row r="473">
          <cell r="A473" t="str">
            <v>1AP1NS5172SX</v>
          </cell>
          <cell r="B473" t="str">
            <v>DIP</v>
          </cell>
          <cell r="C473">
            <v>1</v>
          </cell>
          <cell r="D473" t="e">
            <v>#N/A</v>
          </cell>
          <cell r="E473">
            <v>2210</v>
          </cell>
          <cell r="F473" t="str">
            <v>VC01</v>
          </cell>
          <cell r="G473" t="str">
            <v>Auto</v>
          </cell>
          <cell r="H473">
            <v>311</v>
          </cell>
          <cell r="I473">
            <v>2210</v>
          </cell>
          <cell r="J473">
            <v>2310</v>
          </cell>
          <cell r="K473" t="str">
            <v>VC01</v>
          </cell>
        </row>
        <row r="474">
          <cell r="A474" t="str">
            <v>1VI1NS5172X</v>
          </cell>
          <cell r="B474" t="str">
            <v>SMT</v>
          </cell>
          <cell r="C474">
            <v>1</v>
          </cell>
          <cell r="D474" t="e">
            <v>#N/A</v>
          </cell>
        </row>
        <row r="475">
          <cell r="A475" t="str">
            <v>1VI2NS5172X</v>
          </cell>
          <cell r="B475" t="str">
            <v>SMT</v>
          </cell>
          <cell r="C475">
            <v>1</v>
          </cell>
          <cell r="D475" t="e">
            <v>#N/A</v>
          </cell>
        </row>
        <row r="476">
          <cell r="A476" t="str">
            <v>1RE1NS5172X</v>
          </cell>
          <cell r="B476" t="str">
            <v>SMT</v>
          </cell>
          <cell r="C476">
            <v>1</v>
          </cell>
          <cell r="D476">
            <v>537</v>
          </cell>
        </row>
        <row r="477">
          <cell r="A477" t="str">
            <v>1RE2NS5172X</v>
          </cell>
          <cell r="B477" t="str">
            <v>SMT</v>
          </cell>
          <cell r="C477">
            <v>1</v>
          </cell>
          <cell r="D477">
            <v>375</v>
          </cell>
        </row>
        <row r="478">
          <cell r="A478" t="str">
            <v>1RH1NS5172X</v>
          </cell>
          <cell r="B478" t="str">
            <v>SMT</v>
          </cell>
          <cell r="C478">
            <v>1</v>
          </cell>
          <cell r="D478">
            <v>32</v>
          </cell>
          <cell r="E478">
            <v>2210</v>
          </cell>
          <cell r="F478" t="str">
            <v>VC01</v>
          </cell>
          <cell r="G478" t="str">
            <v>Auto</v>
          </cell>
          <cell r="H478">
            <v>311</v>
          </cell>
          <cell r="I478">
            <v>2210</v>
          </cell>
          <cell r="J478">
            <v>2310</v>
          </cell>
          <cell r="K478" t="str">
            <v>VC01</v>
          </cell>
        </row>
        <row r="479">
          <cell r="A479" t="str">
            <v>1AP1NS5172X</v>
          </cell>
          <cell r="B479" t="str">
            <v>DIP</v>
          </cell>
          <cell r="C479">
            <v>1</v>
          </cell>
          <cell r="D479" t="e">
            <v>#N/A</v>
          </cell>
          <cell r="E479">
            <v>2210</v>
          </cell>
          <cell r="F479" t="str">
            <v>VC01</v>
          </cell>
          <cell r="G479" t="str">
            <v>Auto</v>
          </cell>
          <cell r="H479">
            <v>311</v>
          </cell>
          <cell r="I479">
            <v>2210</v>
          </cell>
          <cell r="J479">
            <v>2310</v>
          </cell>
          <cell r="K479" t="str">
            <v>VC01</v>
          </cell>
        </row>
        <row r="480">
          <cell r="A480" t="str">
            <v>PNLB2264YA-LV</v>
          </cell>
          <cell r="B480" t="str">
            <v>SMT</v>
          </cell>
          <cell r="C480">
            <v>1</v>
          </cell>
          <cell r="D480" t="e">
            <v>#N/A</v>
          </cell>
        </row>
        <row r="481">
          <cell r="A481" t="str">
            <v>1RE1NS5173SX</v>
          </cell>
          <cell r="B481" t="str">
            <v>SMT</v>
          </cell>
          <cell r="C481">
            <v>1</v>
          </cell>
          <cell r="D481">
            <v>138</v>
          </cell>
        </row>
        <row r="482">
          <cell r="A482" t="str">
            <v>1RE2NS5173SX</v>
          </cell>
          <cell r="B482" t="str">
            <v>SMT</v>
          </cell>
          <cell r="C482">
            <v>1</v>
          </cell>
          <cell r="D482">
            <v>222</v>
          </cell>
        </row>
        <row r="483">
          <cell r="A483" t="str">
            <v>1RH1NS5173SX</v>
          </cell>
          <cell r="B483" t="str">
            <v>SMT</v>
          </cell>
          <cell r="C483">
            <v>1</v>
          </cell>
          <cell r="D483">
            <v>4</v>
          </cell>
          <cell r="E483">
            <v>2210</v>
          </cell>
          <cell r="F483" t="str">
            <v>VC01</v>
          </cell>
          <cell r="G483" t="str">
            <v>Auto</v>
          </cell>
          <cell r="H483">
            <v>311</v>
          </cell>
          <cell r="I483">
            <v>2210</v>
          </cell>
          <cell r="J483">
            <v>2310</v>
          </cell>
          <cell r="K483" t="str">
            <v>VC01</v>
          </cell>
        </row>
        <row r="484">
          <cell r="A484" t="str">
            <v>1AP1NS5173SX</v>
          </cell>
          <cell r="B484" t="str">
            <v>DIP</v>
          </cell>
          <cell r="C484">
            <v>1</v>
          </cell>
          <cell r="D484" t="e">
            <v>#N/A</v>
          </cell>
          <cell r="E484">
            <v>2210</v>
          </cell>
          <cell r="F484" t="str">
            <v>VC01</v>
          </cell>
          <cell r="G484" t="str">
            <v>Auto</v>
          </cell>
          <cell r="H484">
            <v>311</v>
          </cell>
          <cell r="I484">
            <v>2210</v>
          </cell>
          <cell r="J484">
            <v>2310</v>
          </cell>
          <cell r="K484" t="str">
            <v>VC01</v>
          </cell>
        </row>
        <row r="485">
          <cell r="A485" t="str">
            <v>1RE1NS5173X</v>
          </cell>
          <cell r="B485" t="str">
            <v>SMT</v>
          </cell>
          <cell r="C485">
            <v>1</v>
          </cell>
          <cell r="D485">
            <v>138</v>
          </cell>
        </row>
        <row r="486">
          <cell r="A486" t="str">
            <v>1RE2NS5173X</v>
          </cell>
          <cell r="B486" t="str">
            <v>SMT</v>
          </cell>
          <cell r="C486">
            <v>1</v>
          </cell>
          <cell r="D486">
            <v>222</v>
          </cell>
        </row>
        <row r="487">
          <cell r="A487" t="str">
            <v>1RH1NS5173X</v>
          </cell>
          <cell r="B487" t="str">
            <v>SMT</v>
          </cell>
          <cell r="C487">
            <v>1</v>
          </cell>
          <cell r="D487">
            <v>4</v>
          </cell>
          <cell r="E487">
            <v>2210</v>
          </cell>
          <cell r="F487" t="str">
            <v>VC01</v>
          </cell>
          <cell r="G487" t="str">
            <v>Auto</v>
          </cell>
          <cell r="H487">
            <v>311</v>
          </cell>
          <cell r="I487">
            <v>2210</v>
          </cell>
          <cell r="J487">
            <v>2310</v>
          </cell>
          <cell r="K487" t="str">
            <v>VC01</v>
          </cell>
        </row>
        <row r="488">
          <cell r="A488" t="str">
            <v>1AP1NS5173X</v>
          </cell>
          <cell r="B488" t="str">
            <v>DIP</v>
          </cell>
          <cell r="C488">
            <v>1</v>
          </cell>
          <cell r="D488" t="e">
            <v>#N/A</v>
          </cell>
          <cell r="E488">
            <v>2210</v>
          </cell>
          <cell r="F488" t="str">
            <v>VC01</v>
          </cell>
          <cell r="G488" t="str">
            <v>Auto</v>
          </cell>
          <cell r="H488">
            <v>311</v>
          </cell>
          <cell r="I488">
            <v>2210</v>
          </cell>
          <cell r="J488">
            <v>2310</v>
          </cell>
          <cell r="K488" t="str">
            <v>VC01</v>
          </cell>
        </row>
        <row r="489">
          <cell r="A489" t="str">
            <v>PNLB2264YB-WK</v>
          </cell>
          <cell r="B489" t="str">
            <v>SMT</v>
          </cell>
          <cell r="C489">
            <v>1</v>
          </cell>
          <cell r="D489" t="e">
            <v>#N/A</v>
          </cell>
        </row>
        <row r="490">
          <cell r="A490" t="str">
            <v>1RE1NS5174SX</v>
          </cell>
          <cell r="B490" t="str">
            <v>SMT</v>
          </cell>
          <cell r="C490">
            <v>1</v>
          </cell>
          <cell r="D490">
            <v>282</v>
          </cell>
        </row>
        <row r="491">
          <cell r="A491" t="str">
            <v>1RE2NS5174SX</v>
          </cell>
          <cell r="B491" t="str">
            <v>SMT</v>
          </cell>
          <cell r="C491">
            <v>1</v>
          </cell>
          <cell r="D491">
            <v>359</v>
          </cell>
        </row>
        <row r="492">
          <cell r="A492" t="str">
            <v>1RH1NS5174SX</v>
          </cell>
          <cell r="B492" t="str">
            <v>SMT</v>
          </cell>
          <cell r="C492">
            <v>1</v>
          </cell>
          <cell r="D492">
            <v>8</v>
          </cell>
          <cell r="E492">
            <v>2210</v>
          </cell>
          <cell r="F492" t="str">
            <v>VC01</v>
          </cell>
          <cell r="G492" t="str">
            <v>Auto</v>
          </cell>
          <cell r="H492">
            <v>311</v>
          </cell>
          <cell r="I492">
            <v>2210</v>
          </cell>
          <cell r="J492">
            <v>2310</v>
          </cell>
          <cell r="K492" t="str">
            <v>VC01</v>
          </cell>
        </row>
        <row r="493">
          <cell r="A493" t="str">
            <v>1AP1NS5174SX</v>
          </cell>
          <cell r="B493" t="str">
            <v>DIP</v>
          </cell>
          <cell r="C493">
            <v>1</v>
          </cell>
          <cell r="D493" t="e">
            <v>#N/A</v>
          </cell>
          <cell r="E493">
            <v>2210</v>
          </cell>
          <cell r="F493" t="str">
            <v>VC01</v>
          </cell>
          <cell r="G493" t="str">
            <v>Auto</v>
          </cell>
          <cell r="H493">
            <v>311</v>
          </cell>
          <cell r="I493">
            <v>2210</v>
          </cell>
          <cell r="J493">
            <v>2310</v>
          </cell>
          <cell r="K493" t="str">
            <v>VC01</v>
          </cell>
        </row>
        <row r="494">
          <cell r="A494" t="str">
            <v>1RE1NS5174X</v>
          </cell>
          <cell r="B494" t="str">
            <v>SMT</v>
          </cell>
          <cell r="C494">
            <v>1</v>
          </cell>
          <cell r="D494">
            <v>282</v>
          </cell>
        </row>
        <row r="495">
          <cell r="A495" t="str">
            <v>1RE2NS5174X</v>
          </cell>
          <cell r="B495" t="str">
            <v>SMT</v>
          </cell>
          <cell r="C495">
            <v>1</v>
          </cell>
          <cell r="D495">
            <v>359</v>
          </cell>
        </row>
        <row r="496">
          <cell r="A496" t="str">
            <v>1RH1NS5174X</v>
          </cell>
          <cell r="B496" t="str">
            <v>SMT</v>
          </cell>
          <cell r="C496">
            <v>1</v>
          </cell>
          <cell r="D496">
            <v>8</v>
          </cell>
          <cell r="E496">
            <v>2210</v>
          </cell>
          <cell r="F496" t="str">
            <v>VC01</v>
          </cell>
          <cell r="G496" t="str">
            <v>Auto</v>
          </cell>
          <cell r="H496">
            <v>311</v>
          </cell>
          <cell r="I496">
            <v>2210</v>
          </cell>
          <cell r="J496">
            <v>2310</v>
          </cell>
          <cell r="K496" t="str">
            <v>VC01</v>
          </cell>
        </row>
        <row r="497">
          <cell r="A497" t="str">
            <v>1AP1NS5174X</v>
          </cell>
          <cell r="B497" t="str">
            <v>DIP</v>
          </cell>
          <cell r="C497">
            <v>1</v>
          </cell>
          <cell r="D497" t="e">
            <v>#N/A</v>
          </cell>
          <cell r="E497">
            <v>2210</v>
          </cell>
          <cell r="F497" t="str">
            <v>VC01</v>
          </cell>
          <cell r="G497" t="str">
            <v>Auto</v>
          </cell>
          <cell r="H497">
            <v>311</v>
          </cell>
          <cell r="I497">
            <v>2210</v>
          </cell>
          <cell r="J497">
            <v>2310</v>
          </cell>
          <cell r="K497" t="str">
            <v>VC01</v>
          </cell>
        </row>
        <row r="498">
          <cell r="A498" t="str">
            <v>PNLB2263ZA-LV</v>
          </cell>
          <cell r="B498" t="str">
            <v>SMT</v>
          </cell>
          <cell r="C498">
            <v>1</v>
          </cell>
          <cell r="D498" t="e">
            <v>#N/A</v>
          </cell>
        </row>
        <row r="499">
          <cell r="A499" t="str">
            <v>1RE1NS5180</v>
          </cell>
          <cell r="B499" t="str">
            <v>SMT</v>
          </cell>
          <cell r="C499">
            <v>1</v>
          </cell>
          <cell r="D499">
            <v>166</v>
          </cell>
        </row>
        <row r="500">
          <cell r="A500" t="str">
            <v>1RE2NS5180</v>
          </cell>
          <cell r="B500" t="str">
            <v>SMT</v>
          </cell>
          <cell r="C500">
            <v>1</v>
          </cell>
          <cell r="D500">
            <v>392</v>
          </cell>
        </row>
        <row r="501">
          <cell r="A501" t="str">
            <v>1RH1NS5180</v>
          </cell>
          <cell r="B501" t="str">
            <v>SMT</v>
          </cell>
          <cell r="C501">
            <v>1</v>
          </cell>
          <cell r="D501">
            <v>7</v>
          </cell>
          <cell r="E501">
            <v>2210</v>
          </cell>
          <cell r="F501" t="str">
            <v>VC01</v>
          </cell>
          <cell r="G501" t="str">
            <v>Auto</v>
          </cell>
          <cell r="H501">
            <v>311</v>
          </cell>
          <cell r="I501">
            <v>2210</v>
          </cell>
          <cell r="J501">
            <v>2310</v>
          </cell>
          <cell r="K501" t="str">
            <v>VC01</v>
          </cell>
        </row>
        <row r="502">
          <cell r="A502" t="str">
            <v>1AP1NS5180</v>
          </cell>
          <cell r="B502" t="str">
            <v>DIP</v>
          </cell>
          <cell r="C502">
            <v>1</v>
          </cell>
          <cell r="D502" t="e">
            <v>#N/A</v>
          </cell>
          <cell r="E502">
            <v>2210</v>
          </cell>
          <cell r="F502" t="str">
            <v>VC01</v>
          </cell>
          <cell r="G502" t="str">
            <v>Auto</v>
          </cell>
          <cell r="H502">
            <v>311</v>
          </cell>
          <cell r="I502">
            <v>2210</v>
          </cell>
          <cell r="J502">
            <v>2310</v>
          </cell>
          <cell r="K502" t="str">
            <v>VC01</v>
          </cell>
        </row>
        <row r="503">
          <cell r="A503" t="str">
            <v>1RE1NS5180AL</v>
          </cell>
          <cell r="B503" t="str">
            <v>SMT</v>
          </cell>
          <cell r="C503">
            <v>1</v>
          </cell>
          <cell r="D503">
            <v>166</v>
          </cell>
        </row>
        <row r="504">
          <cell r="A504" t="str">
            <v>1RE2NS5180AL</v>
          </cell>
          <cell r="B504" t="str">
            <v>SMT</v>
          </cell>
          <cell r="C504">
            <v>1</v>
          </cell>
          <cell r="D504">
            <v>422</v>
          </cell>
        </row>
        <row r="505">
          <cell r="A505" t="str">
            <v>1RH1NS5180AL</v>
          </cell>
          <cell r="B505" t="str">
            <v>SMT</v>
          </cell>
          <cell r="C505">
            <v>1</v>
          </cell>
          <cell r="D505">
            <v>7</v>
          </cell>
          <cell r="E505">
            <v>2210</v>
          </cell>
          <cell r="F505" t="str">
            <v>VC01</v>
          </cell>
          <cell r="G505" t="str">
            <v>Auto</v>
          </cell>
          <cell r="H505">
            <v>311</v>
          </cell>
          <cell r="I505">
            <v>2210</v>
          </cell>
          <cell r="J505">
            <v>2310</v>
          </cell>
          <cell r="K505" t="str">
            <v>VC01</v>
          </cell>
        </row>
        <row r="506">
          <cell r="A506" t="str">
            <v>1AP1NS5180AL</v>
          </cell>
          <cell r="B506" t="str">
            <v>DIP</v>
          </cell>
          <cell r="C506">
            <v>1</v>
          </cell>
          <cell r="D506" t="e">
            <v>#N/A</v>
          </cell>
          <cell r="E506">
            <v>2210</v>
          </cell>
          <cell r="F506" t="str">
            <v>VC01</v>
          </cell>
          <cell r="G506" t="str">
            <v>Auto</v>
          </cell>
          <cell r="H506">
            <v>311</v>
          </cell>
          <cell r="I506">
            <v>2210</v>
          </cell>
          <cell r="J506">
            <v>2310</v>
          </cell>
          <cell r="K506" t="str">
            <v>VC01</v>
          </cell>
        </row>
        <row r="507">
          <cell r="A507" t="str">
            <v>1RE1NS5180C</v>
          </cell>
          <cell r="B507" t="str">
            <v>SMT</v>
          </cell>
          <cell r="C507">
            <v>1</v>
          </cell>
          <cell r="D507">
            <v>166</v>
          </cell>
        </row>
        <row r="508">
          <cell r="A508" t="str">
            <v>1RE2NS5180C</v>
          </cell>
          <cell r="B508" t="str">
            <v>SMT</v>
          </cell>
          <cell r="C508">
            <v>1</v>
          </cell>
          <cell r="D508">
            <v>392</v>
          </cell>
        </row>
        <row r="509">
          <cell r="A509" t="str">
            <v>1RH1NS5180C</v>
          </cell>
          <cell r="B509" t="str">
            <v>SMT</v>
          </cell>
          <cell r="C509">
            <v>1</v>
          </cell>
          <cell r="D509">
            <v>7</v>
          </cell>
          <cell r="E509">
            <v>2210</v>
          </cell>
          <cell r="F509" t="str">
            <v>VC01</v>
          </cell>
          <cell r="G509" t="str">
            <v>Auto</v>
          </cell>
          <cell r="H509">
            <v>311</v>
          </cell>
          <cell r="I509">
            <v>2210</v>
          </cell>
          <cell r="J509">
            <v>2310</v>
          </cell>
          <cell r="K509" t="str">
            <v>VC01</v>
          </cell>
        </row>
        <row r="510">
          <cell r="A510" t="str">
            <v>1AP1NS5180C</v>
          </cell>
          <cell r="B510" t="str">
            <v>DIP</v>
          </cell>
          <cell r="C510">
            <v>1</v>
          </cell>
          <cell r="D510" t="e">
            <v>#N/A</v>
          </cell>
          <cell r="E510">
            <v>2210</v>
          </cell>
          <cell r="F510" t="str">
            <v>VC01</v>
          </cell>
          <cell r="G510" t="str">
            <v>Auto</v>
          </cell>
          <cell r="H510">
            <v>311</v>
          </cell>
          <cell r="I510">
            <v>2210</v>
          </cell>
          <cell r="J510">
            <v>2310</v>
          </cell>
          <cell r="K510" t="str">
            <v>VC01</v>
          </cell>
        </row>
        <row r="511">
          <cell r="A511" t="str">
            <v>1RE1NS5180NZ</v>
          </cell>
          <cell r="B511" t="str">
            <v>SMT</v>
          </cell>
          <cell r="C511">
            <v>1</v>
          </cell>
          <cell r="D511">
            <v>157</v>
          </cell>
        </row>
        <row r="512">
          <cell r="A512" t="str">
            <v>1RE2NS5180NZ</v>
          </cell>
          <cell r="B512" t="str">
            <v>SMT</v>
          </cell>
          <cell r="C512">
            <v>1</v>
          </cell>
          <cell r="D512">
            <v>419</v>
          </cell>
        </row>
        <row r="513">
          <cell r="A513" t="str">
            <v>1RH1NS5180NZ</v>
          </cell>
          <cell r="B513" t="str">
            <v>SMT</v>
          </cell>
          <cell r="C513">
            <v>1</v>
          </cell>
          <cell r="D513">
            <v>1</v>
          </cell>
          <cell r="E513">
            <v>2210</v>
          </cell>
          <cell r="F513" t="str">
            <v>VC01</v>
          </cell>
          <cell r="G513" t="str">
            <v>Auto</v>
          </cell>
          <cell r="H513">
            <v>311</v>
          </cell>
          <cell r="I513">
            <v>2210</v>
          </cell>
          <cell r="J513">
            <v>2310</v>
          </cell>
          <cell r="K513" t="str">
            <v>VC01</v>
          </cell>
        </row>
        <row r="514">
          <cell r="A514" t="str">
            <v>1AP1NS5180NZ</v>
          </cell>
          <cell r="B514" t="str">
            <v>DIP</v>
          </cell>
          <cell r="C514">
            <v>1</v>
          </cell>
          <cell r="D514" t="e">
            <v>#N/A</v>
          </cell>
          <cell r="E514">
            <v>2210</v>
          </cell>
          <cell r="F514" t="str">
            <v>VC01</v>
          </cell>
          <cell r="G514" t="str">
            <v>Auto</v>
          </cell>
          <cell r="H514">
            <v>311</v>
          </cell>
          <cell r="I514">
            <v>2210</v>
          </cell>
          <cell r="J514">
            <v>2310</v>
          </cell>
          <cell r="K514" t="str">
            <v>VC01</v>
          </cell>
        </row>
        <row r="515">
          <cell r="A515" t="str">
            <v>1RE1NS5180SA</v>
          </cell>
          <cell r="B515" t="str">
            <v>SMT</v>
          </cell>
          <cell r="C515">
            <v>1</v>
          </cell>
          <cell r="D515">
            <v>166</v>
          </cell>
        </row>
        <row r="516">
          <cell r="A516" t="str">
            <v>1RE2NS5180SA</v>
          </cell>
          <cell r="B516" t="str">
            <v>SMT</v>
          </cell>
          <cell r="C516">
            <v>1</v>
          </cell>
          <cell r="D516">
            <v>404</v>
          </cell>
        </row>
        <row r="517">
          <cell r="A517" t="str">
            <v>1RH1NS5180SA</v>
          </cell>
          <cell r="B517" t="str">
            <v>SMT</v>
          </cell>
          <cell r="C517">
            <v>1</v>
          </cell>
          <cell r="D517">
            <v>1</v>
          </cell>
          <cell r="E517">
            <v>2210</v>
          </cell>
          <cell r="F517" t="str">
            <v>VC01</v>
          </cell>
          <cell r="G517" t="str">
            <v>Auto</v>
          </cell>
          <cell r="H517">
            <v>311</v>
          </cell>
          <cell r="I517">
            <v>2210</v>
          </cell>
          <cell r="J517">
            <v>2310</v>
          </cell>
          <cell r="K517" t="str">
            <v>VC01</v>
          </cell>
        </row>
        <row r="518">
          <cell r="A518" t="str">
            <v>1AP1NS5180SA</v>
          </cell>
          <cell r="B518" t="str">
            <v>DIP</v>
          </cell>
          <cell r="C518">
            <v>1</v>
          </cell>
          <cell r="D518" t="e">
            <v>#N/A</v>
          </cell>
          <cell r="E518">
            <v>2210</v>
          </cell>
          <cell r="F518" t="str">
            <v>VC01</v>
          </cell>
          <cell r="G518" t="str">
            <v>Auto</v>
          </cell>
          <cell r="H518">
            <v>311</v>
          </cell>
          <cell r="I518">
            <v>2210</v>
          </cell>
          <cell r="J518">
            <v>2310</v>
          </cell>
          <cell r="K518" t="str">
            <v>VC01</v>
          </cell>
        </row>
        <row r="519">
          <cell r="A519" t="str">
            <v>PNLB2263YA-LV</v>
          </cell>
          <cell r="B519" t="str">
            <v>SMT</v>
          </cell>
          <cell r="C519">
            <v>1</v>
          </cell>
          <cell r="D519" t="e">
            <v>#N/A</v>
          </cell>
        </row>
        <row r="520">
          <cell r="A520" t="str">
            <v>1RE1NS5180SX</v>
          </cell>
          <cell r="B520" t="str">
            <v>SMT</v>
          </cell>
          <cell r="C520">
            <v>1</v>
          </cell>
          <cell r="D520">
            <v>160</v>
          </cell>
        </row>
        <row r="521">
          <cell r="A521" t="str">
            <v>1RE2NS5180SX</v>
          </cell>
          <cell r="B521" t="str">
            <v>SMT</v>
          </cell>
          <cell r="C521">
            <v>1</v>
          </cell>
          <cell r="D521">
            <v>392</v>
          </cell>
        </row>
        <row r="522">
          <cell r="A522" t="str">
            <v>1RH1NS5180SX</v>
          </cell>
          <cell r="B522" t="str">
            <v>SMT</v>
          </cell>
          <cell r="C522">
            <v>1</v>
          </cell>
          <cell r="D522">
            <v>1</v>
          </cell>
          <cell r="E522">
            <v>2210</v>
          </cell>
          <cell r="F522" t="str">
            <v>VC01</v>
          </cell>
          <cell r="G522" t="str">
            <v>Auto</v>
          </cell>
          <cell r="H522">
            <v>311</v>
          </cell>
          <cell r="I522">
            <v>2210</v>
          </cell>
          <cell r="J522">
            <v>2310</v>
          </cell>
          <cell r="K522" t="str">
            <v>VC01</v>
          </cell>
        </row>
        <row r="523">
          <cell r="A523" t="str">
            <v>1AP1NS5180SX</v>
          </cell>
          <cell r="B523" t="str">
            <v>DIP</v>
          </cell>
          <cell r="C523">
            <v>1</v>
          </cell>
          <cell r="D523" t="e">
            <v>#N/A</v>
          </cell>
          <cell r="E523">
            <v>2210</v>
          </cell>
          <cell r="F523" t="str">
            <v>VC01</v>
          </cell>
          <cell r="G523" t="str">
            <v>Auto</v>
          </cell>
          <cell r="H523">
            <v>311</v>
          </cell>
          <cell r="I523">
            <v>2210</v>
          </cell>
          <cell r="J523">
            <v>2310</v>
          </cell>
          <cell r="K523" t="str">
            <v>VC01</v>
          </cell>
        </row>
        <row r="524">
          <cell r="A524" t="str">
            <v>1RE1NS5180X</v>
          </cell>
          <cell r="B524" t="str">
            <v>SMT</v>
          </cell>
          <cell r="C524">
            <v>1</v>
          </cell>
          <cell r="D524">
            <v>166</v>
          </cell>
        </row>
        <row r="525">
          <cell r="A525" t="str">
            <v>1RE2NS5180X</v>
          </cell>
          <cell r="B525" t="str">
            <v>SMT</v>
          </cell>
          <cell r="C525">
            <v>1</v>
          </cell>
          <cell r="D525">
            <v>374</v>
          </cell>
        </row>
        <row r="526">
          <cell r="A526" t="str">
            <v>1RH1NS5180X</v>
          </cell>
          <cell r="B526" t="str">
            <v>SMT</v>
          </cell>
          <cell r="C526">
            <v>1</v>
          </cell>
          <cell r="D526">
            <v>1</v>
          </cell>
          <cell r="E526">
            <v>2210</v>
          </cell>
          <cell r="F526" t="str">
            <v>VC01</v>
          </cell>
          <cell r="G526" t="str">
            <v>Auto</v>
          </cell>
          <cell r="H526">
            <v>311</v>
          </cell>
          <cell r="I526">
            <v>2210</v>
          </cell>
          <cell r="J526">
            <v>2310</v>
          </cell>
          <cell r="K526" t="str">
            <v>VC01</v>
          </cell>
        </row>
        <row r="527">
          <cell r="A527" t="str">
            <v>1AP1NS5180X</v>
          </cell>
          <cell r="B527" t="str">
            <v>DIP</v>
          </cell>
          <cell r="C527">
            <v>1</v>
          </cell>
          <cell r="D527" t="e">
            <v>#N/A</v>
          </cell>
          <cell r="E527">
            <v>2210</v>
          </cell>
          <cell r="F527" t="str">
            <v>VC01</v>
          </cell>
          <cell r="G527" t="str">
            <v>Auto</v>
          </cell>
          <cell r="H527">
            <v>311</v>
          </cell>
          <cell r="I527">
            <v>2210</v>
          </cell>
          <cell r="J527">
            <v>2310</v>
          </cell>
          <cell r="K527" t="str">
            <v>VC01</v>
          </cell>
        </row>
        <row r="528">
          <cell r="A528" t="str">
            <v>1VJ1NS5282X</v>
          </cell>
          <cell r="B528" t="str">
            <v>SMT</v>
          </cell>
          <cell r="C528">
            <v>1</v>
          </cell>
          <cell r="D528" t="e">
            <v>#N/A</v>
          </cell>
        </row>
        <row r="529">
          <cell r="A529" t="str">
            <v>1RE1NS5282X</v>
          </cell>
          <cell r="B529" t="str">
            <v>SMT</v>
          </cell>
          <cell r="C529">
            <v>1</v>
          </cell>
          <cell r="D529">
            <v>88</v>
          </cell>
        </row>
        <row r="530">
          <cell r="A530" t="str">
            <v>1RE2NS5282X</v>
          </cell>
          <cell r="B530" t="str">
            <v>SMT</v>
          </cell>
          <cell r="C530">
            <v>1</v>
          </cell>
          <cell r="D530">
            <v>136</v>
          </cell>
        </row>
        <row r="531">
          <cell r="A531" t="str">
            <v>1RH1NS5282X</v>
          </cell>
          <cell r="B531" t="str">
            <v>SMT</v>
          </cell>
          <cell r="C531">
            <v>1</v>
          </cell>
          <cell r="D531">
            <v>13</v>
          </cell>
          <cell r="E531">
            <v>2210</v>
          </cell>
          <cell r="F531" t="str">
            <v>VC01</v>
          </cell>
          <cell r="G531" t="str">
            <v>Auto</v>
          </cell>
          <cell r="H531">
            <v>311</v>
          </cell>
          <cell r="I531">
            <v>2210</v>
          </cell>
          <cell r="J531">
            <v>2310</v>
          </cell>
          <cell r="K531" t="str">
            <v>VC01</v>
          </cell>
        </row>
        <row r="532">
          <cell r="A532" t="str">
            <v>1AP1NS5282X</v>
          </cell>
          <cell r="B532" t="str">
            <v>DIP</v>
          </cell>
          <cell r="C532">
            <v>1</v>
          </cell>
          <cell r="D532" t="e">
            <v>#N/A</v>
          </cell>
          <cell r="E532">
            <v>2210</v>
          </cell>
          <cell r="F532" t="str">
            <v>VC01</v>
          </cell>
          <cell r="G532" t="str">
            <v>Auto</v>
          </cell>
          <cell r="H532">
            <v>311</v>
          </cell>
          <cell r="I532">
            <v>2210</v>
          </cell>
          <cell r="J532">
            <v>2310</v>
          </cell>
          <cell r="K532" t="str">
            <v>VC01</v>
          </cell>
        </row>
        <row r="533">
          <cell r="A533" t="str">
            <v>1VJ1NS5284X</v>
          </cell>
          <cell r="B533" t="str">
            <v>SMT</v>
          </cell>
          <cell r="C533">
            <v>1</v>
          </cell>
          <cell r="D533" t="e">
            <v>#N/A</v>
          </cell>
        </row>
        <row r="534">
          <cell r="A534" t="str">
            <v>1RE1NS5284X</v>
          </cell>
          <cell r="B534" t="str">
            <v>SMT</v>
          </cell>
          <cell r="C534">
            <v>1</v>
          </cell>
          <cell r="D534">
            <v>123</v>
          </cell>
        </row>
        <row r="535">
          <cell r="A535" t="str">
            <v>1RE2NS5284X</v>
          </cell>
          <cell r="B535" t="str">
            <v>SMT</v>
          </cell>
          <cell r="C535">
            <v>1</v>
          </cell>
          <cell r="D535">
            <v>181</v>
          </cell>
        </row>
        <row r="536">
          <cell r="A536" t="str">
            <v>1RH1NS5284X</v>
          </cell>
          <cell r="B536" t="str">
            <v>SMT</v>
          </cell>
          <cell r="C536">
            <v>1</v>
          </cell>
          <cell r="D536">
            <v>25</v>
          </cell>
          <cell r="E536">
            <v>2210</v>
          </cell>
          <cell r="F536" t="str">
            <v>VC01</v>
          </cell>
          <cell r="G536" t="str">
            <v>Auto</v>
          </cell>
          <cell r="H536">
            <v>311</v>
          </cell>
          <cell r="I536">
            <v>2210</v>
          </cell>
          <cell r="J536">
            <v>2310</v>
          </cell>
          <cell r="K536" t="str">
            <v>VC01</v>
          </cell>
        </row>
        <row r="537">
          <cell r="A537" t="str">
            <v>1AP1NS5284X</v>
          </cell>
          <cell r="B537" t="str">
            <v>DIP</v>
          </cell>
          <cell r="C537">
            <v>1</v>
          </cell>
          <cell r="D537" t="e">
            <v>#N/A</v>
          </cell>
          <cell r="E537">
            <v>2210</v>
          </cell>
          <cell r="F537" t="str">
            <v>VC01</v>
          </cell>
          <cell r="G537" t="str">
            <v>Auto</v>
          </cell>
          <cell r="H537">
            <v>311</v>
          </cell>
          <cell r="I537">
            <v>2210</v>
          </cell>
          <cell r="J537">
            <v>2310</v>
          </cell>
          <cell r="K537" t="str">
            <v>VC01</v>
          </cell>
        </row>
        <row r="538">
          <cell r="A538" t="str">
            <v>1VJ1NS5290CE</v>
          </cell>
          <cell r="B538" t="str">
            <v>SMT</v>
          </cell>
          <cell r="C538">
            <v>1</v>
          </cell>
          <cell r="D538" t="e">
            <v>#N/A</v>
          </cell>
        </row>
        <row r="539">
          <cell r="A539" t="str">
            <v>1RE1NS5290CE</v>
          </cell>
          <cell r="B539" t="str">
            <v>SMT</v>
          </cell>
          <cell r="C539">
            <v>1</v>
          </cell>
          <cell r="D539">
            <v>59</v>
          </cell>
        </row>
        <row r="540">
          <cell r="A540" t="str">
            <v>1RE2NS5290CE</v>
          </cell>
          <cell r="B540" t="str">
            <v>SMT</v>
          </cell>
          <cell r="C540">
            <v>1</v>
          </cell>
          <cell r="D540">
            <v>209</v>
          </cell>
        </row>
        <row r="541">
          <cell r="A541" t="str">
            <v>1RH1NS5290CE</v>
          </cell>
          <cell r="B541" t="str">
            <v>SMT</v>
          </cell>
          <cell r="C541">
            <v>1</v>
          </cell>
          <cell r="D541">
            <v>5</v>
          </cell>
          <cell r="E541">
            <v>2210</v>
          </cell>
          <cell r="F541" t="str">
            <v>VC01</v>
          </cell>
          <cell r="G541" t="str">
            <v>Auto</v>
          </cell>
          <cell r="H541">
            <v>311</v>
          </cell>
          <cell r="I541">
            <v>2210</v>
          </cell>
          <cell r="J541">
            <v>2310</v>
          </cell>
          <cell r="K541" t="str">
            <v>VC01</v>
          </cell>
        </row>
        <row r="542">
          <cell r="A542" t="str">
            <v>1AP1NS5290CE</v>
          </cell>
          <cell r="B542" t="str">
            <v>DIP</v>
          </cell>
          <cell r="C542">
            <v>1</v>
          </cell>
          <cell r="D542" t="e">
            <v>#N/A</v>
          </cell>
          <cell r="E542">
            <v>2210</v>
          </cell>
          <cell r="F542" t="str">
            <v>VC01</v>
          </cell>
          <cell r="G542" t="str">
            <v>Auto</v>
          </cell>
          <cell r="H542">
            <v>311</v>
          </cell>
          <cell r="I542">
            <v>2210</v>
          </cell>
          <cell r="J542">
            <v>2310</v>
          </cell>
          <cell r="K542" t="str">
            <v>VC01</v>
          </cell>
        </row>
        <row r="543">
          <cell r="A543" t="str">
            <v>1VJ1NS5290SX</v>
          </cell>
          <cell r="B543" t="str">
            <v>SMT</v>
          </cell>
          <cell r="C543">
            <v>1</v>
          </cell>
          <cell r="D543" t="e">
            <v>#N/A</v>
          </cell>
        </row>
        <row r="544">
          <cell r="A544" t="str">
            <v>1RE1NS5290SX</v>
          </cell>
          <cell r="B544" t="str">
            <v>SMT</v>
          </cell>
          <cell r="C544">
            <v>1</v>
          </cell>
          <cell r="D544">
            <v>60</v>
          </cell>
        </row>
        <row r="545">
          <cell r="A545" t="str">
            <v>1RE2NS5290SX</v>
          </cell>
          <cell r="B545" t="str">
            <v>SMT</v>
          </cell>
          <cell r="C545">
            <v>1</v>
          </cell>
          <cell r="D545">
            <v>208</v>
          </cell>
        </row>
        <row r="546">
          <cell r="A546" t="str">
            <v>1RH1NS5290SX</v>
          </cell>
          <cell r="B546" t="str">
            <v>SMT</v>
          </cell>
          <cell r="C546">
            <v>1</v>
          </cell>
          <cell r="D546">
            <v>5</v>
          </cell>
          <cell r="E546">
            <v>2210</v>
          </cell>
          <cell r="F546" t="str">
            <v>VC01</v>
          </cell>
          <cell r="G546" t="str">
            <v>Auto</v>
          </cell>
          <cell r="H546">
            <v>311</v>
          </cell>
          <cell r="I546">
            <v>2210</v>
          </cell>
          <cell r="J546">
            <v>2310</v>
          </cell>
          <cell r="K546" t="str">
            <v>VC01</v>
          </cell>
        </row>
        <row r="547">
          <cell r="A547" t="str">
            <v>1AP1NS5290SX</v>
          </cell>
          <cell r="B547" t="str">
            <v>DIP</v>
          </cell>
          <cell r="C547">
            <v>1</v>
          </cell>
          <cell r="D547" t="e">
            <v>#N/A</v>
          </cell>
          <cell r="E547">
            <v>2210</v>
          </cell>
          <cell r="F547" t="str">
            <v>VC01</v>
          </cell>
          <cell r="G547" t="str">
            <v>Auto</v>
          </cell>
          <cell r="H547">
            <v>311</v>
          </cell>
          <cell r="I547">
            <v>2210</v>
          </cell>
          <cell r="J547">
            <v>2310</v>
          </cell>
          <cell r="K547" t="str">
            <v>VC01</v>
          </cell>
        </row>
        <row r="548">
          <cell r="A548" t="str">
            <v>1VJ1NS5290X</v>
          </cell>
          <cell r="B548" t="str">
            <v>SMT</v>
          </cell>
          <cell r="C548">
            <v>1</v>
          </cell>
          <cell r="D548" t="e">
            <v>#N/A</v>
          </cell>
        </row>
        <row r="549">
          <cell r="A549" t="str">
            <v>1RE1NS5290X</v>
          </cell>
          <cell r="B549" t="str">
            <v>SMT</v>
          </cell>
          <cell r="C549">
            <v>1</v>
          </cell>
          <cell r="D549">
            <v>59</v>
          </cell>
        </row>
        <row r="550">
          <cell r="A550" t="str">
            <v>1RE2NS5290X</v>
          </cell>
          <cell r="B550" t="str">
            <v>SMT</v>
          </cell>
          <cell r="C550">
            <v>1</v>
          </cell>
          <cell r="D550">
            <v>151</v>
          </cell>
        </row>
        <row r="551">
          <cell r="A551" t="str">
            <v>1RH1NS5290X</v>
          </cell>
          <cell r="B551" t="str">
            <v>SMT</v>
          </cell>
          <cell r="C551">
            <v>1</v>
          </cell>
          <cell r="D551">
            <v>5</v>
          </cell>
          <cell r="E551">
            <v>2210</v>
          </cell>
          <cell r="F551" t="str">
            <v>VC01</v>
          </cell>
          <cell r="G551" t="str">
            <v>Auto</v>
          </cell>
          <cell r="H551">
            <v>311</v>
          </cell>
          <cell r="I551">
            <v>2210</v>
          </cell>
          <cell r="J551">
            <v>2310</v>
          </cell>
          <cell r="K551" t="str">
            <v>VC01</v>
          </cell>
        </row>
        <row r="552">
          <cell r="A552" t="str">
            <v>1AP1NS5290X</v>
          </cell>
          <cell r="B552" t="str">
            <v>DIP</v>
          </cell>
          <cell r="C552">
            <v>1</v>
          </cell>
          <cell r="D552" t="e">
            <v>#N/A</v>
          </cell>
          <cell r="E552">
            <v>2210</v>
          </cell>
          <cell r="F552" t="str">
            <v>VC01</v>
          </cell>
          <cell r="G552" t="str">
            <v>Auto</v>
          </cell>
          <cell r="H552">
            <v>311</v>
          </cell>
          <cell r="I552">
            <v>2210</v>
          </cell>
          <cell r="J552">
            <v>2310</v>
          </cell>
          <cell r="K552" t="str">
            <v>VC01</v>
          </cell>
        </row>
        <row r="553">
          <cell r="A553" t="str">
            <v>1RE1NS7130X</v>
          </cell>
          <cell r="B553" t="str">
            <v>SMT</v>
          </cell>
          <cell r="C553">
            <v>1</v>
          </cell>
          <cell r="D553">
            <v>252</v>
          </cell>
          <cell r="E553">
            <v>2210</v>
          </cell>
          <cell r="F553" t="str">
            <v>VC01</v>
          </cell>
          <cell r="G553" t="str">
            <v>Auto</v>
          </cell>
          <cell r="H553">
            <v>311</v>
          </cell>
          <cell r="I553">
            <v>2210</v>
          </cell>
          <cell r="J553">
            <v>2310</v>
          </cell>
          <cell r="K553" t="str">
            <v>VC01</v>
          </cell>
        </row>
        <row r="554">
          <cell r="A554" t="str">
            <v>1AP1NS7130X</v>
          </cell>
          <cell r="B554" t="str">
            <v>DIP</v>
          </cell>
          <cell r="C554">
            <v>1</v>
          </cell>
          <cell r="D554" t="e">
            <v>#N/A</v>
          </cell>
          <cell r="E554">
            <v>2210</v>
          </cell>
          <cell r="F554" t="str">
            <v>VC01</v>
          </cell>
          <cell r="G554" t="str">
            <v>Auto</v>
          </cell>
          <cell r="H554">
            <v>311</v>
          </cell>
          <cell r="I554">
            <v>2210</v>
          </cell>
          <cell r="J554">
            <v>2310</v>
          </cell>
          <cell r="K554" t="str">
            <v>VC01</v>
          </cell>
        </row>
        <row r="555">
          <cell r="A555" t="str">
            <v>1CM1PNLP1029YA</v>
          </cell>
          <cell r="B555" t="str">
            <v>SMT</v>
          </cell>
          <cell r="C555">
            <v>1</v>
          </cell>
          <cell r="D555">
            <v>1</v>
          </cell>
        </row>
        <row r="556">
          <cell r="A556" t="str">
            <v>1RH1PNLP1029YA</v>
          </cell>
          <cell r="B556" t="str">
            <v>SMT</v>
          </cell>
          <cell r="C556">
            <v>1</v>
          </cell>
          <cell r="D556">
            <v>1</v>
          </cell>
          <cell r="E556">
            <v>2210</v>
          </cell>
          <cell r="F556" t="str">
            <v>VC01</v>
          </cell>
          <cell r="G556" t="str">
            <v>Auto</v>
          </cell>
          <cell r="H556">
            <v>311</v>
          </cell>
          <cell r="I556">
            <v>2210</v>
          </cell>
          <cell r="J556">
            <v>2310</v>
          </cell>
          <cell r="K556" t="str">
            <v>VC01</v>
          </cell>
        </row>
        <row r="557">
          <cell r="A557" t="str">
            <v>1AP1PNLP1029YA</v>
          </cell>
          <cell r="B557" t="str">
            <v>DIP</v>
          </cell>
          <cell r="C557">
            <v>1</v>
          </cell>
          <cell r="D557" t="e">
            <v>#N/A</v>
          </cell>
          <cell r="E557">
            <v>2210</v>
          </cell>
          <cell r="F557" t="str">
            <v>VC01</v>
          </cell>
          <cell r="G557" t="str">
            <v>Auto</v>
          </cell>
          <cell r="H557">
            <v>311</v>
          </cell>
          <cell r="I557">
            <v>2210</v>
          </cell>
          <cell r="J557">
            <v>2310</v>
          </cell>
          <cell r="K557" t="str">
            <v>VC01</v>
          </cell>
        </row>
        <row r="558">
          <cell r="A558" t="str">
            <v>1VJ1PSLP1230ZAL4</v>
          </cell>
          <cell r="B558" t="str">
            <v>SMT</v>
          </cell>
          <cell r="C558">
            <v>1</v>
          </cell>
          <cell r="D558" t="e">
            <v>#N/A</v>
          </cell>
        </row>
        <row r="559">
          <cell r="A559" t="str">
            <v>1RE1PSLP1230ZAL4</v>
          </cell>
          <cell r="B559" t="str">
            <v>SMT</v>
          </cell>
          <cell r="C559">
            <v>1</v>
          </cell>
          <cell r="D559">
            <v>313</v>
          </cell>
        </row>
        <row r="560">
          <cell r="A560" t="str">
            <v>1RE2PSLP1230ZAL4</v>
          </cell>
          <cell r="B560" t="str">
            <v>SMT</v>
          </cell>
          <cell r="C560">
            <v>1</v>
          </cell>
          <cell r="D560">
            <v>361</v>
          </cell>
          <cell r="E560">
            <v>2210</v>
          </cell>
          <cell r="F560" t="str">
            <v>VC01</v>
          </cell>
          <cell r="G560" t="str">
            <v>Auto</v>
          </cell>
          <cell r="H560">
            <v>311</v>
          </cell>
          <cell r="I560">
            <v>2210</v>
          </cell>
          <cell r="J560">
            <v>2220</v>
          </cell>
          <cell r="K560" t="str">
            <v>VC01</v>
          </cell>
        </row>
        <row r="561">
          <cell r="A561" t="str">
            <v>1AP1PSLP1230ZAL4</v>
          </cell>
          <cell r="B561" t="str">
            <v>DIP</v>
          </cell>
          <cell r="C561">
            <v>1</v>
          </cell>
          <cell r="D561" t="e">
            <v>#N/A</v>
          </cell>
          <cell r="E561">
            <v>2210</v>
          </cell>
          <cell r="F561" t="str">
            <v>VC01</v>
          </cell>
          <cell r="G561" t="str">
            <v>Auto</v>
          </cell>
          <cell r="H561">
            <v>311</v>
          </cell>
          <cell r="I561">
            <v>2210</v>
          </cell>
          <cell r="J561">
            <v>2220</v>
          </cell>
          <cell r="K561" t="str">
            <v>VC01</v>
          </cell>
        </row>
        <row r="562">
          <cell r="A562" t="str">
            <v>1VJ1PSLP1260ZAL4</v>
          </cell>
          <cell r="B562" t="str">
            <v>SMT</v>
          </cell>
          <cell r="C562">
            <v>1</v>
          </cell>
          <cell r="D562" t="e">
            <v>#N/A</v>
          </cell>
        </row>
        <row r="563">
          <cell r="A563" t="str">
            <v>1CM1PSLP1260ZAL4</v>
          </cell>
          <cell r="B563" t="str">
            <v>SMT</v>
          </cell>
          <cell r="C563">
            <v>1</v>
          </cell>
          <cell r="D563">
            <v>590</v>
          </cell>
        </row>
        <row r="564">
          <cell r="A564" t="str">
            <v>1RE2PSLP1260ZAL4</v>
          </cell>
          <cell r="B564" t="str">
            <v>SMT</v>
          </cell>
          <cell r="C564">
            <v>1</v>
          </cell>
          <cell r="D564">
            <v>862</v>
          </cell>
        </row>
        <row r="565">
          <cell r="A565" t="str">
            <v>1RH1PSLP1260ZAL4</v>
          </cell>
          <cell r="B565" t="str">
            <v>SMT</v>
          </cell>
          <cell r="C565">
            <v>1</v>
          </cell>
          <cell r="D565">
            <v>50</v>
          </cell>
          <cell r="E565">
            <v>2210</v>
          </cell>
          <cell r="F565" t="str">
            <v>VC01</v>
          </cell>
          <cell r="G565" t="str">
            <v>Auto</v>
          </cell>
          <cell r="H565">
            <v>311</v>
          </cell>
          <cell r="I565">
            <v>2210</v>
          </cell>
          <cell r="J565">
            <v>2220</v>
          </cell>
          <cell r="K565" t="str">
            <v>VC01</v>
          </cell>
        </row>
        <row r="566">
          <cell r="A566" t="str">
            <v>1AP1PSLP1260ZAL4</v>
          </cell>
          <cell r="B566" t="str">
            <v>DIP</v>
          </cell>
          <cell r="C566">
            <v>1</v>
          </cell>
          <cell r="D566" t="e">
            <v>#N/A</v>
          </cell>
          <cell r="E566">
            <v>2210</v>
          </cell>
          <cell r="F566" t="str">
            <v>VC01</v>
          </cell>
          <cell r="G566" t="str">
            <v>Auto</v>
          </cell>
          <cell r="H566">
            <v>311</v>
          </cell>
          <cell r="I566">
            <v>2210</v>
          </cell>
          <cell r="J566">
            <v>2220</v>
          </cell>
          <cell r="K566" t="str">
            <v>VC01</v>
          </cell>
        </row>
        <row r="567">
          <cell r="A567" t="str">
            <v>1CM1PSLP1263ZAL4</v>
          </cell>
          <cell r="B567" t="str">
            <v>SMT</v>
          </cell>
          <cell r="C567">
            <v>1</v>
          </cell>
          <cell r="D567">
            <v>168</v>
          </cell>
        </row>
        <row r="568">
          <cell r="A568" t="str">
            <v>1RE2PSLP1263ZAL4</v>
          </cell>
          <cell r="B568" t="str">
            <v>SMT</v>
          </cell>
          <cell r="C568">
            <v>1</v>
          </cell>
          <cell r="D568">
            <v>143</v>
          </cell>
        </row>
        <row r="569">
          <cell r="A569" t="str">
            <v>1RH1PSLP1263ZAL4</v>
          </cell>
          <cell r="B569" t="str">
            <v>SMT</v>
          </cell>
          <cell r="C569">
            <v>1</v>
          </cell>
          <cell r="D569">
            <v>21</v>
          </cell>
          <cell r="E569">
            <v>2210</v>
          </cell>
          <cell r="F569" t="str">
            <v>VC01</v>
          </cell>
          <cell r="G569" t="str">
            <v>Auto</v>
          </cell>
          <cell r="H569">
            <v>311</v>
          </cell>
          <cell r="I569">
            <v>2210</v>
          </cell>
          <cell r="J569">
            <v>2220</v>
          </cell>
          <cell r="K569" t="str">
            <v>VC01</v>
          </cell>
        </row>
        <row r="570">
          <cell r="A570" t="str">
            <v>1AP1PSLP1263ZAL4</v>
          </cell>
          <cell r="B570" t="str">
            <v>DIP</v>
          </cell>
          <cell r="C570">
            <v>1</v>
          </cell>
          <cell r="D570" t="e">
            <v>#N/A</v>
          </cell>
          <cell r="E570">
            <v>2210</v>
          </cell>
          <cell r="F570" t="str">
            <v>VC01</v>
          </cell>
          <cell r="G570" t="str">
            <v>Auto</v>
          </cell>
          <cell r="H570">
            <v>311</v>
          </cell>
          <cell r="I570">
            <v>2210</v>
          </cell>
          <cell r="J570">
            <v>2220</v>
          </cell>
          <cell r="K570" t="str">
            <v>VC01</v>
          </cell>
        </row>
        <row r="571">
          <cell r="A571" t="str">
            <v>1VJ1PSLP1280ZA</v>
          </cell>
          <cell r="B571" t="str">
            <v>SMT</v>
          </cell>
          <cell r="C571">
            <v>1</v>
          </cell>
          <cell r="D571" t="e">
            <v>#N/A</v>
          </cell>
        </row>
        <row r="572">
          <cell r="A572" t="str">
            <v>1RE1PSLP1280ZA</v>
          </cell>
          <cell r="B572" t="str">
            <v>SMT</v>
          </cell>
          <cell r="C572">
            <v>1</v>
          </cell>
          <cell r="D572">
            <v>483</v>
          </cell>
        </row>
        <row r="573">
          <cell r="A573" t="str">
            <v>1RE2PSLP1280ZA</v>
          </cell>
          <cell r="B573" t="str">
            <v>SMT</v>
          </cell>
          <cell r="C573">
            <v>1</v>
          </cell>
          <cell r="D573">
            <v>904</v>
          </cell>
        </row>
        <row r="574">
          <cell r="A574" t="str">
            <v>1RH1PSLP1280ZA</v>
          </cell>
          <cell r="B574" t="str">
            <v>SMT</v>
          </cell>
          <cell r="C574">
            <v>1</v>
          </cell>
          <cell r="D574">
            <v>5</v>
          </cell>
          <cell r="E574">
            <v>2210</v>
          </cell>
          <cell r="F574" t="str">
            <v>VC01</v>
          </cell>
          <cell r="G574" t="str">
            <v>Auto</v>
          </cell>
          <cell r="H574">
            <v>311</v>
          </cell>
          <cell r="I574">
            <v>2210</v>
          </cell>
          <cell r="J574">
            <v>2220</v>
          </cell>
          <cell r="K574" t="str">
            <v>VC01</v>
          </cell>
        </row>
        <row r="575">
          <cell r="A575" t="str">
            <v>1AP1PSLP1280ZA</v>
          </cell>
          <cell r="B575" t="str">
            <v>DIP</v>
          </cell>
          <cell r="C575">
            <v>1</v>
          </cell>
          <cell r="D575" t="e">
            <v>#N/A</v>
          </cell>
          <cell r="E575">
            <v>2210</v>
          </cell>
          <cell r="F575" t="str">
            <v>VC01</v>
          </cell>
          <cell r="G575" t="str">
            <v>Auto</v>
          </cell>
          <cell r="H575">
            <v>311</v>
          </cell>
          <cell r="I575">
            <v>2210</v>
          </cell>
          <cell r="J575">
            <v>2220</v>
          </cell>
          <cell r="K575" t="str">
            <v>VC01</v>
          </cell>
        </row>
        <row r="576">
          <cell r="A576" t="str">
            <v>1VJ1PSLP1326ZA</v>
          </cell>
          <cell r="B576" t="str">
            <v>SMT</v>
          </cell>
          <cell r="C576">
            <v>1</v>
          </cell>
          <cell r="D576" t="e">
            <v>#N/A</v>
          </cell>
        </row>
        <row r="577">
          <cell r="A577" t="str">
            <v>1RE1PSLP1326ZA</v>
          </cell>
          <cell r="B577" t="str">
            <v>SMT</v>
          </cell>
          <cell r="C577">
            <v>1</v>
          </cell>
          <cell r="D577">
            <v>424</v>
          </cell>
        </row>
        <row r="578">
          <cell r="A578" t="str">
            <v>1RE2PSLP1326ZA</v>
          </cell>
          <cell r="B578" t="str">
            <v>SMT</v>
          </cell>
          <cell r="C578">
            <v>1</v>
          </cell>
          <cell r="D578">
            <v>905</v>
          </cell>
        </row>
        <row r="579">
          <cell r="A579" t="str">
            <v>1RH1PSLP1326ZA</v>
          </cell>
          <cell r="B579" t="str">
            <v>SMT</v>
          </cell>
          <cell r="C579">
            <v>1</v>
          </cell>
          <cell r="D579">
            <v>21</v>
          </cell>
          <cell r="E579">
            <v>2210</v>
          </cell>
          <cell r="F579" t="str">
            <v>VC01</v>
          </cell>
          <cell r="G579" t="str">
            <v>Auto</v>
          </cell>
          <cell r="H579">
            <v>311</v>
          </cell>
          <cell r="I579">
            <v>2210</v>
          </cell>
          <cell r="J579">
            <v>2220</v>
          </cell>
          <cell r="K579" t="str">
            <v>VC01</v>
          </cell>
        </row>
        <row r="580">
          <cell r="A580" t="str">
            <v>1AP1PSLP1326ZA</v>
          </cell>
          <cell r="B580" t="str">
            <v>DIP</v>
          </cell>
          <cell r="C580">
            <v>1</v>
          </cell>
          <cell r="D580" t="e">
            <v>#N/A</v>
          </cell>
          <cell r="E580">
            <v>2210</v>
          </cell>
          <cell r="F580" t="str">
            <v>VC01</v>
          </cell>
          <cell r="G580" t="str">
            <v>Auto</v>
          </cell>
          <cell r="H580">
            <v>311</v>
          </cell>
          <cell r="I580">
            <v>2210</v>
          </cell>
          <cell r="J580">
            <v>2220</v>
          </cell>
          <cell r="K580" t="str">
            <v>VC01</v>
          </cell>
        </row>
        <row r="581">
          <cell r="A581" t="str">
            <v>1VJ1PSLP1327ZA</v>
          </cell>
          <cell r="B581" t="str">
            <v>SMT</v>
          </cell>
          <cell r="C581">
            <v>1</v>
          </cell>
          <cell r="D581" t="e">
            <v>#N/A</v>
          </cell>
        </row>
        <row r="582">
          <cell r="A582" t="str">
            <v>1RE1PSLP1327ZA</v>
          </cell>
          <cell r="B582" t="str">
            <v>SMT</v>
          </cell>
          <cell r="C582">
            <v>1</v>
          </cell>
          <cell r="D582">
            <v>431</v>
          </cell>
        </row>
        <row r="583">
          <cell r="A583" t="str">
            <v>1RE2PSLP1327ZA</v>
          </cell>
          <cell r="B583" t="str">
            <v>SMT</v>
          </cell>
          <cell r="C583">
            <v>1</v>
          </cell>
          <cell r="D583">
            <v>905</v>
          </cell>
        </row>
        <row r="584">
          <cell r="A584" t="str">
            <v>1RH1PSLP1327ZA</v>
          </cell>
          <cell r="B584" t="str">
            <v>SMT</v>
          </cell>
          <cell r="C584">
            <v>1</v>
          </cell>
          <cell r="D584">
            <v>16</v>
          </cell>
          <cell r="E584">
            <v>2210</v>
          </cell>
          <cell r="F584" t="str">
            <v>VC01</v>
          </cell>
          <cell r="G584" t="str">
            <v>Auto</v>
          </cell>
          <cell r="H584">
            <v>311</v>
          </cell>
          <cell r="I584">
            <v>2210</v>
          </cell>
          <cell r="J584">
            <v>2220</v>
          </cell>
          <cell r="K584" t="str">
            <v>VC01</v>
          </cell>
        </row>
        <row r="585">
          <cell r="A585" t="str">
            <v>1AP1PSLP1327ZA</v>
          </cell>
          <cell r="B585" t="str">
            <v>DIP</v>
          </cell>
          <cell r="C585">
            <v>1</v>
          </cell>
          <cell r="D585" t="e">
            <v>#N/A</v>
          </cell>
          <cell r="E585">
            <v>2210</v>
          </cell>
          <cell r="F585" t="str">
            <v>VC01</v>
          </cell>
          <cell r="G585" t="str">
            <v>Auto</v>
          </cell>
          <cell r="H585">
            <v>311</v>
          </cell>
          <cell r="I585">
            <v>2210</v>
          </cell>
          <cell r="J585">
            <v>2220</v>
          </cell>
          <cell r="K585" t="str">
            <v>VC01</v>
          </cell>
        </row>
        <row r="586">
          <cell r="A586" t="str">
            <v>1VJ1PSLP1328ZA</v>
          </cell>
          <cell r="B586" t="str">
            <v>SMT</v>
          </cell>
          <cell r="C586">
            <v>1</v>
          </cell>
          <cell r="D586" t="e">
            <v>#N/A</v>
          </cell>
        </row>
        <row r="587">
          <cell r="A587" t="str">
            <v>1RE1PSLP1328ZA</v>
          </cell>
          <cell r="B587" t="str">
            <v>SMT</v>
          </cell>
          <cell r="C587">
            <v>1</v>
          </cell>
          <cell r="D587">
            <v>424</v>
          </cell>
        </row>
        <row r="588">
          <cell r="A588" t="str">
            <v>1RE2PSLP1328ZA</v>
          </cell>
          <cell r="B588" t="str">
            <v>SMT</v>
          </cell>
          <cell r="C588">
            <v>1</v>
          </cell>
          <cell r="D588">
            <v>905</v>
          </cell>
        </row>
        <row r="589">
          <cell r="A589" t="str">
            <v>1RH1PSLP1328ZA</v>
          </cell>
          <cell r="B589" t="str">
            <v>SMT</v>
          </cell>
          <cell r="C589">
            <v>1</v>
          </cell>
          <cell r="D589">
            <v>19</v>
          </cell>
          <cell r="E589">
            <v>2210</v>
          </cell>
          <cell r="F589" t="str">
            <v>VC01</v>
          </cell>
          <cell r="G589" t="str">
            <v>Auto</v>
          </cell>
          <cell r="H589">
            <v>311</v>
          </cell>
          <cell r="I589">
            <v>2210</v>
          </cell>
          <cell r="J589">
            <v>2220</v>
          </cell>
          <cell r="K589" t="str">
            <v>VC01</v>
          </cell>
        </row>
        <row r="590">
          <cell r="A590" t="str">
            <v>1AP1PSLP1328ZA</v>
          </cell>
          <cell r="B590" t="str">
            <v>DIP</v>
          </cell>
          <cell r="C590">
            <v>1</v>
          </cell>
          <cell r="D590" t="e">
            <v>#N/A</v>
          </cell>
          <cell r="E590">
            <v>2210</v>
          </cell>
          <cell r="F590" t="str">
            <v>VC01</v>
          </cell>
          <cell r="G590" t="str">
            <v>Auto</v>
          </cell>
          <cell r="H590">
            <v>311</v>
          </cell>
          <cell r="I590">
            <v>2210</v>
          </cell>
          <cell r="J590">
            <v>2220</v>
          </cell>
          <cell r="K590" t="str">
            <v>VC01</v>
          </cell>
        </row>
        <row r="591">
          <cell r="A591" t="str">
            <v>1RE1PSLP1340ZA</v>
          </cell>
          <cell r="B591" t="str">
            <v>SMT</v>
          </cell>
          <cell r="C591">
            <v>1</v>
          </cell>
          <cell r="D591">
            <v>172</v>
          </cell>
        </row>
        <row r="592">
          <cell r="A592" t="str">
            <v>1RE2PSLP1340ZA</v>
          </cell>
          <cell r="B592" t="str">
            <v>SMT</v>
          </cell>
          <cell r="C592">
            <v>1</v>
          </cell>
          <cell r="D592">
            <v>195</v>
          </cell>
        </row>
        <row r="593">
          <cell r="A593" t="str">
            <v>1RH1PSLP1340ZA</v>
          </cell>
          <cell r="B593" t="str">
            <v>SMT</v>
          </cell>
          <cell r="C593">
            <v>1</v>
          </cell>
          <cell r="D593">
            <v>15</v>
          </cell>
          <cell r="E593">
            <v>2210</v>
          </cell>
          <cell r="F593" t="str">
            <v>VC01</v>
          </cell>
          <cell r="G593" t="str">
            <v>Auto</v>
          </cell>
          <cell r="H593">
            <v>311</v>
          </cell>
          <cell r="I593">
            <v>2210</v>
          </cell>
          <cell r="J593">
            <v>2310</v>
          </cell>
          <cell r="K593" t="str">
            <v>VC01</v>
          </cell>
        </row>
        <row r="594">
          <cell r="A594" t="str">
            <v>1AP1PSLP1340ZA</v>
          </cell>
          <cell r="B594" t="str">
            <v>DIP</v>
          </cell>
          <cell r="C594">
            <v>1</v>
          </cell>
          <cell r="D594" t="e">
            <v>#N/A</v>
          </cell>
          <cell r="E594">
            <v>2210</v>
          </cell>
          <cell r="F594" t="str">
            <v>VC01</v>
          </cell>
          <cell r="G594" t="str">
            <v>Auto</v>
          </cell>
          <cell r="H594">
            <v>311</v>
          </cell>
          <cell r="I594">
            <v>2210</v>
          </cell>
          <cell r="J594">
            <v>2310</v>
          </cell>
          <cell r="K594" t="str">
            <v>VC01</v>
          </cell>
        </row>
        <row r="595">
          <cell r="A595" t="str">
            <v>1RE1PSLP1342ZA</v>
          </cell>
          <cell r="B595" t="str">
            <v>SMT</v>
          </cell>
          <cell r="C595">
            <v>1</v>
          </cell>
          <cell r="D595">
            <v>172</v>
          </cell>
        </row>
        <row r="596">
          <cell r="A596" t="str">
            <v>1RE2PSLP1342ZA</v>
          </cell>
          <cell r="B596" t="str">
            <v>SMT</v>
          </cell>
          <cell r="C596">
            <v>1</v>
          </cell>
          <cell r="D596">
            <v>195</v>
          </cell>
        </row>
        <row r="597">
          <cell r="A597" t="str">
            <v>1RH1PSLP1342ZA</v>
          </cell>
          <cell r="B597" t="str">
            <v>SMT</v>
          </cell>
          <cell r="C597">
            <v>1</v>
          </cell>
          <cell r="D597">
            <v>13</v>
          </cell>
          <cell r="E597">
            <v>2210</v>
          </cell>
          <cell r="F597" t="str">
            <v>VC01</v>
          </cell>
          <cell r="G597" t="str">
            <v>Auto</v>
          </cell>
          <cell r="H597">
            <v>311</v>
          </cell>
          <cell r="I597">
            <v>2210</v>
          </cell>
          <cell r="J597">
            <v>2310</v>
          </cell>
          <cell r="K597" t="str">
            <v>VC01</v>
          </cell>
        </row>
        <row r="598">
          <cell r="A598" t="str">
            <v>1AP1PSLP1342ZA</v>
          </cell>
          <cell r="B598" t="str">
            <v>DIP</v>
          </cell>
          <cell r="C598">
            <v>1</v>
          </cell>
          <cell r="D598" t="e">
            <v>#N/A</v>
          </cell>
          <cell r="E598">
            <v>2210</v>
          </cell>
          <cell r="F598" t="str">
            <v>VC01</v>
          </cell>
          <cell r="G598" t="str">
            <v>Auto</v>
          </cell>
          <cell r="H598">
            <v>311</v>
          </cell>
          <cell r="I598">
            <v>2210</v>
          </cell>
          <cell r="J598">
            <v>2310</v>
          </cell>
          <cell r="K598" t="str">
            <v>VC01</v>
          </cell>
        </row>
        <row r="599">
          <cell r="A599" t="str">
            <v>1RE1PSLP1348ZA</v>
          </cell>
          <cell r="B599" t="str">
            <v>SMT</v>
          </cell>
          <cell r="C599">
            <v>1</v>
          </cell>
          <cell r="D599">
            <v>107</v>
          </cell>
          <cell r="E599">
            <v>2210</v>
          </cell>
          <cell r="F599" t="str">
            <v>VC01</v>
          </cell>
          <cell r="G599" t="str">
            <v>Auto</v>
          </cell>
          <cell r="H599">
            <v>311</v>
          </cell>
          <cell r="I599">
            <v>2210</v>
          </cell>
          <cell r="J599">
            <v>2220</v>
          </cell>
          <cell r="K599" t="str">
            <v>VC01</v>
          </cell>
        </row>
        <row r="600">
          <cell r="A600" t="str">
            <v>1AP1PSLP1348ZA</v>
          </cell>
          <cell r="B600" t="str">
            <v>DIP</v>
          </cell>
          <cell r="C600">
            <v>1</v>
          </cell>
          <cell r="D600" t="e">
            <v>#N/A</v>
          </cell>
          <cell r="E600">
            <v>2210</v>
          </cell>
          <cell r="F600" t="str">
            <v>VC01</v>
          </cell>
          <cell r="G600" t="str">
            <v>Auto</v>
          </cell>
          <cell r="H600">
            <v>311</v>
          </cell>
          <cell r="I600">
            <v>2210</v>
          </cell>
          <cell r="J600">
            <v>2220</v>
          </cell>
          <cell r="K600" t="str">
            <v>VC01</v>
          </cell>
        </row>
        <row r="601">
          <cell r="A601" t="str">
            <v>1RE1PSLP1351ZA</v>
          </cell>
          <cell r="B601" t="str">
            <v>SMT</v>
          </cell>
          <cell r="C601">
            <v>1</v>
          </cell>
          <cell r="D601">
            <v>220</v>
          </cell>
        </row>
        <row r="602">
          <cell r="A602" t="str">
            <v>1RE2PSLP1351ZA</v>
          </cell>
          <cell r="B602" t="str">
            <v>SMT</v>
          </cell>
          <cell r="C602">
            <v>1</v>
          </cell>
          <cell r="D602">
            <v>139</v>
          </cell>
          <cell r="E602">
            <v>2210</v>
          </cell>
          <cell r="F602" t="str">
            <v>VC01</v>
          </cell>
          <cell r="G602" t="str">
            <v>Auto</v>
          </cell>
          <cell r="H602">
            <v>311</v>
          </cell>
          <cell r="I602">
            <v>2210</v>
          </cell>
          <cell r="J602">
            <v>2220</v>
          </cell>
          <cell r="K602" t="str">
            <v>VC01</v>
          </cell>
        </row>
        <row r="603">
          <cell r="A603" t="str">
            <v>1AP1PSLP1351ZA</v>
          </cell>
          <cell r="B603" t="str">
            <v>DIP</v>
          </cell>
          <cell r="C603">
            <v>1</v>
          </cell>
          <cell r="D603" t="e">
            <v>#N/A</v>
          </cell>
          <cell r="E603">
            <v>2210</v>
          </cell>
          <cell r="F603" t="str">
            <v>VC01</v>
          </cell>
          <cell r="G603" t="str">
            <v>Auto</v>
          </cell>
          <cell r="H603">
            <v>311</v>
          </cell>
          <cell r="I603">
            <v>2210</v>
          </cell>
          <cell r="J603">
            <v>2220</v>
          </cell>
          <cell r="K603" t="str">
            <v>VC01</v>
          </cell>
        </row>
        <row r="604">
          <cell r="A604" t="str">
            <v>1VJ1PSLP1399ZA</v>
          </cell>
          <cell r="B604" t="str">
            <v>SMT</v>
          </cell>
          <cell r="C604">
            <v>1</v>
          </cell>
          <cell r="D604" t="e">
            <v>#N/A</v>
          </cell>
        </row>
        <row r="605">
          <cell r="A605" t="str">
            <v>1RE1PSLP1399ZA</v>
          </cell>
          <cell r="B605" t="str">
            <v>SMT</v>
          </cell>
          <cell r="C605">
            <v>1</v>
          </cell>
          <cell r="D605">
            <v>270</v>
          </cell>
        </row>
        <row r="606">
          <cell r="A606" t="str">
            <v>1RE2PSLP1399ZA</v>
          </cell>
          <cell r="B606" t="str">
            <v>SMT</v>
          </cell>
          <cell r="C606">
            <v>1</v>
          </cell>
          <cell r="D606">
            <v>558</v>
          </cell>
          <cell r="E606">
            <v>2210</v>
          </cell>
          <cell r="F606" t="str">
            <v>VC01</v>
          </cell>
          <cell r="G606" t="str">
            <v>Auto</v>
          </cell>
          <cell r="H606">
            <v>311</v>
          </cell>
          <cell r="I606">
            <v>2210</v>
          </cell>
          <cell r="J606">
            <v>2220</v>
          </cell>
          <cell r="K606" t="str">
            <v>VC01</v>
          </cell>
        </row>
        <row r="607">
          <cell r="A607" t="str">
            <v>1AP1PSLP1399ZA</v>
          </cell>
          <cell r="B607" t="str">
            <v>DIP</v>
          </cell>
          <cell r="C607">
            <v>1</v>
          </cell>
          <cell r="D607" t="e">
            <v>#N/A</v>
          </cell>
          <cell r="E607">
            <v>2210</v>
          </cell>
          <cell r="F607" t="str">
            <v>VC01</v>
          </cell>
          <cell r="G607" t="str">
            <v>Auto</v>
          </cell>
          <cell r="H607">
            <v>311</v>
          </cell>
          <cell r="I607">
            <v>2210</v>
          </cell>
          <cell r="J607">
            <v>2220</v>
          </cell>
          <cell r="K607" t="str">
            <v>VC01</v>
          </cell>
        </row>
        <row r="608">
          <cell r="A608" t="str">
            <v>1VJ1PSLP1399ZAL4</v>
          </cell>
          <cell r="B608" t="str">
            <v>SMT</v>
          </cell>
          <cell r="C608">
            <v>1</v>
          </cell>
          <cell r="D608" t="e">
            <v>#N/A</v>
          </cell>
        </row>
        <row r="609">
          <cell r="A609" t="str">
            <v>1RE1PSLP1399ZAL4</v>
          </cell>
          <cell r="B609" t="str">
            <v>SMT</v>
          </cell>
          <cell r="C609">
            <v>1</v>
          </cell>
          <cell r="D609">
            <v>270</v>
          </cell>
        </row>
        <row r="610">
          <cell r="A610" t="str">
            <v>1RE2PSLP1399ZAL4</v>
          </cell>
          <cell r="B610" t="str">
            <v>SMT</v>
          </cell>
          <cell r="C610">
            <v>1</v>
          </cell>
          <cell r="D610">
            <v>558</v>
          </cell>
          <cell r="E610">
            <v>2210</v>
          </cell>
          <cell r="F610" t="str">
            <v>VC01</v>
          </cell>
          <cell r="G610" t="str">
            <v>Auto</v>
          </cell>
          <cell r="H610">
            <v>311</v>
          </cell>
          <cell r="I610">
            <v>2210</v>
          </cell>
          <cell r="J610">
            <v>2220</v>
          </cell>
          <cell r="K610" t="str">
            <v>VC01</v>
          </cell>
        </row>
        <row r="611">
          <cell r="A611" t="str">
            <v>1AP1PSLP1399ZAL4</v>
          </cell>
          <cell r="B611" t="str">
            <v>DIP</v>
          </cell>
          <cell r="C611">
            <v>1</v>
          </cell>
          <cell r="D611" t="e">
            <v>#N/A</v>
          </cell>
          <cell r="E611">
            <v>2210</v>
          </cell>
          <cell r="F611" t="str">
            <v>VC01</v>
          </cell>
          <cell r="G611" t="str">
            <v>Auto</v>
          </cell>
          <cell r="H611">
            <v>311</v>
          </cell>
          <cell r="I611">
            <v>2210</v>
          </cell>
          <cell r="J611">
            <v>2220</v>
          </cell>
          <cell r="K611" t="str">
            <v>VC01</v>
          </cell>
        </row>
        <row r="612">
          <cell r="A612" t="str">
            <v>1VI1PSLP1401ZAL4</v>
          </cell>
          <cell r="B612" t="str">
            <v>SMT</v>
          </cell>
          <cell r="C612">
            <v>1</v>
          </cell>
          <cell r="D612" t="e">
            <v>#N/A</v>
          </cell>
        </row>
        <row r="613">
          <cell r="A613" t="str">
            <v>1RE1PSLP1401ZAL4</v>
          </cell>
          <cell r="B613" t="str">
            <v>SMT</v>
          </cell>
          <cell r="C613">
            <v>1</v>
          </cell>
          <cell r="D613">
            <v>703</v>
          </cell>
        </row>
        <row r="614">
          <cell r="A614" t="str">
            <v>1AP1PSLP1401ZAL4</v>
          </cell>
          <cell r="B614" t="str">
            <v>DIP</v>
          </cell>
          <cell r="C614">
            <v>1</v>
          </cell>
          <cell r="D614" t="e">
            <v>#N/A</v>
          </cell>
          <cell r="E614">
            <v>2210</v>
          </cell>
        </row>
        <row r="615">
          <cell r="A615" t="str">
            <v>1AP1PSLP1402YAL4</v>
          </cell>
          <cell r="B615" t="str">
            <v>DIP</v>
          </cell>
          <cell r="C615">
            <v>1</v>
          </cell>
          <cell r="D615" t="e">
            <v>#N/A</v>
          </cell>
          <cell r="E615">
            <v>2210</v>
          </cell>
          <cell r="F615" t="str">
            <v>VC01</v>
          </cell>
          <cell r="G615" t="str">
            <v>Auto</v>
          </cell>
          <cell r="H615">
            <v>311</v>
          </cell>
          <cell r="I615">
            <v>2210</v>
          </cell>
          <cell r="J615">
            <v>2310</v>
          </cell>
          <cell r="K615" t="str">
            <v>VC01</v>
          </cell>
        </row>
        <row r="616">
          <cell r="A616" t="str">
            <v>1AP1PSLP1402ZA</v>
          </cell>
          <cell r="B616" t="str">
            <v>DIP</v>
          </cell>
          <cell r="C616">
            <v>1</v>
          </cell>
          <cell r="D616" t="e">
            <v>#N/A</v>
          </cell>
          <cell r="E616">
            <v>2210</v>
          </cell>
          <cell r="F616" t="str">
            <v>VC01</v>
          </cell>
          <cell r="G616" t="str">
            <v>Auto</v>
          </cell>
          <cell r="H616">
            <v>311</v>
          </cell>
          <cell r="I616">
            <v>2210</v>
          </cell>
          <cell r="J616">
            <v>2310</v>
          </cell>
          <cell r="K616" t="str">
            <v>VC01</v>
          </cell>
        </row>
        <row r="617">
          <cell r="A617" t="str">
            <v>1AP1PSLP1402ZAL4</v>
          </cell>
          <cell r="B617" t="str">
            <v>DIP</v>
          </cell>
          <cell r="C617">
            <v>1</v>
          </cell>
          <cell r="D617" t="e">
            <v>#N/A</v>
          </cell>
          <cell r="E617">
            <v>2210</v>
          </cell>
          <cell r="F617" t="str">
            <v>VC01</v>
          </cell>
          <cell r="G617" t="str">
            <v>Auto</v>
          </cell>
          <cell r="H617">
            <v>311</v>
          </cell>
          <cell r="I617">
            <v>2210</v>
          </cell>
          <cell r="J617">
            <v>2310</v>
          </cell>
          <cell r="K617" t="str">
            <v>VC01</v>
          </cell>
        </row>
        <row r="618">
          <cell r="A618" t="str">
            <v>1AP1PSLP1403ZAL4</v>
          </cell>
          <cell r="B618" t="str">
            <v>DIP</v>
          </cell>
          <cell r="C618">
            <v>1</v>
          </cell>
          <cell r="D618" t="e">
            <v>#N/A</v>
          </cell>
          <cell r="E618">
            <v>2210</v>
          </cell>
          <cell r="F618" t="str">
            <v>VC01</v>
          </cell>
          <cell r="G618" t="str">
            <v>Auto</v>
          </cell>
          <cell r="H618">
            <v>311</v>
          </cell>
          <cell r="I618">
            <v>2210</v>
          </cell>
          <cell r="J618">
            <v>2310</v>
          </cell>
          <cell r="K618" t="str">
            <v>VC01</v>
          </cell>
        </row>
        <row r="619">
          <cell r="A619" t="str">
            <v>1AP1PSLP1523ZA</v>
          </cell>
          <cell r="B619" t="str">
            <v>DIP</v>
          </cell>
          <cell r="C619">
            <v>1</v>
          </cell>
          <cell r="D619" t="e">
            <v>#N/A</v>
          </cell>
          <cell r="E619">
            <v>2210</v>
          </cell>
          <cell r="F619" t="str">
            <v>VC01</v>
          </cell>
          <cell r="G619" t="str">
            <v>Auto</v>
          </cell>
          <cell r="H619">
            <v>311</v>
          </cell>
          <cell r="I619">
            <v>2210</v>
          </cell>
          <cell r="J619">
            <v>2310</v>
          </cell>
          <cell r="K619" t="str">
            <v>VC01</v>
          </cell>
        </row>
        <row r="620">
          <cell r="A620" t="str">
            <v>1VJ1PSLP1541ZA</v>
          </cell>
          <cell r="B620" t="str">
            <v>SMT</v>
          </cell>
          <cell r="C620">
            <v>1</v>
          </cell>
          <cell r="D620" t="e">
            <v>#N/A</v>
          </cell>
        </row>
        <row r="621">
          <cell r="A621" t="str">
            <v>1VJ2PSLP1541ZA</v>
          </cell>
          <cell r="B621" t="str">
            <v>SMT</v>
          </cell>
          <cell r="C621">
            <v>1</v>
          </cell>
          <cell r="D621" t="e">
            <v>#N/A</v>
          </cell>
        </row>
        <row r="622">
          <cell r="A622" t="str">
            <v>1RE1PSLP1541ZA</v>
          </cell>
          <cell r="B622" t="str">
            <v>SMT</v>
          </cell>
          <cell r="C622">
            <v>1</v>
          </cell>
          <cell r="D622">
            <v>471</v>
          </cell>
        </row>
        <row r="623">
          <cell r="A623" t="str">
            <v>1RE2PSLP1541ZA</v>
          </cell>
          <cell r="B623" t="str">
            <v>SMT</v>
          </cell>
          <cell r="C623">
            <v>1</v>
          </cell>
          <cell r="D623">
            <v>668</v>
          </cell>
          <cell r="E623">
            <v>2210</v>
          </cell>
          <cell r="F623" t="str">
            <v>VC01</v>
          </cell>
          <cell r="G623" t="str">
            <v>Auto</v>
          </cell>
          <cell r="H623">
            <v>311</v>
          </cell>
          <cell r="I623">
            <v>2210</v>
          </cell>
          <cell r="J623">
            <v>2220</v>
          </cell>
          <cell r="K623" t="str">
            <v>VC01</v>
          </cell>
        </row>
        <row r="624">
          <cell r="A624" t="str">
            <v>1AP1PSLP1541ZA</v>
          </cell>
          <cell r="B624" t="str">
            <v>DIP</v>
          </cell>
          <cell r="C624">
            <v>1</v>
          </cell>
          <cell r="D624" t="e">
            <v>#N/A</v>
          </cell>
          <cell r="E624">
            <v>2210</v>
          </cell>
          <cell r="F624" t="str">
            <v>VC01</v>
          </cell>
          <cell r="G624" t="str">
            <v>Auto</v>
          </cell>
          <cell r="H624">
            <v>311</v>
          </cell>
          <cell r="I624">
            <v>2210</v>
          </cell>
          <cell r="J624">
            <v>2220</v>
          </cell>
          <cell r="K624" t="str">
            <v>VC01</v>
          </cell>
        </row>
        <row r="625">
          <cell r="A625" t="str">
            <v>1RE1PSLP1584ZA</v>
          </cell>
          <cell r="B625" t="str">
            <v>SMT</v>
          </cell>
          <cell r="C625">
            <v>1</v>
          </cell>
          <cell r="D625">
            <v>82</v>
          </cell>
        </row>
        <row r="626">
          <cell r="A626" t="str">
            <v>1RE2PSLP1584ZA</v>
          </cell>
          <cell r="B626" t="str">
            <v>SMT</v>
          </cell>
          <cell r="C626">
            <v>1</v>
          </cell>
          <cell r="D626">
            <v>1</v>
          </cell>
          <cell r="E626">
            <v>2210</v>
          </cell>
          <cell r="F626" t="str">
            <v>VC01</v>
          </cell>
        </row>
        <row r="627">
          <cell r="A627" t="str">
            <v>1VI1PSLP1554ZA</v>
          </cell>
          <cell r="B627" t="str">
            <v>SMT</v>
          </cell>
          <cell r="C627">
            <v>1</v>
          </cell>
          <cell r="D627" t="e">
            <v>#N/A</v>
          </cell>
        </row>
        <row r="628">
          <cell r="A628" t="str">
            <v>1RE1PSLP1554ZA</v>
          </cell>
          <cell r="B628" t="str">
            <v>SMT</v>
          </cell>
          <cell r="C628">
            <v>1</v>
          </cell>
          <cell r="D628">
            <v>231</v>
          </cell>
        </row>
        <row r="629">
          <cell r="A629" t="str">
            <v>1RE2PSLP1554ZA</v>
          </cell>
          <cell r="B629" t="str">
            <v>SMT</v>
          </cell>
          <cell r="C629">
            <v>1</v>
          </cell>
          <cell r="D629">
            <v>134</v>
          </cell>
          <cell r="E629">
            <v>2210</v>
          </cell>
          <cell r="F629" t="str">
            <v>VC01</v>
          </cell>
          <cell r="G629" t="str">
            <v>Auto</v>
          </cell>
          <cell r="H629">
            <v>311</v>
          </cell>
          <cell r="I629">
            <v>2210</v>
          </cell>
          <cell r="J629">
            <v>2220</v>
          </cell>
          <cell r="K629" t="str">
            <v>VC01</v>
          </cell>
        </row>
        <row r="630">
          <cell r="A630" t="str">
            <v>1AP1PSLP1554ZA</v>
          </cell>
          <cell r="B630" t="str">
            <v>DIP</v>
          </cell>
          <cell r="C630">
            <v>1</v>
          </cell>
          <cell r="D630" t="e">
            <v>#N/A</v>
          </cell>
          <cell r="E630">
            <v>2210</v>
          </cell>
          <cell r="F630" t="str">
            <v>VC01</v>
          </cell>
          <cell r="G630" t="str">
            <v>Auto</v>
          </cell>
          <cell r="H630">
            <v>311</v>
          </cell>
          <cell r="I630">
            <v>2210</v>
          </cell>
          <cell r="J630">
            <v>2220</v>
          </cell>
          <cell r="K630" t="str">
            <v>VC01</v>
          </cell>
        </row>
        <row r="631">
          <cell r="A631" t="str">
            <v>1VI1PSLP1555ZA</v>
          </cell>
          <cell r="B631" t="str">
            <v>SMT</v>
          </cell>
          <cell r="C631">
            <v>1</v>
          </cell>
          <cell r="D631" t="e">
            <v>#N/A</v>
          </cell>
        </row>
        <row r="632">
          <cell r="A632" t="str">
            <v>1RE1PSLP1555ZA</v>
          </cell>
          <cell r="B632" t="str">
            <v>SMT</v>
          </cell>
          <cell r="C632">
            <v>1</v>
          </cell>
          <cell r="D632">
            <v>443</v>
          </cell>
        </row>
        <row r="633">
          <cell r="A633" t="str">
            <v>1RE2PSLP1555ZA</v>
          </cell>
          <cell r="B633" t="str">
            <v>SMT</v>
          </cell>
          <cell r="C633">
            <v>1</v>
          </cell>
          <cell r="D633">
            <v>197</v>
          </cell>
          <cell r="E633">
            <v>2210</v>
          </cell>
          <cell r="F633" t="str">
            <v>VC01</v>
          </cell>
          <cell r="G633" t="str">
            <v>Auto</v>
          </cell>
          <cell r="H633">
            <v>311</v>
          </cell>
          <cell r="I633">
            <v>2210</v>
          </cell>
          <cell r="J633">
            <v>2220</v>
          </cell>
          <cell r="K633" t="str">
            <v>VC01</v>
          </cell>
        </row>
        <row r="634">
          <cell r="A634" t="str">
            <v>1AP1PSLP1555ZA</v>
          </cell>
          <cell r="B634" t="str">
            <v>DIP</v>
          </cell>
          <cell r="C634">
            <v>1</v>
          </cell>
          <cell r="D634" t="e">
            <v>#N/A</v>
          </cell>
          <cell r="E634">
            <v>2210</v>
          </cell>
          <cell r="F634" t="str">
            <v>VC01</v>
          </cell>
          <cell r="G634" t="str">
            <v>Auto</v>
          </cell>
          <cell r="H634">
            <v>311</v>
          </cell>
          <cell r="I634">
            <v>2210</v>
          </cell>
          <cell r="J634">
            <v>2220</v>
          </cell>
          <cell r="K634" t="str">
            <v>VC01</v>
          </cell>
        </row>
        <row r="635">
          <cell r="A635" t="str">
            <v>1VJ1PSLP1565ZA</v>
          </cell>
          <cell r="B635" t="str">
            <v>SMT</v>
          </cell>
          <cell r="C635">
            <v>1</v>
          </cell>
          <cell r="D635" t="e">
            <v>#N/A</v>
          </cell>
        </row>
        <row r="636">
          <cell r="A636" t="str">
            <v>1VJ2PSLP1565ZA</v>
          </cell>
          <cell r="B636" t="str">
            <v>SMT</v>
          </cell>
          <cell r="C636">
            <v>1</v>
          </cell>
          <cell r="D636" t="e">
            <v>#N/A</v>
          </cell>
        </row>
        <row r="637">
          <cell r="A637" t="str">
            <v>1RE1PSLP1565ZA</v>
          </cell>
          <cell r="B637" t="str">
            <v>SMT</v>
          </cell>
          <cell r="C637">
            <v>1</v>
          </cell>
          <cell r="D637">
            <v>484</v>
          </cell>
        </row>
        <row r="638">
          <cell r="A638" t="str">
            <v>1RE2PSLP1565ZA</v>
          </cell>
          <cell r="B638" t="str">
            <v>SMT</v>
          </cell>
          <cell r="C638">
            <v>1</v>
          </cell>
          <cell r="D638">
            <v>703</v>
          </cell>
          <cell r="E638">
            <v>2210</v>
          </cell>
          <cell r="F638" t="str">
            <v>VC01</v>
          </cell>
          <cell r="G638" t="str">
            <v>Auto</v>
          </cell>
          <cell r="H638">
            <v>311</v>
          </cell>
          <cell r="I638">
            <v>2210</v>
          </cell>
          <cell r="J638">
            <v>2220</v>
          </cell>
          <cell r="K638" t="str">
            <v>VC01</v>
          </cell>
        </row>
        <row r="639">
          <cell r="A639" t="str">
            <v>1AP1PSLP1565ZA</v>
          </cell>
          <cell r="B639" t="str">
            <v>DIP</v>
          </cell>
          <cell r="C639">
            <v>1</v>
          </cell>
          <cell r="D639" t="e">
            <v>#N/A</v>
          </cell>
          <cell r="E639">
            <v>2210</v>
          </cell>
          <cell r="F639" t="str">
            <v>VC01</v>
          </cell>
          <cell r="G639" t="str">
            <v>Auto</v>
          </cell>
          <cell r="H639">
            <v>311</v>
          </cell>
          <cell r="I639">
            <v>2210</v>
          </cell>
          <cell r="J639">
            <v>2220</v>
          </cell>
          <cell r="K639" t="str">
            <v>VC01</v>
          </cell>
        </row>
        <row r="640">
          <cell r="A640" t="str">
            <v>1AP1PSLP1566ZA</v>
          </cell>
          <cell r="B640" t="str">
            <v>DIP</v>
          </cell>
          <cell r="C640">
            <v>1</v>
          </cell>
          <cell r="D640" t="e">
            <v>#N/A</v>
          </cell>
          <cell r="E640">
            <v>2210</v>
          </cell>
          <cell r="F640" t="str">
            <v>VC01</v>
          </cell>
          <cell r="G640" t="str">
            <v>Auto</v>
          </cell>
          <cell r="H640">
            <v>311</v>
          </cell>
          <cell r="I640">
            <v>2210</v>
          </cell>
          <cell r="J640">
            <v>2310</v>
          </cell>
          <cell r="K640" t="str">
            <v>VC01</v>
          </cell>
        </row>
        <row r="641">
          <cell r="A641" t="str">
            <v>1AP1PSLP1567ZA</v>
          </cell>
          <cell r="B641" t="str">
            <v>DIP</v>
          </cell>
          <cell r="C641">
            <v>1</v>
          </cell>
          <cell r="D641" t="e">
            <v>#N/A</v>
          </cell>
          <cell r="E641">
            <v>2210</v>
          </cell>
          <cell r="F641" t="str">
            <v>VC01</v>
          </cell>
          <cell r="G641" t="str">
            <v>Auto</v>
          </cell>
          <cell r="H641">
            <v>311</v>
          </cell>
          <cell r="I641">
            <v>2210</v>
          </cell>
          <cell r="J641">
            <v>2310</v>
          </cell>
          <cell r="K641" t="str">
            <v>VC01</v>
          </cell>
        </row>
        <row r="642">
          <cell r="A642" t="str">
            <v>1VJ1PSLP1577ZA</v>
          </cell>
          <cell r="B642" t="str">
            <v>SMT</v>
          </cell>
          <cell r="C642">
            <v>1</v>
          </cell>
          <cell r="D642" t="e">
            <v>#N/A</v>
          </cell>
        </row>
        <row r="643">
          <cell r="A643" t="str">
            <v>1VJ2PSLP1577ZA</v>
          </cell>
          <cell r="B643" t="str">
            <v>SMT</v>
          </cell>
          <cell r="C643">
            <v>1</v>
          </cell>
          <cell r="D643" t="e">
            <v>#N/A</v>
          </cell>
        </row>
        <row r="644">
          <cell r="A644" t="str">
            <v>1RE1PSLP1577ZA</v>
          </cell>
          <cell r="B644" t="str">
            <v>SMT</v>
          </cell>
          <cell r="C644">
            <v>1</v>
          </cell>
          <cell r="D644">
            <v>456</v>
          </cell>
        </row>
        <row r="645">
          <cell r="A645" t="str">
            <v>1RE2PSLP1577ZA</v>
          </cell>
          <cell r="B645" t="str">
            <v>SMT</v>
          </cell>
          <cell r="C645">
            <v>1</v>
          </cell>
          <cell r="D645">
            <v>615</v>
          </cell>
          <cell r="E645">
            <v>2210</v>
          </cell>
          <cell r="F645" t="str">
            <v>VC01</v>
          </cell>
          <cell r="G645" t="str">
            <v>Auto</v>
          </cell>
          <cell r="H645">
            <v>311</v>
          </cell>
          <cell r="I645">
            <v>2210</v>
          </cell>
          <cell r="J645">
            <v>2220</v>
          </cell>
          <cell r="K645" t="str">
            <v>VC01</v>
          </cell>
        </row>
        <row r="646">
          <cell r="A646" t="str">
            <v>1AP1PSLP1577ZA</v>
          </cell>
          <cell r="B646" t="str">
            <v>DIP</v>
          </cell>
          <cell r="C646">
            <v>1</v>
          </cell>
          <cell r="D646" t="e">
            <v>#N/A</v>
          </cell>
          <cell r="E646">
            <v>2210</v>
          </cell>
          <cell r="F646" t="str">
            <v>VC01</v>
          </cell>
          <cell r="G646" t="str">
            <v>Auto</v>
          </cell>
          <cell r="H646">
            <v>311</v>
          </cell>
          <cell r="I646">
            <v>2210</v>
          </cell>
          <cell r="J646">
            <v>2220</v>
          </cell>
          <cell r="K646" t="str">
            <v>VC01</v>
          </cell>
        </row>
        <row r="647">
          <cell r="A647" t="str">
            <v>1RE1PSLP1581ZA</v>
          </cell>
          <cell r="B647" t="str">
            <v>SMT</v>
          </cell>
          <cell r="C647">
            <v>1</v>
          </cell>
          <cell r="D647">
            <v>52</v>
          </cell>
        </row>
        <row r="648">
          <cell r="A648" t="str">
            <v>1RE2PSLP1581ZA</v>
          </cell>
          <cell r="B648" t="str">
            <v>SMT</v>
          </cell>
          <cell r="C648">
            <v>1</v>
          </cell>
          <cell r="D648">
            <v>1</v>
          </cell>
          <cell r="E648">
            <v>2210</v>
          </cell>
          <cell r="F648" t="str">
            <v>VC01</v>
          </cell>
        </row>
        <row r="649">
          <cell r="A649" t="str">
            <v>1VI1PSLP1582ZA</v>
          </cell>
          <cell r="B649" t="str">
            <v>SMT</v>
          </cell>
          <cell r="C649">
            <v>1</v>
          </cell>
          <cell r="D649" t="e">
            <v>#N/A</v>
          </cell>
        </row>
        <row r="650">
          <cell r="A650" t="str">
            <v>1VJ1PSLP1582ZA</v>
          </cell>
          <cell r="B650" t="str">
            <v>SMT</v>
          </cell>
          <cell r="C650">
            <v>1</v>
          </cell>
          <cell r="D650" t="e">
            <v>#N/A</v>
          </cell>
        </row>
        <row r="651">
          <cell r="A651" t="str">
            <v>1RE1PSLP1582ZA</v>
          </cell>
          <cell r="B651" t="str">
            <v>SMT</v>
          </cell>
          <cell r="C651">
            <v>1</v>
          </cell>
          <cell r="D651">
            <v>532</v>
          </cell>
        </row>
        <row r="652">
          <cell r="A652" t="str">
            <v>1RE2PSLP1582ZA</v>
          </cell>
          <cell r="B652" t="str">
            <v>SMT</v>
          </cell>
          <cell r="C652">
            <v>1</v>
          </cell>
          <cell r="D652">
            <v>531</v>
          </cell>
          <cell r="E652">
            <v>2210</v>
          </cell>
          <cell r="F652" t="str">
            <v>VC01</v>
          </cell>
          <cell r="G652" t="str">
            <v>Auto</v>
          </cell>
          <cell r="H652">
            <v>311</v>
          </cell>
          <cell r="I652">
            <v>2210</v>
          </cell>
          <cell r="J652">
            <v>2220</v>
          </cell>
          <cell r="K652" t="str">
            <v>VC01</v>
          </cell>
        </row>
        <row r="653">
          <cell r="A653" t="str">
            <v>1AP1PSLP1582ZA</v>
          </cell>
          <cell r="B653" t="str">
            <v>DIP</v>
          </cell>
          <cell r="C653">
            <v>1</v>
          </cell>
          <cell r="D653" t="e">
            <v>#N/A</v>
          </cell>
          <cell r="E653">
            <v>2210</v>
          </cell>
          <cell r="F653" t="str">
            <v>VC01</v>
          </cell>
          <cell r="G653" t="str">
            <v>Auto</v>
          </cell>
          <cell r="H653">
            <v>311</v>
          </cell>
          <cell r="I653">
            <v>2210</v>
          </cell>
          <cell r="J653">
            <v>2220</v>
          </cell>
          <cell r="K653" t="str">
            <v>VC01</v>
          </cell>
        </row>
        <row r="654">
          <cell r="A654" t="str">
            <v>1VI1PSLP1598ZA</v>
          </cell>
          <cell r="B654" t="str">
            <v>SMT</v>
          </cell>
          <cell r="C654">
            <v>1</v>
          </cell>
          <cell r="D654" t="e">
            <v>#N/A</v>
          </cell>
        </row>
        <row r="655">
          <cell r="A655" t="str">
            <v>1RE1PSLP1598ZA</v>
          </cell>
          <cell r="B655" t="str">
            <v>SMT</v>
          </cell>
          <cell r="C655">
            <v>1</v>
          </cell>
          <cell r="D655">
            <v>240</v>
          </cell>
        </row>
        <row r="656">
          <cell r="A656" t="str">
            <v>1RE2PSLP1598ZA</v>
          </cell>
          <cell r="B656" t="str">
            <v>SMT</v>
          </cell>
          <cell r="C656">
            <v>1</v>
          </cell>
          <cell r="D656">
            <v>167</v>
          </cell>
          <cell r="E656">
            <v>2210</v>
          </cell>
          <cell r="F656" t="str">
            <v>VC01</v>
          </cell>
          <cell r="G656" t="str">
            <v>Auto</v>
          </cell>
          <cell r="H656">
            <v>311</v>
          </cell>
          <cell r="I656">
            <v>2210</v>
          </cell>
          <cell r="J656">
            <v>2220</v>
          </cell>
          <cell r="K656" t="str">
            <v>VC01</v>
          </cell>
        </row>
        <row r="657">
          <cell r="A657" t="str">
            <v>1AP1PSLP1598ZA</v>
          </cell>
          <cell r="B657" t="str">
            <v>DIP</v>
          </cell>
          <cell r="C657">
            <v>1</v>
          </cell>
          <cell r="D657" t="e">
            <v>#N/A</v>
          </cell>
          <cell r="E657">
            <v>2210</v>
          </cell>
          <cell r="F657" t="str">
            <v>VC01</v>
          </cell>
          <cell r="G657" t="str">
            <v>Auto</v>
          </cell>
          <cell r="H657">
            <v>311</v>
          </cell>
          <cell r="I657">
            <v>2210</v>
          </cell>
          <cell r="J657">
            <v>2220</v>
          </cell>
          <cell r="K657" t="str">
            <v>VC01</v>
          </cell>
        </row>
        <row r="658">
          <cell r="A658" t="str">
            <v>1RE1PSLP1607ZA</v>
          </cell>
          <cell r="B658" t="str">
            <v>SMT</v>
          </cell>
          <cell r="C658">
            <v>1</v>
          </cell>
          <cell r="D658">
            <v>111</v>
          </cell>
          <cell r="E658">
            <v>2210</v>
          </cell>
          <cell r="F658" t="str">
            <v>VC01</v>
          </cell>
          <cell r="G658" t="str">
            <v>Auto</v>
          </cell>
          <cell r="H658">
            <v>311</v>
          </cell>
          <cell r="I658">
            <v>2210</v>
          </cell>
          <cell r="J658">
            <v>2310</v>
          </cell>
          <cell r="K658" t="str">
            <v>VC01</v>
          </cell>
        </row>
        <row r="659">
          <cell r="A659" t="str">
            <v>1AP1PSLP1607ZA</v>
          </cell>
          <cell r="B659" t="str">
            <v>DIP</v>
          </cell>
          <cell r="C659">
            <v>1</v>
          </cell>
          <cell r="D659" t="e">
            <v>#N/A</v>
          </cell>
          <cell r="E659">
            <v>2210</v>
          </cell>
          <cell r="F659" t="str">
            <v>VC01</v>
          </cell>
          <cell r="G659" t="str">
            <v>Auto</v>
          </cell>
          <cell r="H659">
            <v>311</v>
          </cell>
          <cell r="I659">
            <v>2210</v>
          </cell>
          <cell r="J659">
            <v>2310</v>
          </cell>
          <cell r="K659" t="str">
            <v>VC01</v>
          </cell>
        </row>
        <row r="660">
          <cell r="A660" t="str">
            <v>1VI1PSLP1612ZA</v>
          </cell>
          <cell r="B660" t="str">
            <v>SMT</v>
          </cell>
          <cell r="C660">
            <v>1</v>
          </cell>
          <cell r="D660" t="e">
            <v>#N/A</v>
          </cell>
        </row>
        <row r="661">
          <cell r="A661" t="str">
            <v>1RE1PSLP1612ZA</v>
          </cell>
          <cell r="B661" t="str">
            <v>SMT</v>
          </cell>
          <cell r="C661">
            <v>1</v>
          </cell>
          <cell r="D661">
            <v>703</v>
          </cell>
        </row>
        <row r="662">
          <cell r="A662" t="str">
            <v>1AP1PSLP1612ZA</v>
          </cell>
          <cell r="B662" t="str">
            <v>DIP</v>
          </cell>
          <cell r="C662">
            <v>1</v>
          </cell>
          <cell r="D662" t="e">
            <v>#N/A</v>
          </cell>
          <cell r="E662">
            <v>2210</v>
          </cell>
        </row>
        <row r="663">
          <cell r="A663" t="str">
            <v>1RE1PSLP1616ZA</v>
          </cell>
          <cell r="B663" t="str">
            <v>SMT</v>
          </cell>
          <cell r="C663">
            <v>1</v>
          </cell>
          <cell r="D663">
            <v>8</v>
          </cell>
          <cell r="E663">
            <v>2210</v>
          </cell>
          <cell r="F663" t="str">
            <v>VC01</v>
          </cell>
          <cell r="G663" t="str">
            <v>Auto</v>
          </cell>
          <cell r="H663">
            <v>311</v>
          </cell>
          <cell r="I663">
            <v>2210</v>
          </cell>
          <cell r="J663">
            <v>2310</v>
          </cell>
          <cell r="K663" t="str">
            <v>VC01</v>
          </cell>
        </row>
        <row r="664">
          <cell r="A664" t="str">
            <v>1AP1PSLP1616ZA</v>
          </cell>
          <cell r="B664" t="str">
            <v>DIP</v>
          </cell>
          <cell r="C664">
            <v>1</v>
          </cell>
          <cell r="D664" t="e">
            <v>#N/A</v>
          </cell>
          <cell r="E664">
            <v>2210</v>
          </cell>
          <cell r="F664" t="str">
            <v>VC01</v>
          </cell>
          <cell r="G664" t="str">
            <v>Auto</v>
          </cell>
          <cell r="H664">
            <v>311</v>
          </cell>
          <cell r="I664">
            <v>2210</v>
          </cell>
          <cell r="J664">
            <v>2310</v>
          </cell>
          <cell r="K664" t="str">
            <v>VC01</v>
          </cell>
        </row>
        <row r="665">
          <cell r="A665" t="str">
            <v>1RE1PSLP1620ZA</v>
          </cell>
          <cell r="B665" t="str">
            <v>SMT</v>
          </cell>
          <cell r="C665">
            <v>1</v>
          </cell>
          <cell r="D665">
            <v>7</v>
          </cell>
          <cell r="E665">
            <v>2210</v>
          </cell>
          <cell r="F665" t="str">
            <v>VC01</v>
          </cell>
          <cell r="G665" t="str">
            <v>Auto</v>
          </cell>
          <cell r="H665">
            <v>311</v>
          </cell>
          <cell r="I665">
            <v>2210</v>
          </cell>
          <cell r="J665">
            <v>2310</v>
          </cell>
          <cell r="K665" t="str">
            <v>VC01</v>
          </cell>
        </row>
        <row r="666">
          <cell r="A666" t="str">
            <v>1AP1PSLP1620ZA</v>
          </cell>
          <cell r="B666" t="str">
            <v>DIP</v>
          </cell>
          <cell r="C666">
            <v>1</v>
          </cell>
          <cell r="D666" t="e">
            <v>#N/A</v>
          </cell>
          <cell r="E666">
            <v>2210</v>
          </cell>
          <cell r="F666" t="str">
            <v>VC01</v>
          </cell>
          <cell r="G666" t="str">
            <v>Auto</v>
          </cell>
          <cell r="H666">
            <v>311</v>
          </cell>
          <cell r="I666">
            <v>2210</v>
          </cell>
          <cell r="J666">
            <v>2310</v>
          </cell>
          <cell r="K666" t="str">
            <v>VC01</v>
          </cell>
        </row>
        <row r="667">
          <cell r="A667" t="str">
            <v>1RE1PSLP1636ZA</v>
          </cell>
          <cell r="B667" t="str">
            <v>SMT</v>
          </cell>
          <cell r="C667">
            <v>1</v>
          </cell>
          <cell r="D667">
            <v>447</v>
          </cell>
        </row>
        <row r="668">
          <cell r="A668" t="str">
            <v>1RE2PSLP1636ZA</v>
          </cell>
          <cell r="B668" t="str">
            <v>SMT</v>
          </cell>
          <cell r="C668">
            <v>1</v>
          </cell>
          <cell r="D668">
            <v>570</v>
          </cell>
        </row>
        <row r="669">
          <cell r="A669" t="str">
            <v>1RH1PSLP1636ZA</v>
          </cell>
          <cell r="B669" t="str">
            <v>SMT</v>
          </cell>
          <cell r="C669">
            <v>1</v>
          </cell>
          <cell r="D669">
            <v>18</v>
          </cell>
          <cell r="E669">
            <v>2210</v>
          </cell>
          <cell r="F669" t="str">
            <v>VC01</v>
          </cell>
          <cell r="G669" t="str">
            <v>Auto</v>
          </cell>
          <cell r="H669">
            <v>311</v>
          </cell>
          <cell r="I669">
            <v>2210</v>
          </cell>
          <cell r="J669">
            <v>2220</v>
          </cell>
          <cell r="K669" t="str">
            <v>VC01</v>
          </cell>
        </row>
        <row r="670">
          <cell r="A670" t="str">
            <v>1AP1PSLP1636ZA</v>
          </cell>
          <cell r="B670" t="str">
            <v>DIP</v>
          </cell>
          <cell r="C670">
            <v>1</v>
          </cell>
          <cell r="D670" t="e">
            <v>#N/A</v>
          </cell>
          <cell r="E670">
            <v>2210</v>
          </cell>
          <cell r="F670" t="str">
            <v>VC01</v>
          </cell>
          <cell r="G670" t="str">
            <v>Auto</v>
          </cell>
          <cell r="H670">
            <v>311</v>
          </cell>
          <cell r="I670">
            <v>2210</v>
          </cell>
          <cell r="J670">
            <v>2220</v>
          </cell>
          <cell r="K670" t="str">
            <v>VC01</v>
          </cell>
        </row>
        <row r="671">
          <cell r="A671" t="str">
            <v>1RE1PSLP1641ZA</v>
          </cell>
          <cell r="B671" t="str">
            <v>SMT</v>
          </cell>
          <cell r="C671">
            <v>1</v>
          </cell>
          <cell r="D671">
            <v>53</v>
          </cell>
        </row>
        <row r="672">
          <cell r="A672" t="str">
            <v>1RE2PSLP1641ZA</v>
          </cell>
          <cell r="B672" t="str">
            <v>SMT</v>
          </cell>
          <cell r="C672">
            <v>1</v>
          </cell>
          <cell r="D672">
            <v>1</v>
          </cell>
          <cell r="E672">
            <v>2210</v>
          </cell>
          <cell r="F672" t="str">
            <v>VC01</v>
          </cell>
        </row>
        <row r="673">
          <cell r="A673" t="str">
            <v>1VI1PSLP1672ZA</v>
          </cell>
          <cell r="B673" t="str">
            <v>SMT</v>
          </cell>
          <cell r="C673">
            <v>1</v>
          </cell>
          <cell r="D673" t="e">
            <v>#N/A</v>
          </cell>
        </row>
        <row r="674">
          <cell r="A674" t="str">
            <v>1RE1PSLP1672ZA</v>
          </cell>
          <cell r="B674" t="str">
            <v>SMT</v>
          </cell>
          <cell r="C674">
            <v>1</v>
          </cell>
          <cell r="D674">
            <v>224</v>
          </cell>
        </row>
        <row r="675">
          <cell r="A675" t="str">
            <v>1RE2PSLP1672ZA</v>
          </cell>
          <cell r="B675" t="str">
            <v>SMT</v>
          </cell>
          <cell r="C675">
            <v>1</v>
          </cell>
          <cell r="D675">
            <v>113</v>
          </cell>
          <cell r="E675">
            <v>2210</v>
          </cell>
          <cell r="F675" t="str">
            <v>VC01</v>
          </cell>
          <cell r="G675" t="str">
            <v>Auto</v>
          </cell>
          <cell r="H675">
            <v>311</v>
          </cell>
          <cell r="I675">
            <v>2210</v>
          </cell>
          <cell r="J675">
            <v>2220</v>
          </cell>
          <cell r="K675" t="str">
            <v>VC01</v>
          </cell>
        </row>
        <row r="676">
          <cell r="A676" t="str">
            <v>1AP1PSLP1672ZA</v>
          </cell>
          <cell r="B676" t="str">
            <v>DIP</v>
          </cell>
          <cell r="C676">
            <v>1</v>
          </cell>
          <cell r="D676" t="e">
            <v>#N/A</v>
          </cell>
          <cell r="E676">
            <v>2210</v>
          </cell>
          <cell r="F676" t="str">
            <v>VC01</v>
          </cell>
          <cell r="G676" t="str">
            <v>Auto</v>
          </cell>
          <cell r="H676">
            <v>311</v>
          </cell>
          <cell r="I676">
            <v>2210</v>
          </cell>
          <cell r="J676">
            <v>2220</v>
          </cell>
          <cell r="K676" t="str">
            <v>VC01</v>
          </cell>
        </row>
        <row r="677">
          <cell r="A677" t="str">
            <v>1VI1PSLP1673ZA</v>
          </cell>
          <cell r="B677" t="str">
            <v>SMT</v>
          </cell>
          <cell r="C677">
            <v>1</v>
          </cell>
          <cell r="D677" t="e">
            <v>#N/A</v>
          </cell>
        </row>
        <row r="678">
          <cell r="A678" t="str">
            <v>1RE1PSLP1673ZA</v>
          </cell>
          <cell r="B678" t="str">
            <v>SMT</v>
          </cell>
          <cell r="C678">
            <v>1</v>
          </cell>
          <cell r="D678">
            <v>264</v>
          </cell>
        </row>
        <row r="679">
          <cell r="A679" t="str">
            <v>1RE2PSLP1673ZA</v>
          </cell>
          <cell r="B679" t="str">
            <v>SMT</v>
          </cell>
          <cell r="C679">
            <v>1</v>
          </cell>
          <cell r="D679">
            <v>149</v>
          </cell>
          <cell r="E679">
            <v>2210</v>
          </cell>
          <cell r="F679" t="str">
            <v>VC01</v>
          </cell>
          <cell r="G679" t="str">
            <v>Auto</v>
          </cell>
          <cell r="H679">
            <v>311</v>
          </cell>
          <cell r="I679">
            <v>2210</v>
          </cell>
          <cell r="J679">
            <v>2220</v>
          </cell>
          <cell r="K679" t="str">
            <v>VC01</v>
          </cell>
        </row>
        <row r="680">
          <cell r="A680" t="str">
            <v>1AP1PSLP1673ZA</v>
          </cell>
          <cell r="B680" t="str">
            <v>DIP</v>
          </cell>
          <cell r="C680">
            <v>1</v>
          </cell>
          <cell r="D680" t="e">
            <v>#N/A</v>
          </cell>
          <cell r="E680">
            <v>2210</v>
          </cell>
          <cell r="F680" t="str">
            <v>VC01</v>
          </cell>
          <cell r="G680" t="str">
            <v>Auto</v>
          </cell>
          <cell r="H680">
            <v>311</v>
          </cell>
          <cell r="I680">
            <v>2210</v>
          </cell>
          <cell r="J680">
            <v>2220</v>
          </cell>
          <cell r="K680" t="str">
            <v>VC01</v>
          </cell>
        </row>
        <row r="681">
          <cell r="A681" t="str">
            <v>1VI1PSLP1676ZA</v>
          </cell>
          <cell r="B681" t="str">
            <v>SMT</v>
          </cell>
          <cell r="C681">
            <v>1</v>
          </cell>
          <cell r="D681" t="e">
            <v>#N/A</v>
          </cell>
        </row>
        <row r="682">
          <cell r="A682" t="str">
            <v>1RE1PSLP1676ZA</v>
          </cell>
          <cell r="B682" t="str">
            <v>SMT</v>
          </cell>
          <cell r="C682">
            <v>1</v>
          </cell>
          <cell r="D682">
            <v>389</v>
          </cell>
        </row>
        <row r="683">
          <cell r="A683" t="str">
            <v>1RE2PSLP1676ZA</v>
          </cell>
          <cell r="B683" t="str">
            <v>SMT</v>
          </cell>
          <cell r="C683">
            <v>1</v>
          </cell>
          <cell r="D683">
            <v>229</v>
          </cell>
          <cell r="E683">
            <v>2210</v>
          </cell>
          <cell r="F683" t="str">
            <v>VC01</v>
          </cell>
          <cell r="G683" t="str">
            <v>Auto</v>
          </cell>
          <cell r="H683">
            <v>311</v>
          </cell>
          <cell r="I683">
            <v>2210</v>
          </cell>
          <cell r="J683">
            <v>2220</v>
          </cell>
          <cell r="K683" t="str">
            <v>VC01</v>
          </cell>
        </row>
        <row r="684">
          <cell r="A684" t="str">
            <v>1AP1PSLP1676ZA</v>
          </cell>
          <cell r="B684" t="str">
            <v>DIP</v>
          </cell>
          <cell r="C684">
            <v>1</v>
          </cell>
          <cell r="D684" t="e">
            <v>#N/A</v>
          </cell>
          <cell r="E684">
            <v>2210</v>
          </cell>
          <cell r="F684" t="str">
            <v>VC01</v>
          </cell>
          <cell r="G684" t="str">
            <v>Auto</v>
          </cell>
          <cell r="H684">
            <v>311</v>
          </cell>
          <cell r="I684">
            <v>2210</v>
          </cell>
          <cell r="J684">
            <v>2220</v>
          </cell>
          <cell r="K684" t="str">
            <v>VC01</v>
          </cell>
        </row>
        <row r="685">
          <cell r="A685" t="str">
            <v>1RE1PSLP1690ZA</v>
          </cell>
          <cell r="B685" t="str">
            <v>SMT</v>
          </cell>
          <cell r="C685">
            <v>1</v>
          </cell>
          <cell r="D685">
            <v>138</v>
          </cell>
          <cell r="E685">
            <v>2210</v>
          </cell>
          <cell r="F685" t="str">
            <v>VC01</v>
          </cell>
          <cell r="G685" t="str">
            <v>Auto</v>
          </cell>
          <cell r="H685">
            <v>311</v>
          </cell>
          <cell r="I685">
            <v>2210</v>
          </cell>
          <cell r="J685">
            <v>2220</v>
          </cell>
          <cell r="K685" t="str">
            <v>VC01</v>
          </cell>
        </row>
        <row r="686">
          <cell r="A686" t="str">
            <v>1AP1PSLP1690ZA</v>
          </cell>
          <cell r="B686" t="str">
            <v>DIP</v>
          </cell>
          <cell r="C686">
            <v>1</v>
          </cell>
          <cell r="D686" t="e">
            <v>#N/A</v>
          </cell>
          <cell r="E686">
            <v>2210</v>
          </cell>
          <cell r="F686" t="str">
            <v>VC01</v>
          </cell>
          <cell r="G686" t="str">
            <v>Auto</v>
          </cell>
          <cell r="H686">
            <v>311</v>
          </cell>
          <cell r="I686">
            <v>2210</v>
          </cell>
          <cell r="J686">
            <v>2220</v>
          </cell>
          <cell r="K686" t="str">
            <v>VC01</v>
          </cell>
        </row>
        <row r="687">
          <cell r="A687" t="str">
            <v>1VI1TDA0144CEV4</v>
          </cell>
          <cell r="B687" t="str">
            <v>SMT</v>
          </cell>
          <cell r="C687">
            <v>1</v>
          </cell>
          <cell r="D687" t="e">
            <v>#N/A</v>
          </cell>
        </row>
        <row r="688">
          <cell r="A688" t="str">
            <v>1VI2TDA0144CEV4</v>
          </cell>
          <cell r="B688" t="str">
            <v>SMT</v>
          </cell>
          <cell r="C688">
            <v>1</v>
          </cell>
          <cell r="D688" t="e">
            <v>#N/A</v>
          </cell>
        </row>
        <row r="689">
          <cell r="A689" t="str">
            <v>1RE1TDA0144CEV4</v>
          </cell>
          <cell r="B689" t="str">
            <v>SMT</v>
          </cell>
          <cell r="C689">
            <v>1</v>
          </cell>
          <cell r="D689">
            <v>499</v>
          </cell>
        </row>
        <row r="690">
          <cell r="A690" t="str">
            <v>1RE2TDA0144CEV4</v>
          </cell>
          <cell r="B690" t="str">
            <v>SMT</v>
          </cell>
          <cell r="C690">
            <v>1</v>
          </cell>
          <cell r="D690">
            <v>590</v>
          </cell>
        </row>
        <row r="691">
          <cell r="A691" t="str">
            <v>1RH1TDA0144CEV4</v>
          </cell>
          <cell r="B691" t="str">
            <v>SMT</v>
          </cell>
          <cell r="C691">
            <v>1</v>
          </cell>
          <cell r="D691">
            <v>17</v>
          </cell>
          <cell r="E691">
            <v>2210</v>
          </cell>
          <cell r="F691" t="str">
            <v>VC01</v>
          </cell>
          <cell r="G691" t="str">
            <v>Auto</v>
          </cell>
          <cell r="H691">
            <v>311</v>
          </cell>
          <cell r="I691">
            <v>2210</v>
          </cell>
          <cell r="J691">
            <v>2310</v>
          </cell>
          <cell r="K691" t="str">
            <v>VC01</v>
          </cell>
        </row>
        <row r="692">
          <cell r="A692" t="str">
            <v>1AP1TDA0144CEV4</v>
          </cell>
          <cell r="B692" t="str">
            <v>DIP</v>
          </cell>
          <cell r="C692">
            <v>1</v>
          </cell>
          <cell r="D692" t="e">
            <v>#N/A</v>
          </cell>
          <cell r="E692">
            <v>2210</v>
          </cell>
          <cell r="F692" t="str">
            <v>VC01</v>
          </cell>
          <cell r="G692" t="str">
            <v>Auto</v>
          </cell>
          <cell r="H692">
            <v>311</v>
          </cell>
          <cell r="I692">
            <v>2210</v>
          </cell>
          <cell r="J692">
            <v>2310</v>
          </cell>
          <cell r="K692" t="str">
            <v>VC01</v>
          </cell>
        </row>
        <row r="693">
          <cell r="A693" t="str">
            <v>1RE1TDA0161XJV4</v>
          </cell>
          <cell r="B693" t="str">
            <v>SMT</v>
          </cell>
          <cell r="C693">
            <v>1</v>
          </cell>
          <cell r="D693">
            <v>196</v>
          </cell>
        </row>
        <row r="694">
          <cell r="A694" t="str">
            <v>1RE2TDA0161XJV4</v>
          </cell>
          <cell r="B694" t="str">
            <v>SMT</v>
          </cell>
          <cell r="C694">
            <v>1</v>
          </cell>
          <cell r="D694">
            <v>67</v>
          </cell>
          <cell r="E694">
            <v>2210</v>
          </cell>
          <cell r="F694" t="str">
            <v>VC01</v>
          </cell>
          <cell r="G694" t="str">
            <v>Auto</v>
          </cell>
          <cell r="H694">
            <v>311</v>
          </cell>
          <cell r="I694">
            <v>2210</v>
          </cell>
          <cell r="J694">
            <v>2310</v>
          </cell>
          <cell r="K694" t="str">
            <v>VC01</v>
          </cell>
        </row>
        <row r="695">
          <cell r="A695" t="str">
            <v>1AP1TDA0161XJV4</v>
          </cell>
          <cell r="B695" t="str">
            <v>DIP</v>
          </cell>
          <cell r="C695">
            <v>1</v>
          </cell>
          <cell r="D695" t="e">
            <v>#N/A</v>
          </cell>
          <cell r="E695">
            <v>2210</v>
          </cell>
          <cell r="F695" t="str">
            <v>VC01</v>
          </cell>
          <cell r="G695" t="str">
            <v>Auto</v>
          </cell>
          <cell r="H695">
            <v>311</v>
          </cell>
          <cell r="I695">
            <v>2210</v>
          </cell>
          <cell r="J695">
            <v>2310</v>
          </cell>
          <cell r="K695" t="str">
            <v>VC01</v>
          </cell>
        </row>
        <row r="696">
          <cell r="A696" t="str">
            <v>1RE1TDA0161XV4</v>
          </cell>
          <cell r="B696" t="str">
            <v>SMT</v>
          </cell>
          <cell r="C696">
            <v>1</v>
          </cell>
          <cell r="D696">
            <v>196</v>
          </cell>
        </row>
        <row r="697">
          <cell r="A697" t="str">
            <v>1RE2TDA0161XV4</v>
          </cell>
          <cell r="B697" t="str">
            <v>SMT</v>
          </cell>
          <cell r="C697">
            <v>1</v>
          </cell>
          <cell r="D697">
            <v>67</v>
          </cell>
          <cell r="E697">
            <v>2210</v>
          </cell>
          <cell r="F697" t="str">
            <v>VC01</v>
          </cell>
          <cell r="G697" t="str">
            <v>Auto</v>
          </cell>
          <cell r="H697">
            <v>311</v>
          </cell>
          <cell r="I697">
            <v>2210</v>
          </cell>
          <cell r="J697">
            <v>2310</v>
          </cell>
          <cell r="K697" t="str">
            <v>VC01</v>
          </cell>
        </row>
        <row r="698">
          <cell r="A698" t="str">
            <v>1AP1TDA0161XV4</v>
          </cell>
          <cell r="B698" t="str">
            <v>DIP</v>
          </cell>
          <cell r="C698">
            <v>1</v>
          </cell>
          <cell r="D698" t="e">
            <v>#N/A</v>
          </cell>
          <cell r="E698">
            <v>2210</v>
          </cell>
          <cell r="F698" t="str">
            <v>VC01</v>
          </cell>
          <cell r="G698" t="str">
            <v>Auto</v>
          </cell>
          <cell r="H698">
            <v>311</v>
          </cell>
          <cell r="I698">
            <v>2210</v>
          </cell>
          <cell r="J698">
            <v>2310</v>
          </cell>
          <cell r="K698" t="str">
            <v>VC01</v>
          </cell>
        </row>
        <row r="699">
          <cell r="A699" t="str">
            <v>1RE1TDA0164XJV4</v>
          </cell>
          <cell r="B699" t="str">
            <v>SMT</v>
          </cell>
          <cell r="C699">
            <v>1</v>
          </cell>
          <cell r="D699">
            <v>74</v>
          </cell>
          <cell r="E699">
            <v>2210</v>
          </cell>
          <cell r="F699" t="str">
            <v>VC01</v>
          </cell>
          <cell r="G699" t="str">
            <v>Auto</v>
          </cell>
          <cell r="H699">
            <v>311</v>
          </cell>
          <cell r="I699">
            <v>2210</v>
          </cell>
          <cell r="J699">
            <v>2310</v>
          </cell>
          <cell r="K699" t="str">
            <v>VC01</v>
          </cell>
        </row>
        <row r="700">
          <cell r="A700" t="str">
            <v>1AP1TDA0164XJV4</v>
          </cell>
          <cell r="B700" t="str">
            <v>DIP</v>
          </cell>
          <cell r="C700">
            <v>1</v>
          </cell>
          <cell r="D700" t="e">
            <v>#N/A</v>
          </cell>
          <cell r="E700">
            <v>2210</v>
          </cell>
          <cell r="F700" t="str">
            <v>VC01</v>
          </cell>
          <cell r="G700" t="str">
            <v>Auto</v>
          </cell>
          <cell r="H700">
            <v>311</v>
          </cell>
          <cell r="I700">
            <v>2210</v>
          </cell>
          <cell r="J700">
            <v>2310</v>
          </cell>
          <cell r="K700" t="str">
            <v>VC01</v>
          </cell>
        </row>
        <row r="701">
          <cell r="A701" t="str">
            <v>1VJ1TDA0170XJV4</v>
          </cell>
          <cell r="B701" t="str">
            <v>SMT</v>
          </cell>
          <cell r="C701">
            <v>1</v>
          </cell>
          <cell r="D701" t="e">
            <v>#N/A</v>
          </cell>
        </row>
        <row r="702">
          <cell r="A702" t="str">
            <v>1RE1TDA0170XJV4</v>
          </cell>
          <cell r="B702" t="str">
            <v>SMT</v>
          </cell>
          <cell r="C702">
            <v>1</v>
          </cell>
          <cell r="D702">
            <v>779</v>
          </cell>
        </row>
        <row r="703">
          <cell r="A703" t="str">
            <v>1RE2TDA0170XJV4</v>
          </cell>
          <cell r="B703" t="str">
            <v>SMT</v>
          </cell>
          <cell r="C703">
            <v>1</v>
          </cell>
          <cell r="D703">
            <v>501</v>
          </cell>
        </row>
        <row r="704">
          <cell r="A704" t="str">
            <v>1RH1TDA0170XJV4</v>
          </cell>
          <cell r="B704" t="str">
            <v>SMT</v>
          </cell>
          <cell r="C704">
            <v>1</v>
          </cell>
          <cell r="D704">
            <v>102</v>
          </cell>
          <cell r="E704">
            <v>2210</v>
          </cell>
          <cell r="F704" t="str">
            <v>VC01</v>
          </cell>
          <cell r="G704" t="str">
            <v>Auto</v>
          </cell>
          <cell r="H704">
            <v>311</v>
          </cell>
          <cell r="I704">
            <v>2210</v>
          </cell>
          <cell r="J704">
            <v>2310</v>
          </cell>
          <cell r="K704" t="str">
            <v>VC01</v>
          </cell>
        </row>
        <row r="705">
          <cell r="A705" t="str">
            <v>1AP1TDA0170XJV4</v>
          </cell>
          <cell r="B705" t="str">
            <v>DIP</v>
          </cell>
          <cell r="C705">
            <v>1</v>
          </cell>
          <cell r="D705" t="e">
            <v>#N/A</v>
          </cell>
          <cell r="E705">
            <v>2210</v>
          </cell>
          <cell r="F705" t="str">
            <v>VC01</v>
          </cell>
          <cell r="G705" t="str">
            <v>Auto</v>
          </cell>
          <cell r="H705">
            <v>311</v>
          </cell>
          <cell r="I705">
            <v>2210</v>
          </cell>
          <cell r="J705">
            <v>2310</v>
          </cell>
          <cell r="K705" t="str">
            <v>VC01</v>
          </cell>
        </row>
        <row r="706">
          <cell r="A706" t="str">
            <v>1VJ1TDA0170XV4</v>
          </cell>
          <cell r="B706" t="str">
            <v>SMT</v>
          </cell>
          <cell r="C706">
            <v>1</v>
          </cell>
          <cell r="D706" t="e">
            <v>#N/A</v>
          </cell>
        </row>
        <row r="707">
          <cell r="A707" t="str">
            <v>1RE1TDA0170XV4</v>
          </cell>
          <cell r="B707" t="str">
            <v>SMT</v>
          </cell>
          <cell r="C707">
            <v>1</v>
          </cell>
          <cell r="D707">
            <v>779</v>
          </cell>
        </row>
        <row r="708">
          <cell r="A708" t="str">
            <v>1RE2TDA0170XV4</v>
          </cell>
          <cell r="B708" t="str">
            <v>SMT</v>
          </cell>
          <cell r="C708">
            <v>1</v>
          </cell>
          <cell r="D708">
            <v>501</v>
          </cell>
        </row>
        <row r="709">
          <cell r="A709" t="str">
            <v>1RH1TDA0170XV4</v>
          </cell>
          <cell r="B709" t="str">
            <v>SMT</v>
          </cell>
          <cell r="C709">
            <v>1</v>
          </cell>
          <cell r="D709">
            <v>102</v>
          </cell>
          <cell r="E709">
            <v>2210</v>
          </cell>
          <cell r="F709" t="str">
            <v>VC01</v>
          </cell>
          <cell r="G709" t="str">
            <v>Auto</v>
          </cell>
          <cell r="H709">
            <v>311</v>
          </cell>
          <cell r="I709">
            <v>2210</v>
          </cell>
          <cell r="J709">
            <v>2310</v>
          </cell>
          <cell r="K709" t="str">
            <v>VC01</v>
          </cell>
        </row>
        <row r="710">
          <cell r="A710" t="str">
            <v>1AP1TDA0170XV4</v>
          </cell>
          <cell r="B710" t="str">
            <v>DIP</v>
          </cell>
          <cell r="C710">
            <v>1</v>
          </cell>
          <cell r="D710" t="e">
            <v>#N/A</v>
          </cell>
          <cell r="E710">
            <v>2210</v>
          </cell>
          <cell r="F710" t="str">
            <v>VC01</v>
          </cell>
          <cell r="G710" t="str">
            <v>Auto</v>
          </cell>
          <cell r="H710">
            <v>311</v>
          </cell>
          <cell r="I710">
            <v>2210</v>
          </cell>
          <cell r="J710">
            <v>2310</v>
          </cell>
          <cell r="K710" t="str">
            <v>VC01</v>
          </cell>
        </row>
        <row r="711">
          <cell r="A711" t="str">
            <v>1VJ1TDA0171XJV4</v>
          </cell>
          <cell r="B711" t="str">
            <v>SMT</v>
          </cell>
          <cell r="C711">
            <v>1</v>
          </cell>
          <cell r="D711" t="e">
            <v>#N/A</v>
          </cell>
        </row>
        <row r="712">
          <cell r="A712" t="str">
            <v>1RE1TDA0171XJV4</v>
          </cell>
          <cell r="B712" t="str">
            <v>SMT</v>
          </cell>
          <cell r="C712">
            <v>1</v>
          </cell>
          <cell r="D712">
            <v>400</v>
          </cell>
        </row>
        <row r="713">
          <cell r="A713" t="str">
            <v>1RE2TDA0171XJV4</v>
          </cell>
          <cell r="B713" t="str">
            <v>SMT</v>
          </cell>
          <cell r="C713">
            <v>1</v>
          </cell>
          <cell r="D713">
            <v>317</v>
          </cell>
        </row>
        <row r="714">
          <cell r="A714" t="str">
            <v>1RH1TDA0171XJV4</v>
          </cell>
          <cell r="B714" t="str">
            <v>SMT</v>
          </cell>
          <cell r="C714">
            <v>1</v>
          </cell>
          <cell r="D714">
            <v>33</v>
          </cell>
          <cell r="E714">
            <v>2210</v>
          </cell>
          <cell r="F714" t="str">
            <v>VC01</v>
          </cell>
          <cell r="G714" t="str">
            <v>Auto</v>
          </cell>
          <cell r="H714">
            <v>311</v>
          </cell>
          <cell r="I714">
            <v>2210</v>
          </cell>
          <cell r="J714">
            <v>2310</v>
          </cell>
          <cell r="K714" t="str">
            <v>VC01</v>
          </cell>
        </row>
        <row r="715">
          <cell r="A715" t="str">
            <v>1AP1TDA0171XJV4</v>
          </cell>
          <cell r="B715" t="str">
            <v>DIP</v>
          </cell>
          <cell r="C715">
            <v>1</v>
          </cell>
          <cell r="D715" t="e">
            <v>#N/A</v>
          </cell>
          <cell r="E715">
            <v>2210</v>
          </cell>
          <cell r="F715" t="str">
            <v>VC01</v>
          </cell>
          <cell r="G715" t="str">
            <v>Auto</v>
          </cell>
          <cell r="H715">
            <v>311</v>
          </cell>
          <cell r="I715">
            <v>2210</v>
          </cell>
          <cell r="J715">
            <v>2310</v>
          </cell>
          <cell r="K715" t="str">
            <v>VC01</v>
          </cell>
        </row>
        <row r="716">
          <cell r="A716" t="str">
            <v>1VI1TDA0172CXV4</v>
          </cell>
          <cell r="B716" t="str">
            <v>SMT</v>
          </cell>
          <cell r="C716">
            <v>1</v>
          </cell>
          <cell r="D716" t="e">
            <v>#N/A</v>
          </cell>
        </row>
        <row r="717">
          <cell r="A717" t="str">
            <v>1RE1TDA0172CXV4</v>
          </cell>
          <cell r="B717" t="str">
            <v>SMT</v>
          </cell>
          <cell r="C717">
            <v>1</v>
          </cell>
          <cell r="D717">
            <v>625</v>
          </cell>
        </row>
        <row r="718">
          <cell r="A718" t="str">
            <v>1RE2TDA0172CXV4</v>
          </cell>
          <cell r="B718" t="str">
            <v>SMT</v>
          </cell>
          <cell r="C718">
            <v>1</v>
          </cell>
          <cell r="D718">
            <v>595</v>
          </cell>
        </row>
        <row r="719">
          <cell r="A719" t="str">
            <v>1RH1TDA0172CXV4</v>
          </cell>
          <cell r="B719" t="str">
            <v>SMT</v>
          </cell>
          <cell r="C719">
            <v>1</v>
          </cell>
          <cell r="D719">
            <v>41</v>
          </cell>
          <cell r="E719">
            <v>2210</v>
          </cell>
          <cell r="F719" t="str">
            <v>VC01</v>
          </cell>
          <cell r="G719" t="str">
            <v>Auto</v>
          </cell>
          <cell r="H719">
            <v>311</v>
          </cell>
          <cell r="I719">
            <v>2210</v>
          </cell>
          <cell r="J719">
            <v>2310</v>
          </cell>
          <cell r="K719" t="str">
            <v>VC01</v>
          </cell>
        </row>
        <row r="720">
          <cell r="A720" t="str">
            <v>1AP1TDA0172CXV4</v>
          </cell>
          <cell r="B720" t="str">
            <v>DIP</v>
          </cell>
          <cell r="C720">
            <v>1</v>
          </cell>
          <cell r="D720" t="e">
            <v>#N/A</v>
          </cell>
          <cell r="E720">
            <v>2210</v>
          </cell>
          <cell r="F720" t="str">
            <v>VC01</v>
          </cell>
          <cell r="G720" t="str">
            <v>Auto</v>
          </cell>
          <cell r="H720">
            <v>311</v>
          </cell>
          <cell r="I720">
            <v>2210</v>
          </cell>
          <cell r="J720">
            <v>2310</v>
          </cell>
          <cell r="K720" t="str">
            <v>VC01</v>
          </cell>
        </row>
        <row r="721">
          <cell r="A721" t="str">
            <v>1VI1TDA0172XJSX</v>
          </cell>
          <cell r="B721" t="str">
            <v>SMT</v>
          </cell>
          <cell r="C721">
            <v>1</v>
          </cell>
          <cell r="D721" t="e">
            <v>#N/A</v>
          </cell>
        </row>
        <row r="722">
          <cell r="A722" t="str">
            <v>1RE1TDA0172XJSX</v>
          </cell>
          <cell r="B722" t="str">
            <v>SMT</v>
          </cell>
          <cell r="C722">
            <v>1</v>
          </cell>
          <cell r="D722">
            <v>626</v>
          </cell>
        </row>
        <row r="723">
          <cell r="A723" t="str">
            <v>1RE2TDA0172XJSX</v>
          </cell>
          <cell r="B723" t="str">
            <v>SMT</v>
          </cell>
          <cell r="C723">
            <v>1</v>
          </cell>
          <cell r="D723">
            <v>595</v>
          </cell>
        </row>
        <row r="724">
          <cell r="A724" t="str">
            <v>1RH1TDA0172XJSX</v>
          </cell>
          <cell r="B724" t="str">
            <v>SMT</v>
          </cell>
          <cell r="C724">
            <v>1</v>
          </cell>
          <cell r="D724">
            <v>41</v>
          </cell>
          <cell r="E724">
            <v>2210</v>
          </cell>
          <cell r="F724" t="str">
            <v>VC01</v>
          </cell>
          <cell r="G724" t="str">
            <v>Auto</v>
          </cell>
          <cell r="H724">
            <v>311</v>
          </cell>
          <cell r="I724">
            <v>2210</v>
          </cell>
          <cell r="J724">
            <v>2310</v>
          </cell>
          <cell r="K724" t="str">
            <v>VC01</v>
          </cell>
        </row>
        <row r="725">
          <cell r="A725" t="str">
            <v>1AP1TDA0172XJSX</v>
          </cell>
          <cell r="B725" t="str">
            <v>DIP</v>
          </cell>
          <cell r="C725">
            <v>1</v>
          </cell>
          <cell r="D725" t="e">
            <v>#N/A</v>
          </cell>
          <cell r="E725">
            <v>2210</v>
          </cell>
          <cell r="F725" t="str">
            <v>VC01</v>
          </cell>
          <cell r="G725" t="str">
            <v>Auto</v>
          </cell>
          <cell r="H725">
            <v>311</v>
          </cell>
          <cell r="I725">
            <v>2210</v>
          </cell>
          <cell r="J725">
            <v>2310</v>
          </cell>
          <cell r="K725" t="str">
            <v>VC01</v>
          </cell>
        </row>
        <row r="726">
          <cell r="A726" t="str">
            <v>1VI1TDA0172XJV4</v>
          </cell>
          <cell r="B726" t="str">
            <v>SMT</v>
          </cell>
          <cell r="C726">
            <v>1</v>
          </cell>
          <cell r="D726" t="e">
            <v>#N/A</v>
          </cell>
        </row>
        <row r="727">
          <cell r="A727" t="str">
            <v>1RE1TDA0172XJV4</v>
          </cell>
          <cell r="B727" t="str">
            <v>SMT</v>
          </cell>
          <cell r="C727">
            <v>1</v>
          </cell>
          <cell r="D727">
            <v>626</v>
          </cell>
        </row>
        <row r="728">
          <cell r="A728" t="str">
            <v>1RE2TDA0172XJV4</v>
          </cell>
          <cell r="B728" t="str">
            <v>SMT</v>
          </cell>
          <cell r="C728">
            <v>1</v>
          </cell>
          <cell r="D728">
            <v>595</v>
          </cell>
        </row>
        <row r="729">
          <cell r="A729" t="str">
            <v>1RH1TDA0172XJV4</v>
          </cell>
          <cell r="B729" t="str">
            <v>SMT</v>
          </cell>
          <cell r="C729">
            <v>1</v>
          </cell>
          <cell r="D729">
            <v>41</v>
          </cell>
          <cell r="E729">
            <v>2210</v>
          </cell>
          <cell r="F729" t="str">
            <v>VC01</v>
          </cell>
          <cell r="G729" t="str">
            <v>Auto</v>
          </cell>
          <cell r="H729">
            <v>311</v>
          </cell>
          <cell r="I729">
            <v>2210</v>
          </cell>
          <cell r="J729">
            <v>2310</v>
          </cell>
          <cell r="K729" t="str">
            <v>VC01</v>
          </cell>
        </row>
        <row r="730">
          <cell r="A730" t="str">
            <v>1AP1TDA0172XJV4</v>
          </cell>
          <cell r="B730" t="str">
            <v>DIP</v>
          </cell>
          <cell r="C730">
            <v>1</v>
          </cell>
          <cell r="D730" t="e">
            <v>#N/A</v>
          </cell>
          <cell r="E730">
            <v>2210</v>
          </cell>
          <cell r="F730" t="str">
            <v>VC01</v>
          </cell>
          <cell r="G730" t="str">
            <v>Auto</v>
          </cell>
          <cell r="H730">
            <v>311</v>
          </cell>
          <cell r="I730">
            <v>2210</v>
          </cell>
          <cell r="J730">
            <v>2310</v>
          </cell>
          <cell r="K730" t="str">
            <v>VC01</v>
          </cell>
        </row>
        <row r="731">
          <cell r="A731" t="str">
            <v>1VI1TDA0172XV4</v>
          </cell>
          <cell r="B731" t="str">
            <v>SMT</v>
          </cell>
          <cell r="C731">
            <v>1</v>
          </cell>
          <cell r="D731" t="e">
            <v>#N/A</v>
          </cell>
        </row>
        <row r="732">
          <cell r="A732" t="str">
            <v>1RE1TDA0172XV4</v>
          </cell>
          <cell r="B732" t="str">
            <v>SMT</v>
          </cell>
          <cell r="C732">
            <v>1</v>
          </cell>
          <cell r="D732">
            <v>626</v>
          </cell>
        </row>
        <row r="733">
          <cell r="A733" t="str">
            <v>1RE2TDA0172XV4</v>
          </cell>
          <cell r="B733" t="str">
            <v>SMT</v>
          </cell>
          <cell r="C733">
            <v>1</v>
          </cell>
          <cell r="D733">
            <v>595</v>
          </cell>
        </row>
        <row r="734">
          <cell r="A734" t="str">
            <v>1RH1TDA0172XV4</v>
          </cell>
          <cell r="B734" t="str">
            <v>SMT</v>
          </cell>
          <cell r="C734">
            <v>1</v>
          </cell>
          <cell r="D734">
            <v>41</v>
          </cell>
          <cell r="E734">
            <v>2210</v>
          </cell>
          <cell r="F734" t="str">
            <v>VC01</v>
          </cell>
          <cell r="G734" t="str">
            <v>Auto</v>
          </cell>
          <cell r="H734">
            <v>311</v>
          </cell>
          <cell r="I734">
            <v>2210</v>
          </cell>
          <cell r="J734">
            <v>2310</v>
          </cell>
          <cell r="K734" t="str">
            <v>VC01</v>
          </cell>
        </row>
        <row r="735">
          <cell r="A735" t="str">
            <v>1AP1TDA0172XV4</v>
          </cell>
          <cell r="B735" t="str">
            <v>DIP</v>
          </cell>
          <cell r="C735">
            <v>1</v>
          </cell>
          <cell r="D735" t="e">
            <v>#N/A</v>
          </cell>
          <cell r="E735">
            <v>2210</v>
          </cell>
          <cell r="F735" t="str">
            <v>VC01</v>
          </cell>
          <cell r="G735" t="str">
            <v>Auto</v>
          </cell>
          <cell r="H735">
            <v>311</v>
          </cell>
          <cell r="I735">
            <v>2210</v>
          </cell>
          <cell r="J735">
            <v>2310</v>
          </cell>
          <cell r="K735" t="str">
            <v>VC01</v>
          </cell>
        </row>
        <row r="736">
          <cell r="A736" t="str">
            <v>1VJ1TDA0173XJV4</v>
          </cell>
          <cell r="B736" t="str">
            <v>SMT</v>
          </cell>
          <cell r="C736">
            <v>1</v>
          </cell>
          <cell r="D736" t="e">
            <v>#N/A</v>
          </cell>
        </row>
        <row r="737">
          <cell r="A737" t="str">
            <v>1RE1TDA0173XJV4</v>
          </cell>
          <cell r="B737" t="str">
            <v>SMT</v>
          </cell>
          <cell r="C737">
            <v>1</v>
          </cell>
          <cell r="D737">
            <v>578</v>
          </cell>
        </row>
        <row r="738">
          <cell r="A738" t="str">
            <v>1RE2TDA0173XJV4</v>
          </cell>
          <cell r="B738" t="str">
            <v>SMT</v>
          </cell>
          <cell r="C738">
            <v>1</v>
          </cell>
          <cell r="D738">
            <v>285</v>
          </cell>
        </row>
        <row r="739">
          <cell r="A739" t="str">
            <v>1RH1TDA0173XJV4</v>
          </cell>
          <cell r="B739" t="str">
            <v>SMT</v>
          </cell>
          <cell r="C739">
            <v>1</v>
          </cell>
          <cell r="D739">
            <v>76</v>
          </cell>
          <cell r="E739">
            <v>2210</v>
          </cell>
          <cell r="F739" t="str">
            <v>VC01</v>
          </cell>
          <cell r="G739" t="str">
            <v>Auto</v>
          </cell>
          <cell r="H739">
            <v>311</v>
          </cell>
          <cell r="I739">
            <v>2210</v>
          </cell>
          <cell r="J739">
            <v>2310</v>
          </cell>
          <cell r="K739" t="str">
            <v>VC01</v>
          </cell>
        </row>
        <row r="740">
          <cell r="A740" t="str">
            <v>1AP1TDA0173XJV4</v>
          </cell>
          <cell r="B740" t="str">
            <v>DIP</v>
          </cell>
          <cell r="C740">
            <v>1</v>
          </cell>
          <cell r="D740" t="e">
            <v>#N/A</v>
          </cell>
          <cell r="E740">
            <v>2210</v>
          </cell>
          <cell r="F740" t="str">
            <v>VC01</v>
          </cell>
          <cell r="G740" t="str">
            <v>Auto</v>
          </cell>
          <cell r="H740">
            <v>311</v>
          </cell>
          <cell r="I740">
            <v>2210</v>
          </cell>
          <cell r="J740">
            <v>2310</v>
          </cell>
          <cell r="K740" t="str">
            <v>VC01</v>
          </cell>
        </row>
        <row r="741">
          <cell r="A741" t="str">
            <v>1RE1TDA0174XJV4</v>
          </cell>
          <cell r="B741" t="str">
            <v>SMT</v>
          </cell>
          <cell r="C741">
            <v>1</v>
          </cell>
          <cell r="D741">
            <v>197</v>
          </cell>
        </row>
        <row r="742">
          <cell r="A742" t="str">
            <v>1RE2TDA0174XJV4</v>
          </cell>
          <cell r="B742" t="str">
            <v>SMT</v>
          </cell>
          <cell r="C742">
            <v>1</v>
          </cell>
          <cell r="D742">
            <v>381</v>
          </cell>
        </row>
        <row r="743">
          <cell r="A743" t="str">
            <v>1RH1TDA0174XJV4</v>
          </cell>
          <cell r="B743" t="str">
            <v>SMT</v>
          </cell>
          <cell r="C743">
            <v>1</v>
          </cell>
          <cell r="D743">
            <v>101</v>
          </cell>
          <cell r="E743">
            <v>2210</v>
          </cell>
          <cell r="F743" t="str">
            <v>VC01</v>
          </cell>
          <cell r="G743" t="str">
            <v>Auto</v>
          </cell>
          <cell r="H743">
            <v>311</v>
          </cell>
          <cell r="I743">
            <v>2210</v>
          </cell>
          <cell r="J743">
            <v>2310</v>
          </cell>
          <cell r="K743" t="str">
            <v>VC01</v>
          </cell>
        </row>
        <row r="744">
          <cell r="A744" t="str">
            <v>1AP1TDA0174XJV4</v>
          </cell>
          <cell r="B744" t="str">
            <v>DIP</v>
          </cell>
          <cell r="C744">
            <v>1</v>
          </cell>
          <cell r="D744" t="e">
            <v>#N/A</v>
          </cell>
          <cell r="E744">
            <v>2210</v>
          </cell>
          <cell r="F744" t="str">
            <v>VC01</v>
          </cell>
          <cell r="G744" t="str">
            <v>Auto</v>
          </cell>
          <cell r="H744">
            <v>311</v>
          </cell>
          <cell r="I744">
            <v>2210</v>
          </cell>
          <cell r="J744">
            <v>2310</v>
          </cell>
          <cell r="K744" t="str">
            <v>VC01</v>
          </cell>
        </row>
        <row r="745">
          <cell r="A745" t="str">
            <v>1RE1TDA0174XV4</v>
          </cell>
          <cell r="B745" t="str">
            <v>SMT</v>
          </cell>
          <cell r="C745">
            <v>1</v>
          </cell>
          <cell r="D745">
            <v>197</v>
          </cell>
        </row>
        <row r="746">
          <cell r="A746" t="str">
            <v>1RE2TDA0174XV4</v>
          </cell>
          <cell r="B746" t="str">
            <v>SMT</v>
          </cell>
          <cell r="C746">
            <v>1</v>
          </cell>
          <cell r="D746">
            <v>381</v>
          </cell>
        </row>
        <row r="747">
          <cell r="A747" t="str">
            <v>1RH1TDA0174XV4</v>
          </cell>
          <cell r="B747" t="str">
            <v>SMT</v>
          </cell>
          <cell r="C747">
            <v>1</v>
          </cell>
          <cell r="D747">
            <v>101</v>
          </cell>
          <cell r="E747">
            <v>2210</v>
          </cell>
          <cell r="F747" t="str">
            <v>VC01</v>
          </cell>
          <cell r="G747" t="str">
            <v>Auto</v>
          </cell>
          <cell r="H747">
            <v>311</v>
          </cell>
          <cell r="I747">
            <v>2210</v>
          </cell>
          <cell r="J747">
            <v>2310</v>
          </cell>
          <cell r="K747" t="str">
            <v>VC01</v>
          </cell>
        </row>
        <row r="748">
          <cell r="A748" t="str">
            <v>1AP1TDA0174XV4</v>
          </cell>
          <cell r="B748" t="str">
            <v>DIP</v>
          </cell>
          <cell r="C748">
            <v>1</v>
          </cell>
          <cell r="D748" t="e">
            <v>#N/A</v>
          </cell>
          <cell r="E748">
            <v>2210</v>
          </cell>
          <cell r="F748" t="str">
            <v>VC01</v>
          </cell>
          <cell r="G748" t="str">
            <v>Auto</v>
          </cell>
          <cell r="H748">
            <v>311</v>
          </cell>
          <cell r="I748">
            <v>2210</v>
          </cell>
          <cell r="J748">
            <v>2310</v>
          </cell>
          <cell r="K748" t="str">
            <v>VC01</v>
          </cell>
        </row>
        <row r="749">
          <cell r="A749" t="str">
            <v>1VJ1TDA0177XJSX</v>
          </cell>
          <cell r="B749" t="str">
            <v>SMT</v>
          </cell>
          <cell r="C749">
            <v>1</v>
          </cell>
          <cell r="D749" t="e">
            <v>#N/A</v>
          </cell>
        </row>
        <row r="750">
          <cell r="A750" t="str">
            <v>1RE1TDA0177XJSX</v>
          </cell>
          <cell r="B750" t="str">
            <v>SMT</v>
          </cell>
          <cell r="C750">
            <v>1</v>
          </cell>
          <cell r="D750">
            <v>240</v>
          </cell>
        </row>
        <row r="751">
          <cell r="A751" t="str">
            <v>1RE2TDA0177XJSX</v>
          </cell>
          <cell r="B751" t="str">
            <v>SMT</v>
          </cell>
          <cell r="C751">
            <v>1</v>
          </cell>
          <cell r="D751">
            <v>456</v>
          </cell>
        </row>
        <row r="752">
          <cell r="A752" t="str">
            <v>1RH1TDA0177XJSX</v>
          </cell>
          <cell r="B752" t="str">
            <v>SMT</v>
          </cell>
          <cell r="C752">
            <v>1</v>
          </cell>
          <cell r="D752">
            <v>101</v>
          </cell>
          <cell r="E752">
            <v>2210</v>
          </cell>
          <cell r="F752" t="str">
            <v>VC01</v>
          </cell>
          <cell r="G752" t="str">
            <v>Auto</v>
          </cell>
          <cell r="H752">
            <v>311</v>
          </cell>
          <cell r="I752">
            <v>2210</v>
          </cell>
          <cell r="J752">
            <v>2310</v>
          </cell>
          <cell r="K752" t="str">
            <v>VC01</v>
          </cell>
        </row>
        <row r="753">
          <cell r="A753" t="str">
            <v>1AP1TDA0177XJSX</v>
          </cell>
          <cell r="B753" t="str">
            <v>DIP</v>
          </cell>
          <cell r="C753">
            <v>1</v>
          </cell>
          <cell r="D753" t="e">
            <v>#N/A</v>
          </cell>
          <cell r="E753">
            <v>2210</v>
          </cell>
          <cell r="F753" t="str">
            <v>VC01</v>
          </cell>
          <cell r="G753" t="str">
            <v>Auto</v>
          </cell>
          <cell r="H753">
            <v>311</v>
          </cell>
          <cell r="I753">
            <v>2210</v>
          </cell>
          <cell r="J753">
            <v>2310</v>
          </cell>
          <cell r="K753" t="str">
            <v>VC01</v>
          </cell>
        </row>
        <row r="754">
          <cell r="A754" t="str">
            <v>1VJ1TDA0177XJV4</v>
          </cell>
          <cell r="B754" t="str">
            <v>SMT</v>
          </cell>
          <cell r="C754">
            <v>1</v>
          </cell>
          <cell r="D754" t="e">
            <v>#N/A</v>
          </cell>
        </row>
        <row r="755">
          <cell r="A755" t="str">
            <v>1RE1TDA0177XJV4</v>
          </cell>
          <cell r="B755" t="str">
            <v>SMT</v>
          </cell>
          <cell r="C755">
            <v>1</v>
          </cell>
          <cell r="D755">
            <v>239</v>
          </cell>
        </row>
        <row r="756">
          <cell r="A756" t="str">
            <v>1RE2TDA0177XJV4</v>
          </cell>
          <cell r="B756" t="str">
            <v>SMT</v>
          </cell>
          <cell r="C756">
            <v>1</v>
          </cell>
          <cell r="D756">
            <v>455</v>
          </cell>
        </row>
        <row r="757">
          <cell r="A757" t="str">
            <v>1RH1TDA0177XJV4</v>
          </cell>
          <cell r="B757" t="str">
            <v>SMT</v>
          </cell>
          <cell r="C757">
            <v>1</v>
          </cell>
          <cell r="D757">
            <v>101</v>
          </cell>
          <cell r="E757">
            <v>2210</v>
          </cell>
          <cell r="F757" t="str">
            <v>VC01</v>
          </cell>
          <cell r="G757" t="str">
            <v>Auto</v>
          </cell>
          <cell r="H757">
            <v>311</v>
          </cell>
          <cell r="I757">
            <v>2210</v>
          </cell>
          <cell r="J757">
            <v>2310</v>
          </cell>
          <cell r="K757" t="str">
            <v>VC01</v>
          </cell>
        </row>
        <row r="758">
          <cell r="A758" t="str">
            <v>1AP1TDA0177XJV4</v>
          </cell>
          <cell r="B758" t="str">
            <v>DIP</v>
          </cell>
          <cell r="C758">
            <v>1</v>
          </cell>
          <cell r="D758" t="e">
            <v>#N/A</v>
          </cell>
          <cell r="E758">
            <v>2210</v>
          </cell>
          <cell r="F758" t="str">
            <v>VC01</v>
          </cell>
          <cell r="G758" t="str">
            <v>Auto</v>
          </cell>
          <cell r="H758">
            <v>311</v>
          </cell>
          <cell r="I758">
            <v>2210</v>
          </cell>
          <cell r="J758">
            <v>2310</v>
          </cell>
          <cell r="K758" t="str">
            <v>VC01</v>
          </cell>
        </row>
        <row r="759">
          <cell r="A759" t="str">
            <v>1RE1TDA0180XV4</v>
          </cell>
          <cell r="B759" t="str">
            <v>SMT</v>
          </cell>
          <cell r="C759">
            <v>1</v>
          </cell>
          <cell r="D759">
            <v>440</v>
          </cell>
        </row>
        <row r="760">
          <cell r="A760" t="str">
            <v>1RH1TDA0180XV4</v>
          </cell>
          <cell r="B760" t="str">
            <v>SMT</v>
          </cell>
          <cell r="C760">
            <v>1</v>
          </cell>
          <cell r="D760">
            <v>41</v>
          </cell>
        </row>
        <row r="761">
          <cell r="A761" t="str">
            <v>1CM1TDA0180XV4</v>
          </cell>
          <cell r="B761" t="str">
            <v>SMT</v>
          </cell>
          <cell r="C761">
            <v>1</v>
          </cell>
          <cell r="D761">
            <v>275</v>
          </cell>
          <cell r="E761">
            <v>2210</v>
          </cell>
          <cell r="F761" t="str">
            <v>VC01</v>
          </cell>
          <cell r="G761" t="str">
            <v>Auto</v>
          </cell>
          <cell r="H761">
            <v>311</v>
          </cell>
          <cell r="I761">
            <v>2210</v>
          </cell>
          <cell r="J761">
            <v>2310</v>
          </cell>
          <cell r="K761" t="str">
            <v>VC01</v>
          </cell>
        </row>
        <row r="762">
          <cell r="A762" t="str">
            <v>1AP1TDA0180XV4</v>
          </cell>
          <cell r="B762" t="str">
            <v>DIP</v>
          </cell>
          <cell r="C762">
            <v>1</v>
          </cell>
          <cell r="D762" t="e">
            <v>#N/A</v>
          </cell>
          <cell r="E762">
            <v>2210</v>
          </cell>
          <cell r="F762" t="str">
            <v>VC01</v>
          </cell>
          <cell r="G762" t="str">
            <v>Auto</v>
          </cell>
          <cell r="H762">
            <v>311</v>
          </cell>
          <cell r="I762">
            <v>2210</v>
          </cell>
          <cell r="J762">
            <v>2310</v>
          </cell>
          <cell r="K762" t="str">
            <v>VC01</v>
          </cell>
        </row>
        <row r="763">
          <cell r="A763" t="str">
            <v>1RE1TDA0181XV4</v>
          </cell>
          <cell r="B763" t="str">
            <v>SMT</v>
          </cell>
          <cell r="C763">
            <v>1</v>
          </cell>
          <cell r="D763">
            <v>878</v>
          </cell>
        </row>
        <row r="764">
          <cell r="A764" t="str">
            <v>1RE2TDA0181XV4</v>
          </cell>
          <cell r="B764" t="str">
            <v>SMT</v>
          </cell>
          <cell r="C764">
            <v>1</v>
          </cell>
          <cell r="D764">
            <v>446</v>
          </cell>
          <cell r="E764">
            <v>2210</v>
          </cell>
          <cell r="F764" t="str">
            <v>VC01</v>
          </cell>
          <cell r="G764" t="str">
            <v>Auto</v>
          </cell>
          <cell r="H764">
            <v>311</v>
          </cell>
          <cell r="I764">
            <v>2210</v>
          </cell>
          <cell r="J764">
            <v>2310</v>
          </cell>
          <cell r="K764" t="str">
            <v>VC01</v>
          </cell>
        </row>
        <row r="765">
          <cell r="A765" t="str">
            <v>1AP1TDA0181XV4</v>
          </cell>
          <cell r="B765" t="str">
            <v>DIP</v>
          </cell>
          <cell r="C765">
            <v>1</v>
          </cell>
          <cell r="D765" t="e">
            <v>#N/A</v>
          </cell>
          <cell r="E765">
            <v>2210</v>
          </cell>
          <cell r="F765" t="str">
            <v>VC01</v>
          </cell>
          <cell r="G765" t="str">
            <v>Auto</v>
          </cell>
          <cell r="H765">
            <v>311</v>
          </cell>
          <cell r="I765">
            <v>2210</v>
          </cell>
          <cell r="J765">
            <v>2310</v>
          </cell>
          <cell r="K765" t="str">
            <v>VC01</v>
          </cell>
        </row>
        <row r="766">
          <cell r="A766" t="str">
            <v>1RE1TDA0183NEV4</v>
          </cell>
          <cell r="B766" t="str">
            <v>SMT</v>
          </cell>
          <cell r="C766">
            <v>1</v>
          </cell>
          <cell r="D766">
            <v>287</v>
          </cell>
        </row>
        <row r="767">
          <cell r="A767" t="str">
            <v>1RH1TDA0183NEV4</v>
          </cell>
          <cell r="B767" t="str">
            <v>SMT</v>
          </cell>
          <cell r="C767">
            <v>1</v>
          </cell>
          <cell r="D767">
            <v>21</v>
          </cell>
        </row>
        <row r="768">
          <cell r="A768" t="str">
            <v>1CM1TDA0183NEV4</v>
          </cell>
          <cell r="B768" t="str">
            <v>SMT</v>
          </cell>
          <cell r="C768">
            <v>1</v>
          </cell>
          <cell r="D768">
            <v>182</v>
          </cell>
          <cell r="E768">
            <v>2210</v>
          </cell>
          <cell r="F768" t="str">
            <v>VC01</v>
          </cell>
          <cell r="G768" t="str">
            <v>Auto</v>
          </cell>
          <cell r="H768">
            <v>311</v>
          </cell>
          <cell r="I768">
            <v>2210</v>
          </cell>
          <cell r="J768">
            <v>2310</v>
          </cell>
          <cell r="K768" t="str">
            <v>VC01</v>
          </cell>
        </row>
        <row r="769">
          <cell r="A769" t="str">
            <v>1AP1TDA0183NEV4</v>
          </cell>
          <cell r="B769" t="str">
            <v>DIP</v>
          </cell>
          <cell r="C769">
            <v>1</v>
          </cell>
          <cell r="D769" t="e">
            <v>#N/A</v>
          </cell>
          <cell r="E769">
            <v>2210</v>
          </cell>
          <cell r="F769" t="str">
            <v>VC01</v>
          </cell>
          <cell r="G769" t="str">
            <v>Auto</v>
          </cell>
          <cell r="H769">
            <v>311</v>
          </cell>
          <cell r="I769">
            <v>2210</v>
          </cell>
          <cell r="J769">
            <v>2310</v>
          </cell>
          <cell r="K769" t="str">
            <v>VC01</v>
          </cell>
        </row>
        <row r="770">
          <cell r="A770" t="str">
            <v>1VI1TDA0188XJV4</v>
          </cell>
          <cell r="B770" t="str">
            <v>SMT</v>
          </cell>
          <cell r="C770">
            <v>1</v>
          </cell>
          <cell r="D770" t="e">
            <v>#N/A</v>
          </cell>
        </row>
        <row r="771">
          <cell r="A771" t="str">
            <v>1RE1TDA0188XJV4</v>
          </cell>
          <cell r="B771" t="str">
            <v>SMT</v>
          </cell>
          <cell r="C771">
            <v>1</v>
          </cell>
          <cell r="D771">
            <v>386</v>
          </cell>
        </row>
        <row r="772">
          <cell r="A772" t="str">
            <v>1RH1TDA0188XJV4</v>
          </cell>
          <cell r="B772" t="str">
            <v>SMT</v>
          </cell>
          <cell r="C772">
            <v>1</v>
          </cell>
          <cell r="D772">
            <v>13</v>
          </cell>
        </row>
        <row r="773">
          <cell r="A773" t="str">
            <v>1CM1TDA0188XJV4</v>
          </cell>
          <cell r="B773" t="str">
            <v>SMT</v>
          </cell>
          <cell r="C773">
            <v>1</v>
          </cell>
          <cell r="D773">
            <v>163</v>
          </cell>
          <cell r="E773">
            <v>2210</v>
          </cell>
          <cell r="F773" t="str">
            <v>VC01</v>
          </cell>
          <cell r="G773" t="str">
            <v>Auto</v>
          </cell>
          <cell r="H773">
            <v>311</v>
          </cell>
          <cell r="I773">
            <v>2210</v>
          </cell>
          <cell r="J773">
            <v>2310</v>
          </cell>
          <cell r="K773" t="str">
            <v>VC01</v>
          </cell>
        </row>
        <row r="774">
          <cell r="A774" t="str">
            <v>1AP1TDA0188XJV4</v>
          </cell>
          <cell r="B774" t="str">
            <v>DIP</v>
          </cell>
          <cell r="C774">
            <v>1</v>
          </cell>
          <cell r="D774" t="e">
            <v>#N/A</v>
          </cell>
          <cell r="E774">
            <v>2210</v>
          </cell>
          <cell r="F774" t="str">
            <v>VC01</v>
          </cell>
          <cell r="G774" t="str">
            <v>Auto</v>
          </cell>
          <cell r="H774">
            <v>311</v>
          </cell>
          <cell r="I774">
            <v>2210</v>
          </cell>
          <cell r="J774">
            <v>2310</v>
          </cell>
          <cell r="K774" t="str">
            <v>VC01</v>
          </cell>
        </row>
        <row r="775">
          <cell r="A775" t="str">
            <v>1VJ1TDA0190XJV4</v>
          </cell>
          <cell r="B775" t="str">
            <v>SMT</v>
          </cell>
          <cell r="C775">
            <v>1</v>
          </cell>
          <cell r="D775" t="e">
            <v>#N/A</v>
          </cell>
        </row>
        <row r="776">
          <cell r="A776" t="str">
            <v>1CM1TDA0190XJV4</v>
          </cell>
          <cell r="B776" t="str">
            <v>SMT</v>
          </cell>
          <cell r="C776">
            <v>1</v>
          </cell>
          <cell r="D776">
            <v>176</v>
          </cell>
        </row>
        <row r="777">
          <cell r="A777" t="str">
            <v>1RE2TDA0190XJV4</v>
          </cell>
          <cell r="B777" t="str">
            <v>SMT</v>
          </cell>
          <cell r="C777">
            <v>1</v>
          </cell>
          <cell r="D777">
            <v>207</v>
          </cell>
        </row>
        <row r="778">
          <cell r="A778" t="str">
            <v>1RH1TDA0190XJV4</v>
          </cell>
          <cell r="B778" t="str">
            <v>SMT</v>
          </cell>
          <cell r="C778">
            <v>1</v>
          </cell>
          <cell r="D778">
            <v>1</v>
          </cell>
          <cell r="E778">
            <v>2210</v>
          </cell>
          <cell r="F778" t="str">
            <v>VC01</v>
          </cell>
          <cell r="G778" t="str">
            <v>Auto</v>
          </cell>
          <cell r="H778">
            <v>311</v>
          </cell>
          <cell r="I778">
            <v>2210</v>
          </cell>
          <cell r="J778">
            <v>2310</v>
          </cell>
          <cell r="K778" t="str">
            <v>VC01</v>
          </cell>
        </row>
        <row r="779">
          <cell r="A779" t="str">
            <v>1AP1TDA0190XJV4</v>
          </cell>
          <cell r="B779" t="str">
            <v>DIP</v>
          </cell>
          <cell r="C779">
            <v>1</v>
          </cell>
          <cell r="D779" t="e">
            <v>#N/A</v>
          </cell>
          <cell r="E779">
            <v>2210</v>
          </cell>
          <cell r="F779" t="str">
            <v>VC01</v>
          </cell>
          <cell r="G779" t="str">
            <v>Auto</v>
          </cell>
          <cell r="H779">
            <v>311</v>
          </cell>
          <cell r="I779">
            <v>2210</v>
          </cell>
          <cell r="J779">
            <v>2310</v>
          </cell>
          <cell r="K779" t="str">
            <v>VC01</v>
          </cell>
        </row>
        <row r="780">
          <cell r="A780" t="str">
            <v>1VJ1TDA0190XV4</v>
          </cell>
          <cell r="B780" t="str">
            <v>SMT</v>
          </cell>
          <cell r="C780">
            <v>1</v>
          </cell>
          <cell r="D780" t="e">
            <v>#N/A</v>
          </cell>
        </row>
        <row r="781">
          <cell r="A781" t="str">
            <v>1CM1TDA0190XV4</v>
          </cell>
          <cell r="B781" t="str">
            <v>SMT</v>
          </cell>
          <cell r="C781">
            <v>1</v>
          </cell>
          <cell r="D781">
            <v>177</v>
          </cell>
        </row>
        <row r="782">
          <cell r="A782" t="str">
            <v>1RE2TDA0190XV4</v>
          </cell>
          <cell r="B782" t="str">
            <v>SMT</v>
          </cell>
          <cell r="C782">
            <v>1</v>
          </cell>
          <cell r="D782">
            <v>207</v>
          </cell>
        </row>
        <row r="783">
          <cell r="A783" t="str">
            <v>1RH1TDA0190XV4</v>
          </cell>
          <cell r="B783" t="str">
            <v>SMT</v>
          </cell>
          <cell r="C783">
            <v>1</v>
          </cell>
          <cell r="D783">
            <v>1</v>
          </cell>
          <cell r="E783">
            <v>2210</v>
          </cell>
          <cell r="F783" t="str">
            <v>VC01</v>
          </cell>
          <cell r="G783" t="str">
            <v>Auto</v>
          </cell>
          <cell r="H783">
            <v>311</v>
          </cell>
          <cell r="I783">
            <v>2210</v>
          </cell>
          <cell r="J783">
            <v>2310</v>
          </cell>
          <cell r="K783" t="str">
            <v>VC01</v>
          </cell>
        </row>
        <row r="784">
          <cell r="A784" t="str">
            <v>1AP1TDA0190XV4</v>
          </cell>
          <cell r="B784" t="str">
            <v>DIP</v>
          </cell>
          <cell r="C784">
            <v>1</v>
          </cell>
          <cell r="D784" t="e">
            <v>#N/A</v>
          </cell>
          <cell r="E784">
            <v>2210</v>
          </cell>
          <cell r="F784" t="str">
            <v>VC01</v>
          </cell>
          <cell r="G784" t="str">
            <v>Auto</v>
          </cell>
          <cell r="H784">
            <v>311</v>
          </cell>
          <cell r="I784">
            <v>2210</v>
          </cell>
          <cell r="J784">
            <v>2310</v>
          </cell>
          <cell r="K784" t="str">
            <v>VC01</v>
          </cell>
        </row>
        <row r="785">
          <cell r="A785" t="str">
            <v>1RE1TDA0193XJV4</v>
          </cell>
          <cell r="B785" t="str">
            <v>SMT</v>
          </cell>
          <cell r="C785">
            <v>1</v>
          </cell>
          <cell r="D785">
            <v>189</v>
          </cell>
        </row>
        <row r="786">
          <cell r="A786" t="str">
            <v>1RE2TDA0193XJV4</v>
          </cell>
          <cell r="B786" t="str">
            <v>SMT</v>
          </cell>
          <cell r="C786">
            <v>1</v>
          </cell>
          <cell r="D786">
            <v>87</v>
          </cell>
          <cell r="E786">
            <v>2210</v>
          </cell>
          <cell r="F786" t="str">
            <v>VC01</v>
          </cell>
          <cell r="G786" t="str">
            <v>Auto</v>
          </cell>
          <cell r="H786">
            <v>311</v>
          </cell>
          <cell r="I786">
            <v>2210</v>
          </cell>
          <cell r="J786">
            <v>2310</v>
          </cell>
          <cell r="K786" t="str">
            <v>VC01</v>
          </cell>
        </row>
        <row r="787">
          <cell r="A787" t="str">
            <v>1AP1TDA0193XJV4</v>
          </cell>
          <cell r="B787" t="str">
            <v>DIP</v>
          </cell>
          <cell r="C787">
            <v>1</v>
          </cell>
          <cell r="D787" t="e">
            <v>#N/A</v>
          </cell>
          <cell r="E787">
            <v>2210</v>
          </cell>
          <cell r="F787" t="str">
            <v>VC01</v>
          </cell>
          <cell r="G787" t="str">
            <v>Auto</v>
          </cell>
          <cell r="H787">
            <v>311</v>
          </cell>
          <cell r="I787">
            <v>2210</v>
          </cell>
          <cell r="J787">
            <v>2310</v>
          </cell>
          <cell r="K787" t="str">
            <v>VC01</v>
          </cell>
        </row>
        <row r="788">
          <cell r="A788" t="str">
            <v>1VI1TDA0284CEV4</v>
          </cell>
          <cell r="B788" t="str">
            <v>SMT</v>
          </cell>
          <cell r="C788">
            <v>1</v>
          </cell>
          <cell r="D788" t="e">
            <v>#N/A</v>
          </cell>
        </row>
        <row r="789">
          <cell r="A789" t="str">
            <v>1RE1TDA0284CEV4</v>
          </cell>
          <cell r="B789" t="str">
            <v>SMT</v>
          </cell>
          <cell r="C789">
            <v>1</v>
          </cell>
          <cell r="D789">
            <v>262</v>
          </cell>
        </row>
        <row r="790">
          <cell r="A790" t="str">
            <v>1RE2TDA0284CEV4</v>
          </cell>
          <cell r="B790" t="str">
            <v>SMT</v>
          </cell>
          <cell r="C790">
            <v>1</v>
          </cell>
          <cell r="D790">
            <v>318</v>
          </cell>
        </row>
        <row r="791">
          <cell r="A791" t="str">
            <v>1RH1TDA0284CEV4</v>
          </cell>
          <cell r="B791" t="str">
            <v>SMT</v>
          </cell>
          <cell r="C791">
            <v>1</v>
          </cell>
          <cell r="D791">
            <v>29</v>
          </cell>
          <cell r="E791">
            <v>2210</v>
          </cell>
          <cell r="F791" t="str">
            <v>VC01</v>
          </cell>
          <cell r="G791" t="str">
            <v>Auto</v>
          </cell>
          <cell r="H791">
            <v>311</v>
          </cell>
          <cell r="I791">
            <v>2210</v>
          </cell>
          <cell r="J791">
            <v>2310</v>
          </cell>
          <cell r="K791" t="str">
            <v>VC01</v>
          </cell>
        </row>
        <row r="792">
          <cell r="A792" t="str">
            <v>1AP1TDA0284CEV4</v>
          </cell>
          <cell r="B792" t="str">
            <v>DIP</v>
          </cell>
          <cell r="C792">
            <v>1</v>
          </cell>
          <cell r="D792" t="e">
            <v>#N/A</v>
          </cell>
          <cell r="E792">
            <v>2210</v>
          </cell>
          <cell r="F792" t="str">
            <v>VC01</v>
          </cell>
          <cell r="G792" t="str">
            <v>Auto</v>
          </cell>
          <cell r="H792">
            <v>311</v>
          </cell>
          <cell r="I792">
            <v>2210</v>
          </cell>
          <cell r="J792">
            <v>2310</v>
          </cell>
          <cell r="K792" t="str">
            <v>VC01</v>
          </cell>
        </row>
        <row r="793">
          <cell r="A793" t="str">
            <v>1VI1TDA0284XJV4</v>
          </cell>
          <cell r="B793" t="str">
            <v>SMT</v>
          </cell>
          <cell r="C793">
            <v>1</v>
          </cell>
          <cell r="D793" t="e">
            <v>#N/A</v>
          </cell>
        </row>
        <row r="794">
          <cell r="A794" t="str">
            <v>1RE1TDA0284XJV4</v>
          </cell>
          <cell r="B794" t="str">
            <v>SMT</v>
          </cell>
          <cell r="C794">
            <v>1</v>
          </cell>
          <cell r="D794">
            <v>262</v>
          </cell>
        </row>
        <row r="795">
          <cell r="A795" t="str">
            <v>1RE2TDA0284XJV4</v>
          </cell>
          <cell r="B795" t="str">
            <v>SMT</v>
          </cell>
          <cell r="C795">
            <v>1</v>
          </cell>
          <cell r="D795">
            <v>318</v>
          </cell>
        </row>
        <row r="796">
          <cell r="A796" t="str">
            <v>1RH1TDA0284XJV4</v>
          </cell>
          <cell r="B796" t="str">
            <v>SMT</v>
          </cell>
          <cell r="C796">
            <v>1</v>
          </cell>
          <cell r="D796">
            <v>29</v>
          </cell>
          <cell r="E796">
            <v>2210</v>
          </cell>
          <cell r="F796" t="str">
            <v>VC01</v>
          </cell>
          <cell r="G796" t="str">
            <v>Auto</v>
          </cell>
          <cell r="H796">
            <v>311</v>
          </cell>
          <cell r="I796">
            <v>2210</v>
          </cell>
          <cell r="J796">
            <v>2310</v>
          </cell>
          <cell r="K796" t="str">
            <v>VC01</v>
          </cell>
        </row>
        <row r="797">
          <cell r="A797" t="str">
            <v>1AP1TDA0284XJV4</v>
          </cell>
          <cell r="B797" t="str">
            <v>DIP</v>
          </cell>
          <cell r="C797">
            <v>1</v>
          </cell>
          <cell r="D797" t="e">
            <v>#N/A</v>
          </cell>
          <cell r="E797">
            <v>2210</v>
          </cell>
          <cell r="F797" t="str">
            <v>VC01</v>
          </cell>
          <cell r="G797" t="str">
            <v>Auto</v>
          </cell>
          <cell r="H797">
            <v>311</v>
          </cell>
          <cell r="I797">
            <v>2210</v>
          </cell>
          <cell r="J797">
            <v>2310</v>
          </cell>
          <cell r="K797" t="str">
            <v>VC01</v>
          </cell>
        </row>
        <row r="798">
          <cell r="A798" t="str">
            <v>1VI1TDA0288CEV4</v>
          </cell>
          <cell r="B798" t="str">
            <v>SMT</v>
          </cell>
          <cell r="C798">
            <v>1</v>
          </cell>
          <cell r="D798" t="e">
            <v>#N/A</v>
          </cell>
        </row>
        <row r="799">
          <cell r="A799" t="str">
            <v>1RE1TDA0288CEV4</v>
          </cell>
          <cell r="B799" t="str">
            <v>SMT</v>
          </cell>
          <cell r="C799">
            <v>1</v>
          </cell>
          <cell r="D799">
            <v>372</v>
          </cell>
        </row>
        <row r="800">
          <cell r="A800" t="str">
            <v>1RE2TDA0288CEV4</v>
          </cell>
          <cell r="B800" t="str">
            <v>SMT</v>
          </cell>
          <cell r="C800">
            <v>1</v>
          </cell>
          <cell r="D800">
            <v>398</v>
          </cell>
        </row>
        <row r="801">
          <cell r="A801" t="str">
            <v>1RH1TDA0288CEV4</v>
          </cell>
          <cell r="B801" t="str">
            <v>SMT</v>
          </cell>
          <cell r="C801">
            <v>1</v>
          </cell>
          <cell r="D801">
            <v>53</v>
          </cell>
          <cell r="E801">
            <v>2210</v>
          </cell>
          <cell r="F801" t="str">
            <v>VC01</v>
          </cell>
          <cell r="G801" t="str">
            <v>Auto</v>
          </cell>
          <cell r="H801">
            <v>311</v>
          </cell>
          <cell r="I801">
            <v>2210</v>
          </cell>
          <cell r="J801">
            <v>2310</v>
          </cell>
          <cell r="K801" t="str">
            <v>VC01</v>
          </cell>
        </row>
        <row r="802">
          <cell r="A802" t="str">
            <v>1AP1TDA0288CEV4</v>
          </cell>
          <cell r="B802" t="str">
            <v>DIP</v>
          </cell>
          <cell r="C802">
            <v>1</v>
          </cell>
          <cell r="D802" t="e">
            <v>#N/A</v>
          </cell>
          <cell r="E802">
            <v>2210</v>
          </cell>
          <cell r="F802" t="str">
            <v>VC01</v>
          </cell>
          <cell r="G802" t="str">
            <v>Auto</v>
          </cell>
          <cell r="H802">
            <v>311</v>
          </cell>
          <cell r="I802">
            <v>2210</v>
          </cell>
          <cell r="J802">
            <v>2310</v>
          </cell>
          <cell r="K802" t="str">
            <v>VC01</v>
          </cell>
        </row>
        <row r="803">
          <cell r="A803" t="str">
            <v>1VI1TDA0288XJV4</v>
          </cell>
          <cell r="B803" t="str">
            <v>SMT</v>
          </cell>
          <cell r="C803">
            <v>1</v>
          </cell>
          <cell r="D803" t="e">
            <v>#N/A</v>
          </cell>
        </row>
        <row r="804">
          <cell r="A804" t="str">
            <v>1RE1TDA0288XJV4</v>
          </cell>
          <cell r="B804" t="str">
            <v>SMT</v>
          </cell>
          <cell r="C804">
            <v>1</v>
          </cell>
          <cell r="D804">
            <v>372</v>
          </cell>
        </row>
        <row r="805">
          <cell r="A805" t="str">
            <v>1RE2TDA0288XJV4</v>
          </cell>
          <cell r="B805" t="str">
            <v>SMT</v>
          </cell>
          <cell r="C805">
            <v>1</v>
          </cell>
          <cell r="D805">
            <v>398</v>
          </cell>
        </row>
        <row r="806">
          <cell r="A806" t="str">
            <v>1RH1TDA0288XJV4</v>
          </cell>
          <cell r="B806" t="str">
            <v>SMT</v>
          </cell>
          <cell r="C806">
            <v>1</v>
          </cell>
          <cell r="D806">
            <v>53</v>
          </cell>
          <cell r="E806">
            <v>2210</v>
          </cell>
          <cell r="F806" t="str">
            <v>VC01</v>
          </cell>
          <cell r="G806" t="str">
            <v>Auto</v>
          </cell>
          <cell r="H806">
            <v>311</v>
          </cell>
          <cell r="I806">
            <v>2210</v>
          </cell>
          <cell r="J806">
            <v>2310</v>
          </cell>
          <cell r="K806" t="str">
            <v>VC01</v>
          </cell>
        </row>
        <row r="807">
          <cell r="A807" t="str">
            <v>1AP1TDA0288XJV4</v>
          </cell>
          <cell r="B807" t="str">
            <v>DIP</v>
          </cell>
          <cell r="C807">
            <v>1</v>
          </cell>
          <cell r="D807" t="e">
            <v>#N/A</v>
          </cell>
          <cell r="E807">
            <v>2210</v>
          </cell>
          <cell r="F807" t="str">
            <v>VC01</v>
          </cell>
          <cell r="G807" t="str">
            <v>Auto</v>
          </cell>
          <cell r="H807">
            <v>311</v>
          </cell>
          <cell r="I807">
            <v>2210</v>
          </cell>
          <cell r="J807">
            <v>2310</v>
          </cell>
          <cell r="K807" t="str">
            <v>VC01</v>
          </cell>
        </row>
        <row r="808">
          <cell r="A808" t="str">
            <v>1VI1TDA0290CEV4</v>
          </cell>
          <cell r="B808" t="str">
            <v>SMT</v>
          </cell>
          <cell r="C808">
            <v>1</v>
          </cell>
          <cell r="D808" t="e">
            <v>#N/A</v>
          </cell>
        </row>
        <row r="809">
          <cell r="A809" t="str">
            <v>1RE1TDA0290CEV4</v>
          </cell>
          <cell r="B809" t="str">
            <v>SMT</v>
          </cell>
          <cell r="C809">
            <v>1</v>
          </cell>
          <cell r="D809">
            <v>483</v>
          </cell>
        </row>
        <row r="810">
          <cell r="A810" t="str">
            <v>1RH1TDA0290CEV4</v>
          </cell>
          <cell r="B810" t="str">
            <v>SMT</v>
          </cell>
          <cell r="C810">
            <v>1</v>
          </cell>
          <cell r="D810">
            <v>6</v>
          </cell>
          <cell r="E810">
            <v>2210</v>
          </cell>
          <cell r="F810" t="str">
            <v>VC01</v>
          </cell>
          <cell r="G810" t="str">
            <v>Auto</v>
          </cell>
          <cell r="H810">
            <v>311</v>
          </cell>
          <cell r="I810">
            <v>2210</v>
          </cell>
          <cell r="J810">
            <v>2310</v>
          </cell>
          <cell r="K810" t="str">
            <v>VC01</v>
          </cell>
        </row>
        <row r="811">
          <cell r="A811" t="str">
            <v>1AP1TDA0290CEV4</v>
          </cell>
          <cell r="B811" t="str">
            <v>DIP</v>
          </cell>
          <cell r="C811">
            <v>1</v>
          </cell>
          <cell r="D811" t="e">
            <v>#N/A</v>
          </cell>
          <cell r="E811">
            <v>2210</v>
          </cell>
          <cell r="F811" t="str">
            <v>VC01</v>
          </cell>
          <cell r="G811" t="str">
            <v>Auto</v>
          </cell>
          <cell r="H811">
            <v>311</v>
          </cell>
          <cell r="I811">
            <v>2210</v>
          </cell>
          <cell r="J811">
            <v>2310</v>
          </cell>
          <cell r="K811" t="str">
            <v>VC01</v>
          </cell>
        </row>
        <row r="812">
          <cell r="A812" t="str">
            <v>1VI1TDA0290CJSX</v>
          </cell>
          <cell r="B812" t="str">
            <v>SMT</v>
          </cell>
          <cell r="C812">
            <v>1</v>
          </cell>
          <cell r="D812" t="e">
            <v>#N/A</v>
          </cell>
        </row>
        <row r="813">
          <cell r="A813" t="str">
            <v>1RE1TDA0290CJSX</v>
          </cell>
          <cell r="B813" t="str">
            <v>SMT</v>
          </cell>
          <cell r="C813">
            <v>1</v>
          </cell>
          <cell r="D813">
            <v>483</v>
          </cell>
        </row>
        <row r="814">
          <cell r="A814" t="str">
            <v>1RH1TDA0290CJSX</v>
          </cell>
          <cell r="B814" t="str">
            <v>SMT</v>
          </cell>
          <cell r="C814">
            <v>1</v>
          </cell>
          <cell r="D814">
            <v>6</v>
          </cell>
          <cell r="E814">
            <v>2210</v>
          </cell>
          <cell r="F814" t="str">
            <v>VC01</v>
          </cell>
          <cell r="G814" t="str">
            <v>Auto</v>
          </cell>
          <cell r="H814">
            <v>311</v>
          </cell>
          <cell r="I814">
            <v>2210</v>
          </cell>
          <cell r="J814">
            <v>2310</v>
          </cell>
          <cell r="K814" t="str">
            <v>VC01</v>
          </cell>
        </row>
        <row r="815">
          <cell r="A815" t="str">
            <v>1AP1TDA0290CJSX</v>
          </cell>
          <cell r="B815" t="str">
            <v>DIP</v>
          </cell>
          <cell r="C815">
            <v>1</v>
          </cell>
          <cell r="D815" t="e">
            <v>#N/A</v>
          </cell>
          <cell r="E815">
            <v>2210</v>
          </cell>
          <cell r="F815" t="str">
            <v>VC01</v>
          </cell>
          <cell r="G815" t="str">
            <v>Auto</v>
          </cell>
          <cell r="H815">
            <v>311</v>
          </cell>
          <cell r="I815">
            <v>2210</v>
          </cell>
          <cell r="J815">
            <v>2310</v>
          </cell>
          <cell r="K815" t="str">
            <v>VC01</v>
          </cell>
        </row>
        <row r="816">
          <cell r="A816" t="str">
            <v>1VI1TDA0290CJV4</v>
          </cell>
          <cell r="B816" t="str">
            <v>SMT</v>
          </cell>
          <cell r="C816">
            <v>1</v>
          </cell>
          <cell r="D816" t="e">
            <v>#N/A</v>
          </cell>
        </row>
        <row r="817">
          <cell r="A817" t="str">
            <v>1RE1TDA0290CJV4</v>
          </cell>
          <cell r="B817" t="str">
            <v>SMT</v>
          </cell>
          <cell r="C817">
            <v>1</v>
          </cell>
          <cell r="D817">
            <v>483</v>
          </cell>
        </row>
        <row r="818">
          <cell r="A818" t="str">
            <v>1RH1TDA0290CJV4</v>
          </cell>
          <cell r="B818" t="str">
            <v>SMT</v>
          </cell>
          <cell r="C818">
            <v>1</v>
          </cell>
          <cell r="D818">
            <v>6</v>
          </cell>
          <cell r="E818">
            <v>2210</v>
          </cell>
          <cell r="F818" t="str">
            <v>VC01</v>
          </cell>
          <cell r="G818" t="str">
            <v>Auto</v>
          </cell>
          <cell r="H818">
            <v>311</v>
          </cell>
          <cell r="I818">
            <v>2210</v>
          </cell>
          <cell r="J818">
            <v>2310</v>
          </cell>
          <cell r="K818" t="str">
            <v>VC01</v>
          </cell>
        </row>
        <row r="819">
          <cell r="A819" t="str">
            <v>1AP1TDA0290CJV4</v>
          </cell>
          <cell r="B819" t="str">
            <v>DIP</v>
          </cell>
          <cell r="C819">
            <v>1</v>
          </cell>
          <cell r="D819" t="e">
            <v>#N/A</v>
          </cell>
          <cell r="E819">
            <v>2210</v>
          </cell>
          <cell r="F819" t="str">
            <v>VC01</v>
          </cell>
          <cell r="G819" t="str">
            <v>Auto</v>
          </cell>
          <cell r="H819">
            <v>311</v>
          </cell>
          <cell r="I819">
            <v>2210</v>
          </cell>
          <cell r="J819">
            <v>2310</v>
          </cell>
          <cell r="K819" t="str">
            <v>VC01</v>
          </cell>
        </row>
        <row r="820">
          <cell r="A820" t="str">
            <v>1VI1TDA0290XV4</v>
          </cell>
          <cell r="B820" t="str">
            <v>SMT</v>
          </cell>
          <cell r="C820">
            <v>1</v>
          </cell>
          <cell r="D820" t="e">
            <v>#N/A</v>
          </cell>
        </row>
        <row r="821">
          <cell r="A821" t="str">
            <v>1RE1TDA0290XV4</v>
          </cell>
          <cell r="B821" t="str">
            <v>SMT</v>
          </cell>
          <cell r="C821">
            <v>1</v>
          </cell>
          <cell r="D821">
            <v>482</v>
          </cell>
        </row>
        <row r="822">
          <cell r="A822" t="str">
            <v>1RH1TDA0290XV4</v>
          </cell>
          <cell r="B822" t="str">
            <v>SMT</v>
          </cell>
          <cell r="C822">
            <v>1</v>
          </cell>
          <cell r="D822">
            <v>6</v>
          </cell>
          <cell r="E822">
            <v>2210</v>
          </cell>
          <cell r="F822" t="str">
            <v>VC01</v>
          </cell>
          <cell r="G822" t="str">
            <v>Auto</v>
          </cell>
          <cell r="H822">
            <v>311</v>
          </cell>
          <cell r="I822">
            <v>2210</v>
          </cell>
          <cell r="J822">
            <v>2310</v>
          </cell>
          <cell r="K822" t="str">
            <v>VC01</v>
          </cell>
        </row>
        <row r="823">
          <cell r="A823" t="str">
            <v>1AP1TDA0290XV4</v>
          </cell>
          <cell r="B823" t="str">
            <v>DIP</v>
          </cell>
          <cell r="C823">
            <v>1</v>
          </cell>
          <cell r="D823" t="e">
            <v>#N/A</v>
          </cell>
          <cell r="E823">
            <v>2210</v>
          </cell>
          <cell r="F823" t="str">
            <v>VC01</v>
          </cell>
          <cell r="G823" t="str">
            <v>Auto</v>
          </cell>
          <cell r="H823">
            <v>311</v>
          </cell>
          <cell r="I823">
            <v>2210</v>
          </cell>
          <cell r="J823">
            <v>2310</v>
          </cell>
          <cell r="K823" t="str">
            <v>VC01</v>
          </cell>
        </row>
        <row r="824">
          <cell r="A824" t="str">
            <v>1VJ1TDA0410XJV4</v>
          </cell>
          <cell r="B824" t="str">
            <v>SMT</v>
          </cell>
          <cell r="C824">
            <v>1</v>
          </cell>
          <cell r="D824" t="e">
            <v>#N/A</v>
          </cell>
        </row>
        <row r="825">
          <cell r="A825" t="str">
            <v>1RE1TDA0410XJV4</v>
          </cell>
          <cell r="B825" t="str">
            <v>SMT</v>
          </cell>
          <cell r="C825">
            <v>1</v>
          </cell>
          <cell r="D825">
            <v>202</v>
          </cell>
        </row>
        <row r="826">
          <cell r="A826" t="str">
            <v>1RE2TDA0410XJV4</v>
          </cell>
          <cell r="B826" t="str">
            <v>SMT</v>
          </cell>
          <cell r="C826">
            <v>1</v>
          </cell>
          <cell r="D826">
            <v>298</v>
          </cell>
          <cell r="E826">
            <v>2210</v>
          </cell>
          <cell r="F826" t="str">
            <v>VC01</v>
          </cell>
          <cell r="G826" t="str">
            <v>Auto</v>
          </cell>
          <cell r="H826">
            <v>311</v>
          </cell>
          <cell r="I826">
            <v>2210</v>
          </cell>
          <cell r="J826">
            <v>2310</v>
          </cell>
          <cell r="K826" t="str">
            <v>VC01</v>
          </cell>
        </row>
        <row r="827">
          <cell r="A827" t="str">
            <v>1AP1TDA0410XJV4</v>
          </cell>
          <cell r="B827" t="str">
            <v>DIP</v>
          </cell>
          <cell r="C827">
            <v>1</v>
          </cell>
          <cell r="D827" t="e">
            <v>#N/A</v>
          </cell>
          <cell r="E827">
            <v>2210</v>
          </cell>
          <cell r="F827" t="str">
            <v>VC01</v>
          </cell>
          <cell r="G827" t="str">
            <v>Auto</v>
          </cell>
          <cell r="H827">
            <v>311</v>
          </cell>
          <cell r="I827">
            <v>2210</v>
          </cell>
          <cell r="J827">
            <v>2310</v>
          </cell>
          <cell r="K827" t="str">
            <v>VC01</v>
          </cell>
        </row>
        <row r="828">
          <cell r="A828" t="str">
            <v>PNLB1798YA-LV</v>
          </cell>
          <cell r="B828" t="str">
            <v>SMT</v>
          </cell>
          <cell r="C828">
            <v>1</v>
          </cell>
          <cell r="D828" t="e">
            <v>#N/A</v>
          </cell>
        </row>
        <row r="829">
          <cell r="A829" t="str">
            <v>1RE1TDA1180X</v>
          </cell>
          <cell r="B829" t="str">
            <v>SMT</v>
          </cell>
          <cell r="C829">
            <v>1</v>
          </cell>
          <cell r="D829">
            <v>291</v>
          </cell>
        </row>
        <row r="830">
          <cell r="A830" t="str">
            <v>1RE2TDA1180X</v>
          </cell>
          <cell r="B830" t="str">
            <v>SMT</v>
          </cell>
          <cell r="C830">
            <v>1</v>
          </cell>
          <cell r="D830">
            <v>544</v>
          </cell>
        </row>
        <row r="831">
          <cell r="A831" t="str">
            <v>1RH1TDA1180X</v>
          </cell>
          <cell r="B831" t="str">
            <v>SMT</v>
          </cell>
          <cell r="C831">
            <v>1</v>
          </cell>
          <cell r="D831">
            <v>26</v>
          </cell>
          <cell r="E831">
            <v>2210</v>
          </cell>
          <cell r="F831" t="str">
            <v>VC01</v>
          </cell>
          <cell r="G831" t="str">
            <v>Auto</v>
          </cell>
          <cell r="H831">
            <v>311</v>
          </cell>
          <cell r="I831">
            <v>2210</v>
          </cell>
          <cell r="J831">
            <v>2310</v>
          </cell>
          <cell r="K831" t="str">
            <v>VC01</v>
          </cell>
        </row>
        <row r="832">
          <cell r="A832" t="str">
            <v>1AP1TDA1180X</v>
          </cell>
          <cell r="B832" t="str">
            <v>DIP</v>
          </cell>
          <cell r="C832">
            <v>1</v>
          </cell>
          <cell r="D832" t="e">
            <v>#N/A</v>
          </cell>
          <cell r="E832">
            <v>2210</v>
          </cell>
          <cell r="F832" t="str">
            <v>VC01</v>
          </cell>
          <cell r="G832" t="str">
            <v>Auto</v>
          </cell>
          <cell r="H832">
            <v>311</v>
          </cell>
          <cell r="I832">
            <v>2210</v>
          </cell>
          <cell r="J832">
            <v>2310</v>
          </cell>
          <cell r="K832" t="str">
            <v>VC01</v>
          </cell>
        </row>
        <row r="833">
          <cell r="A833" t="str">
            <v>1RE1TDA3161XJV4</v>
          </cell>
          <cell r="B833" t="str">
            <v>SMT</v>
          </cell>
          <cell r="C833">
            <v>1</v>
          </cell>
          <cell r="D833">
            <v>147</v>
          </cell>
        </row>
        <row r="834">
          <cell r="A834" t="str">
            <v>1RE2TDA3161XJV4</v>
          </cell>
          <cell r="B834" t="str">
            <v>SMT</v>
          </cell>
          <cell r="C834">
            <v>1</v>
          </cell>
          <cell r="D834">
            <v>89</v>
          </cell>
          <cell r="E834">
            <v>2210</v>
          </cell>
          <cell r="F834" t="str">
            <v>VC01</v>
          </cell>
          <cell r="G834" t="str">
            <v>Auto</v>
          </cell>
          <cell r="H834">
            <v>311</v>
          </cell>
          <cell r="I834">
            <v>2210</v>
          </cell>
          <cell r="J834">
            <v>2310</v>
          </cell>
          <cell r="K834" t="str">
            <v>VC01</v>
          </cell>
        </row>
        <row r="835">
          <cell r="A835" t="str">
            <v>1AP1TDA3161XJV4</v>
          </cell>
          <cell r="B835" t="str">
            <v>DIP</v>
          </cell>
          <cell r="C835">
            <v>1</v>
          </cell>
          <cell r="D835" t="e">
            <v>#N/A</v>
          </cell>
          <cell r="E835">
            <v>2210</v>
          </cell>
          <cell r="F835" t="str">
            <v>VC01</v>
          </cell>
          <cell r="G835" t="str">
            <v>Auto</v>
          </cell>
          <cell r="H835">
            <v>311</v>
          </cell>
          <cell r="I835">
            <v>2210</v>
          </cell>
          <cell r="J835">
            <v>2310</v>
          </cell>
          <cell r="K835" t="str">
            <v>VC01</v>
          </cell>
        </row>
        <row r="836">
          <cell r="A836" t="str">
            <v>1CM1TDA3172XJV4</v>
          </cell>
          <cell r="B836" t="str">
            <v>SMT</v>
          </cell>
          <cell r="C836">
            <v>1</v>
          </cell>
          <cell r="D836">
            <v>263</v>
          </cell>
        </row>
        <row r="837">
          <cell r="A837" t="str">
            <v>1RE2TDA3172XJV4</v>
          </cell>
          <cell r="B837" t="str">
            <v>SMT</v>
          </cell>
          <cell r="C837">
            <v>1</v>
          </cell>
          <cell r="D837">
            <v>394</v>
          </cell>
        </row>
        <row r="838">
          <cell r="A838" t="str">
            <v>1RH1TDA3172XJV4</v>
          </cell>
          <cell r="B838" t="str">
            <v>SMT</v>
          </cell>
          <cell r="C838">
            <v>1</v>
          </cell>
          <cell r="D838">
            <v>59</v>
          </cell>
          <cell r="E838">
            <v>2210</v>
          </cell>
          <cell r="F838" t="str">
            <v>VC01</v>
          </cell>
          <cell r="G838" t="str">
            <v>Auto</v>
          </cell>
          <cell r="H838">
            <v>311</v>
          </cell>
          <cell r="I838">
            <v>2210</v>
          </cell>
          <cell r="J838">
            <v>2310</v>
          </cell>
          <cell r="K838" t="str">
            <v>VC01</v>
          </cell>
        </row>
        <row r="839">
          <cell r="A839" t="str">
            <v>1AP1TDA3172XJV4</v>
          </cell>
          <cell r="B839" t="str">
            <v>DIP</v>
          </cell>
          <cell r="C839">
            <v>1</v>
          </cell>
          <cell r="D839" t="e">
            <v>#N/A</v>
          </cell>
          <cell r="E839">
            <v>2210</v>
          </cell>
          <cell r="F839" t="str">
            <v>VC01</v>
          </cell>
          <cell r="G839" t="str">
            <v>Auto</v>
          </cell>
          <cell r="H839">
            <v>311</v>
          </cell>
          <cell r="I839">
            <v>2210</v>
          </cell>
          <cell r="J839">
            <v>2310</v>
          </cell>
          <cell r="K839" t="str">
            <v>VC01</v>
          </cell>
        </row>
        <row r="840">
          <cell r="A840" t="str">
            <v>1CM1TDA5171V4</v>
          </cell>
          <cell r="B840" t="str">
            <v>SMT</v>
          </cell>
          <cell r="C840">
            <v>1</v>
          </cell>
          <cell r="D840">
            <v>107</v>
          </cell>
        </row>
        <row r="841">
          <cell r="A841" t="str">
            <v>1RE2TDA5171V4</v>
          </cell>
          <cell r="B841" t="str">
            <v>SMT</v>
          </cell>
          <cell r="C841">
            <v>1</v>
          </cell>
          <cell r="D841">
            <v>175</v>
          </cell>
        </row>
        <row r="842">
          <cell r="A842" t="str">
            <v>1RH1TDA5171V4</v>
          </cell>
          <cell r="B842" t="str">
            <v>SMT</v>
          </cell>
          <cell r="C842">
            <v>1</v>
          </cell>
          <cell r="D842">
            <v>13</v>
          </cell>
          <cell r="E842">
            <v>2210</v>
          </cell>
          <cell r="F842" t="str">
            <v>VC01</v>
          </cell>
          <cell r="G842" t="str">
            <v>Auto</v>
          </cell>
          <cell r="H842">
            <v>311</v>
          </cell>
          <cell r="I842">
            <v>2210</v>
          </cell>
          <cell r="J842">
            <v>2310</v>
          </cell>
          <cell r="K842" t="str">
            <v>VC01</v>
          </cell>
        </row>
        <row r="843">
          <cell r="A843" t="str">
            <v>1AP1TDA5171V4</v>
          </cell>
          <cell r="B843" t="str">
            <v>DIP</v>
          </cell>
          <cell r="C843">
            <v>1</v>
          </cell>
          <cell r="D843" t="e">
            <v>#N/A</v>
          </cell>
          <cell r="E843">
            <v>2210</v>
          </cell>
          <cell r="F843" t="str">
            <v>VC01</v>
          </cell>
          <cell r="G843" t="str">
            <v>Auto</v>
          </cell>
          <cell r="H843">
            <v>311</v>
          </cell>
          <cell r="I843">
            <v>2210</v>
          </cell>
          <cell r="J843">
            <v>2310</v>
          </cell>
          <cell r="K843" t="str">
            <v>VC01</v>
          </cell>
        </row>
        <row r="844">
          <cell r="A844" t="str">
            <v>1CM1TDA5172V4</v>
          </cell>
          <cell r="B844" t="str">
            <v>SMT</v>
          </cell>
          <cell r="C844">
            <v>1</v>
          </cell>
          <cell r="D844">
            <v>263</v>
          </cell>
        </row>
        <row r="845">
          <cell r="A845" t="str">
            <v>1RE2TDA5172V4</v>
          </cell>
          <cell r="B845" t="str">
            <v>SMT</v>
          </cell>
          <cell r="C845">
            <v>1</v>
          </cell>
          <cell r="D845">
            <v>394</v>
          </cell>
        </row>
        <row r="846">
          <cell r="A846" t="str">
            <v>1RH1TDA5172V4</v>
          </cell>
          <cell r="B846" t="str">
            <v>SMT</v>
          </cell>
          <cell r="C846">
            <v>1</v>
          </cell>
          <cell r="D846">
            <v>59</v>
          </cell>
          <cell r="E846">
            <v>2210</v>
          </cell>
          <cell r="F846" t="str">
            <v>VC01</v>
          </cell>
          <cell r="G846" t="str">
            <v>Auto</v>
          </cell>
          <cell r="H846">
            <v>311</v>
          </cell>
          <cell r="I846">
            <v>2210</v>
          </cell>
          <cell r="J846">
            <v>2310</v>
          </cell>
          <cell r="K846" t="str">
            <v>VC01</v>
          </cell>
        </row>
        <row r="847">
          <cell r="A847" t="str">
            <v>1AP1TDA5172V4</v>
          </cell>
          <cell r="B847" t="str">
            <v>DIP</v>
          </cell>
          <cell r="C847">
            <v>1</v>
          </cell>
          <cell r="D847" t="e">
            <v>#N/A</v>
          </cell>
          <cell r="E847">
            <v>2210</v>
          </cell>
          <cell r="F847" t="str">
            <v>VC01</v>
          </cell>
          <cell r="G847" t="str">
            <v>Auto</v>
          </cell>
          <cell r="H847">
            <v>311</v>
          </cell>
          <cell r="I847">
            <v>2210</v>
          </cell>
          <cell r="J847">
            <v>2310</v>
          </cell>
          <cell r="K847" t="str">
            <v>VC01</v>
          </cell>
        </row>
        <row r="848">
          <cell r="A848" t="str">
            <v>1VJ1TDA5470</v>
          </cell>
          <cell r="B848" t="str">
            <v>SMT</v>
          </cell>
          <cell r="C848">
            <v>1</v>
          </cell>
          <cell r="D848" t="e">
            <v>#N/A</v>
          </cell>
        </row>
        <row r="849">
          <cell r="A849" t="str">
            <v>1RE1TDA5470</v>
          </cell>
          <cell r="B849" t="str">
            <v>SMT</v>
          </cell>
          <cell r="C849">
            <v>1</v>
          </cell>
          <cell r="D849">
            <v>276</v>
          </cell>
        </row>
        <row r="850">
          <cell r="A850" t="str">
            <v>1RE2TDA5470</v>
          </cell>
          <cell r="B850" t="str">
            <v>SMT</v>
          </cell>
          <cell r="C850">
            <v>1</v>
          </cell>
          <cell r="D850">
            <v>448</v>
          </cell>
          <cell r="E850">
            <v>2210</v>
          </cell>
          <cell r="F850" t="str">
            <v>VC01</v>
          </cell>
          <cell r="G850" t="str">
            <v>Auto</v>
          </cell>
          <cell r="H850">
            <v>311</v>
          </cell>
          <cell r="I850">
            <v>2210</v>
          </cell>
          <cell r="J850">
            <v>2310</v>
          </cell>
          <cell r="K850" t="str">
            <v>VC01</v>
          </cell>
        </row>
        <row r="851">
          <cell r="A851" t="str">
            <v>1AP1TDA5470</v>
          </cell>
          <cell r="B851" t="str">
            <v>DIP</v>
          </cell>
          <cell r="C851">
            <v>1</v>
          </cell>
          <cell r="D851" t="e">
            <v>#N/A</v>
          </cell>
          <cell r="E851">
            <v>2210</v>
          </cell>
          <cell r="F851" t="str">
            <v>VC01</v>
          </cell>
          <cell r="G851" t="str">
            <v>Auto</v>
          </cell>
          <cell r="H851">
            <v>311</v>
          </cell>
          <cell r="I851">
            <v>2210</v>
          </cell>
          <cell r="J851">
            <v>2310</v>
          </cell>
          <cell r="K851" t="str">
            <v>VC01</v>
          </cell>
        </row>
        <row r="852">
          <cell r="A852" t="str">
            <v>1RE1TDA6110V4</v>
          </cell>
          <cell r="B852" t="str">
            <v>SMT</v>
          </cell>
          <cell r="C852">
            <v>1</v>
          </cell>
          <cell r="D852">
            <v>400</v>
          </cell>
          <cell r="E852">
            <v>2210</v>
          </cell>
          <cell r="F852" t="str">
            <v>VC01</v>
          </cell>
          <cell r="G852" t="str">
            <v>Auto</v>
          </cell>
          <cell r="H852">
            <v>311</v>
          </cell>
          <cell r="I852">
            <v>2210</v>
          </cell>
          <cell r="J852">
            <v>2310</v>
          </cell>
          <cell r="K852" t="str">
            <v>VC01</v>
          </cell>
        </row>
        <row r="853">
          <cell r="A853" t="str">
            <v>1AP1TDA6110V4</v>
          </cell>
          <cell r="B853" t="str">
            <v>DIP</v>
          </cell>
          <cell r="C853">
            <v>1</v>
          </cell>
          <cell r="D853" t="e">
            <v>#N/A</v>
          </cell>
          <cell r="E853">
            <v>2210</v>
          </cell>
          <cell r="F853" t="str">
            <v>VC01</v>
          </cell>
          <cell r="G853" t="str">
            <v>Auto</v>
          </cell>
          <cell r="H853">
            <v>311</v>
          </cell>
          <cell r="I853">
            <v>2210</v>
          </cell>
          <cell r="J853">
            <v>2310</v>
          </cell>
          <cell r="K853" t="str">
            <v>VC01</v>
          </cell>
        </row>
        <row r="854">
          <cell r="A854" t="str">
            <v>1RE1TDA6110XJSX</v>
          </cell>
          <cell r="B854" t="str">
            <v>SMT</v>
          </cell>
          <cell r="C854">
            <v>1</v>
          </cell>
          <cell r="D854">
            <v>400</v>
          </cell>
          <cell r="E854">
            <v>2210</v>
          </cell>
          <cell r="F854" t="str">
            <v>VC01</v>
          </cell>
          <cell r="G854" t="str">
            <v>Auto</v>
          </cell>
          <cell r="H854">
            <v>311</v>
          </cell>
          <cell r="I854">
            <v>2210</v>
          </cell>
          <cell r="J854">
            <v>2310</v>
          </cell>
          <cell r="K854" t="str">
            <v>VC01</v>
          </cell>
        </row>
        <row r="855">
          <cell r="A855" t="str">
            <v>1AP1TDA6110XJSX</v>
          </cell>
          <cell r="B855" t="str">
            <v>DIP</v>
          </cell>
          <cell r="C855">
            <v>1</v>
          </cell>
          <cell r="D855" t="e">
            <v>#N/A</v>
          </cell>
          <cell r="E855">
            <v>2210</v>
          </cell>
          <cell r="F855" t="str">
            <v>VC01</v>
          </cell>
          <cell r="G855" t="str">
            <v>Auto</v>
          </cell>
          <cell r="H855">
            <v>311</v>
          </cell>
          <cell r="I855">
            <v>2210</v>
          </cell>
          <cell r="J855">
            <v>2310</v>
          </cell>
          <cell r="K855" t="str">
            <v>VC01</v>
          </cell>
        </row>
        <row r="856">
          <cell r="A856" t="str">
            <v>1RE1TDA6110XJV4</v>
          </cell>
          <cell r="B856" t="str">
            <v>SMT</v>
          </cell>
          <cell r="C856">
            <v>1</v>
          </cell>
          <cell r="D856">
            <v>400</v>
          </cell>
          <cell r="E856">
            <v>2210</v>
          </cell>
          <cell r="F856" t="str">
            <v>VC01</v>
          </cell>
          <cell r="G856" t="str">
            <v>Auto</v>
          </cell>
          <cell r="H856">
            <v>311</v>
          </cell>
          <cell r="I856">
            <v>2210</v>
          </cell>
          <cell r="J856">
            <v>2310</v>
          </cell>
          <cell r="K856" t="str">
            <v>VC01</v>
          </cell>
        </row>
        <row r="857">
          <cell r="A857" t="str">
            <v>1AP1TDA6110XJV4</v>
          </cell>
          <cell r="B857" t="str">
            <v>DIP</v>
          </cell>
          <cell r="C857">
            <v>1</v>
          </cell>
          <cell r="D857" t="e">
            <v>#N/A</v>
          </cell>
          <cell r="E857">
            <v>2210</v>
          </cell>
          <cell r="F857" t="str">
            <v>VC01</v>
          </cell>
          <cell r="G857" t="str">
            <v>Auto</v>
          </cell>
          <cell r="H857">
            <v>311</v>
          </cell>
          <cell r="I857">
            <v>2210</v>
          </cell>
          <cell r="J857">
            <v>2310</v>
          </cell>
          <cell r="K857" t="str">
            <v>VC01</v>
          </cell>
        </row>
        <row r="858">
          <cell r="A858" t="str">
            <v>1RE1TDA6110XV4</v>
          </cell>
          <cell r="B858" t="str">
            <v>SMT</v>
          </cell>
          <cell r="C858">
            <v>1</v>
          </cell>
          <cell r="D858">
            <v>400</v>
          </cell>
          <cell r="E858">
            <v>2210</v>
          </cell>
          <cell r="F858" t="str">
            <v>VC01</v>
          </cell>
          <cell r="G858" t="str">
            <v>Auto</v>
          </cell>
          <cell r="H858">
            <v>311</v>
          </cell>
          <cell r="I858">
            <v>2210</v>
          </cell>
          <cell r="J858">
            <v>2310</v>
          </cell>
          <cell r="K858" t="str">
            <v>VC01</v>
          </cell>
        </row>
        <row r="859">
          <cell r="A859" t="str">
            <v>1AP1TDA6110XV4</v>
          </cell>
          <cell r="B859" t="str">
            <v>DIP</v>
          </cell>
          <cell r="C859">
            <v>1</v>
          </cell>
          <cell r="D859" t="e">
            <v>#N/A</v>
          </cell>
          <cell r="E859">
            <v>2210</v>
          </cell>
          <cell r="F859" t="str">
            <v>VC01</v>
          </cell>
          <cell r="G859" t="str">
            <v>Auto</v>
          </cell>
          <cell r="H859">
            <v>311</v>
          </cell>
          <cell r="I859">
            <v>2210</v>
          </cell>
          <cell r="J859">
            <v>2310</v>
          </cell>
          <cell r="K859" t="str">
            <v>VC01</v>
          </cell>
        </row>
        <row r="860">
          <cell r="A860" t="str">
            <v>1VJ1TDA6181XV4</v>
          </cell>
          <cell r="B860" t="str">
            <v>SMT</v>
          </cell>
          <cell r="C860">
            <v>1</v>
          </cell>
          <cell r="D860" t="e">
            <v>#N/A</v>
          </cell>
        </row>
        <row r="861">
          <cell r="A861" t="str">
            <v>1RE1TDA6181XV4</v>
          </cell>
          <cell r="B861" t="str">
            <v>SMT</v>
          </cell>
          <cell r="C861">
            <v>1</v>
          </cell>
          <cell r="D861">
            <v>734</v>
          </cell>
        </row>
        <row r="862">
          <cell r="A862" t="str">
            <v>1RE2TDA6181XV4</v>
          </cell>
          <cell r="B862" t="str">
            <v>SMT</v>
          </cell>
          <cell r="C862">
            <v>1</v>
          </cell>
          <cell r="D862">
            <v>525</v>
          </cell>
          <cell r="E862">
            <v>2210</v>
          </cell>
          <cell r="F862" t="str">
            <v>VC01</v>
          </cell>
          <cell r="G862" t="str">
            <v>Auto</v>
          </cell>
          <cell r="H862">
            <v>311</v>
          </cell>
          <cell r="I862">
            <v>2210</v>
          </cell>
          <cell r="J862">
            <v>2310</v>
          </cell>
          <cell r="K862" t="str">
            <v>VC01</v>
          </cell>
        </row>
        <row r="863">
          <cell r="A863" t="str">
            <v>1AP1TDA6181XV4</v>
          </cell>
          <cell r="B863" t="str">
            <v>DIP</v>
          </cell>
          <cell r="C863">
            <v>1</v>
          </cell>
          <cell r="D863" t="e">
            <v>#N/A</v>
          </cell>
          <cell r="E863">
            <v>2210</v>
          </cell>
          <cell r="F863" t="str">
            <v>VC01</v>
          </cell>
          <cell r="G863" t="str">
            <v>Auto</v>
          </cell>
          <cell r="H863">
            <v>311</v>
          </cell>
          <cell r="I863">
            <v>2210</v>
          </cell>
          <cell r="J863">
            <v>2310</v>
          </cell>
          <cell r="K863" t="str">
            <v>VC01</v>
          </cell>
        </row>
        <row r="864">
          <cell r="A864" t="str">
            <v>1RE1TVM296XV4</v>
          </cell>
          <cell r="B864" t="str">
            <v>SMT</v>
          </cell>
          <cell r="C864">
            <v>1</v>
          </cell>
          <cell r="D864">
            <v>96</v>
          </cell>
        </row>
        <row r="865">
          <cell r="A865" t="str">
            <v>1RH1TVM296XV4</v>
          </cell>
          <cell r="B865" t="str">
            <v>SMT</v>
          </cell>
          <cell r="C865">
            <v>1</v>
          </cell>
          <cell r="D865">
            <v>5</v>
          </cell>
          <cell r="E865">
            <v>2210</v>
          </cell>
          <cell r="F865" t="str">
            <v>VC01</v>
          </cell>
          <cell r="G865" t="str">
            <v>Auto</v>
          </cell>
          <cell r="H865">
            <v>311</v>
          </cell>
          <cell r="I865">
            <v>2210</v>
          </cell>
          <cell r="J865">
            <v>2310</v>
          </cell>
          <cell r="K865" t="str">
            <v>VC01</v>
          </cell>
        </row>
        <row r="866">
          <cell r="A866" t="str">
            <v>1AP1TVM296XV4</v>
          </cell>
          <cell r="B866" t="str">
            <v>DIP</v>
          </cell>
          <cell r="C866">
            <v>1</v>
          </cell>
          <cell r="D866" t="e">
            <v>#N/A</v>
          </cell>
          <cell r="E866">
            <v>2210</v>
          </cell>
          <cell r="F866" t="str">
            <v>VC01</v>
          </cell>
          <cell r="G866" t="str">
            <v>Auto</v>
          </cell>
          <cell r="H866">
            <v>311</v>
          </cell>
          <cell r="I866">
            <v>2210</v>
          </cell>
          <cell r="J866">
            <v>2310</v>
          </cell>
          <cell r="K866" t="str">
            <v>VC01</v>
          </cell>
        </row>
        <row r="867">
          <cell r="A867" t="str">
            <v>1RE1LP1742JPZA</v>
          </cell>
          <cell r="B867" t="str">
            <v>SMT</v>
          </cell>
          <cell r="C867">
            <v>1</v>
          </cell>
          <cell r="D867" t="e">
            <v>#N/A</v>
          </cell>
          <cell r="E867">
            <v>2210</v>
          </cell>
          <cell r="F867" t="str">
            <v>VC01</v>
          </cell>
        </row>
        <row r="868">
          <cell r="A868" t="str">
            <v>1PB1LP1742JPZA</v>
          </cell>
          <cell r="B868" t="str">
            <v>DIP</v>
          </cell>
          <cell r="C868">
            <v>1</v>
          </cell>
          <cell r="D868" t="e">
            <v>#N/A</v>
          </cell>
          <cell r="E868">
            <v>2210</v>
          </cell>
          <cell r="F868" t="str">
            <v>VC01</v>
          </cell>
          <cell r="G868" t="str">
            <v>Auto</v>
          </cell>
          <cell r="H868">
            <v>311</v>
          </cell>
          <cell r="I868">
            <v>2210</v>
          </cell>
          <cell r="J868" t="e">
            <v>#N/A</v>
          </cell>
          <cell r="K868" t="str">
            <v>VC01</v>
          </cell>
        </row>
        <row r="869">
          <cell r="A869" t="str">
            <v>1RE1LP2549ZA</v>
          </cell>
          <cell r="B869" t="str">
            <v>SMT</v>
          </cell>
          <cell r="C869">
            <v>1</v>
          </cell>
          <cell r="D869">
            <v>1</v>
          </cell>
          <cell r="E869">
            <v>2210</v>
          </cell>
          <cell r="F869" t="str">
            <v>VC01</v>
          </cell>
          <cell r="G869" t="str">
            <v>Auto</v>
          </cell>
          <cell r="H869">
            <v>311</v>
          </cell>
          <cell r="I869">
            <v>2210</v>
          </cell>
          <cell r="J869">
            <v>2310</v>
          </cell>
          <cell r="K869" t="str">
            <v>VC01</v>
          </cell>
        </row>
        <row r="870">
          <cell r="A870" t="str">
            <v>1RE1LPMB2575JTBZA</v>
          </cell>
          <cell r="B870" t="str">
            <v>SMT</v>
          </cell>
          <cell r="C870">
            <v>1</v>
          </cell>
          <cell r="D870">
            <v>1</v>
          </cell>
          <cell r="E870">
            <v>2210</v>
          </cell>
          <cell r="F870" t="str">
            <v>VC01</v>
          </cell>
          <cell r="G870" t="str">
            <v>Auto</v>
          </cell>
          <cell r="H870">
            <v>311</v>
          </cell>
          <cell r="I870">
            <v>2210</v>
          </cell>
          <cell r="J870">
            <v>2360</v>
          </cell>
          <cell r="K870" t="str">
            <v>VC01</v>
          </cell>
        </row>
        <row r="871">
          <cell r="A871" t="str">
            <v>1RE1LPMB545JTEZA</v>
          </cell>
          <cell r="B871" t="str">
            <v>SMT</v>
          </cell>
          <cell r="C871">
            <v>1</v>
          </cell>
          <cell r="D871">
            <v>20</v>
          </cell>
          <cell r="E871">
            <v>2210</v>
          </cell>
          <cell r="F871" t="str">
            <v>VC01</v>
          </cell>
          <cell r="G871" t="str">
            <v>Auto</v>
          </cell>
          <cell r="H871">
            <v>311</v>
          </cell>
          <cell r="I871">
            <v>2210</v>
          </cell>
          <cell r="J871">
            <v>2360</v>
          </cell>
          <cell r="K871" t="str">
            <v>VC01</v>
          </cell>
        </row>
        <row r="872">
          <cell r="A872" t="str">
            <v>1RE1LPUT2483ZA</v>
          </cell>
          <cell r="B872" t="str">
            <v>SMT</v>
          </cell>
          <cell r="C872">
            <v>1</v>
          </cell>
          <cell r="D872">
            <v>8</v>
          </cell>
          <cell r="E872">
            <v>2210</v>
          </cell>
          <cell r="F872" t="str">
            <v>VC01</v>
          </cell>
          <cell r="G872" t="str">
            <v>Auto</v>
          </cell>
          <cell r="H872">
            <v>311</v>
          </cell>
          <cell r="I872">
            <v>2210</v>
          </cell>
          <cell r="J872">
            <v>2310</v>
          </cell>
          <cell r="K872" t="str">
            <v>VC01</v>
          </cell>
        </row>
        <row r="873">
          <cell r="A873" t="str">
            <v>1RE1PSLP1262ZA</v>
          </cell>
          <cell r="B873" t="str">
            <v>SMT</v>
          </cell>
          <cell r="C873">
            <v>1</v>
          </cell>
          <cell r="D873">
            <v>3</v>
          </cell>
          <cell r="E873">
            <v>2210</v>
          </cell>
          <cell r="F873" t="str">
            <v>VC01</v>
          </cell>
          <cell r="G873" t="str">
            <v>Auto</v>
          </cell>
          <cell r="H873">
            <v>311</v>
          </cell>
          <cell r="I873">
            <v>2210</v>
          </cell>
          <cell r="J873">
            <v>2310</v>
          </cell>
          <cell r="K873" t="str">
            <v>VC01</v>
          </cell>
        </row>
        <row r="874">
          <cell r="A874" t="str">
            <v>1RE1PSLP1262ZAL4</v>
          </cell>
          <cell r="B874" t="str">
            <v>SMT</v>
          </cell>
          <cell r="C874">
            <v>1</v>
          </cell>
          <cell r="D874">
            <v>3</v>
          </cell>
          <cell r="E874">
            <v>2210</v>
          </cell>
          <cell r="F874" t="str">
            <v>VC01</v>
          </cell>
          <cell r="G874" t="str">
            <v>Auto</v>
          </cell>
          <cell r="H874">
            <v>311</v>
          </cell>
          <cell r="I874">
            <v>2210</v>
          </cell>
          <cell r="J874">
            <v>2310</v>
          </cell>
          <cell r="K874" t="str">
            <v>VC01</v>
          </cell>
        </row>
        <row r="875">
          <cell r="A875" t="str">
            <v>1VJ1C380AV4</v>
          </cell>
          <cell r="B875" t="str">
            <v>SMT</v>
          </cell>
          <cell r="C875">
            <v>1</v>
          </cell>
          <cell r="D875" t="e">
            <v>#N/A</v>
          </cell>
        </row>
        <row r="876">
          <cell r="A876" t="str">
            <v>1RE1C380AV4</v>
          </cell>
          <cell r="B876" t="str">
            <v>SMT</v>
          </cell>
          <cell r="C876">
            <v>1</v>
          </cell>
          <cell r="D876">
            <v>270</v>
          </cell>
        </row>
        <row r="877">
          <cell r="A877" t="str">
            <v>1RE2C380AV4</v>
          </cell>
          <cell r="B877" t="str">
            <v>SMT</v>
          </cell>
          <cell r="C877">
            <v>1</v>
          </cell>
          <cell r="D877">
            <v>245</v>
          </cell>
          <cell r="E877">
            <v>2210</v>
          </cell>
          <cell r="F877" t="str">
            <v>VC01</v>
          </cell>
          <cell r="G877" t="str">
            <v>Auto</v>
          </cell>
          <cell r="H877">
            <v>311</v>
          </cell>
          <cell r="I877">
            <v>2210</v>
          </cell>
          <cell r="J877">
            <v>2220</v>
          </cell>
          <cell r="K877" t="str">
            <v>VC01</v>
          </cell>
        </row>
        <row r="878">
          <cell r="A878" t="str">
            <v>1RE1F2201V4</v>
          </cell>
          <cell r="B878" t="str">
            <v>SMT</v>
          </cell>
          <cell r="C878">
            <v>1</v>
          </cell>
          <cell r="D878">
            <v>39</v>
          </cell>
        </row>
        <row r="879">
          <cell r="A879" t="str">
            <v>1RE2F2201V4</v>
          </cell>
          <cell r="B879" t="str">
            <v>SMT</v>
          </cell>
          <cell r="C879">
            <v>1</v>
          </cell>
          <cell r="D879">
            <v>80</v>
          </cell>
          <cell r="E879">
            <v>2210</v>
          </cell>
          <cell r="F879" t="str">
            <v>VC01</v>
          </cell>
          <cell r="G879" t="str">
            <v>Auto</v>
          </cell>
          <cell r="H879">
            <v>311</v>
          </cell>
          <cell r="I879">
            <v>2210</v>
          </cell>
          <cell r="J879">
            <v>2310</v>
          </cell>
          <cell r="K879" t="str">
            <v>VC01</v>
          </cell>
        </row>
        <row r="880">
          <cell r="A880" t="str">
            <v>1RE1F611KPAS</v>
          </cell>
          <cell r="B880" t="str">
            <v>SMT</v>
          </cell>
          <cell r="C880">
            <v>1</v>
          </cell>
          <cell r="D880">
            <v>48</v>
          </cell>
        </row>
        <row r="881">
          <cell r="A881" t="str">
            <v>1RE2F611KPAS</v>
          </cell>
          <cell r="B881" t="str">
            <v>SMT</v>
          </cell>
          <cell r="C881">
            <v>1</v>
          </cell>
          <cell r="D881">
            <v>342</v>
          </cell>
          <cell r="E881">
            <v>2210</v>
          </cell>
          <cell r="F881" t="str">
            <v>VC01</v>
          </cell>
          <cell r="G881" t="str">
            <v>Auto</v>
          </cell>
          <cell r="H881">
            <v>311</v>
          </cell>
          <cell r="I881">
            <v>2210</v>
          </cell>
          <cell r="J881">
            <v>2220</v>
          </cell>
          <cell r="K881" t="str">
            <v>VC01</v>
          </cell>
        </row>
        <row r="882">
          <cell r="A882" t="str">
            <v>1VJ1LP2530ZA</v>
          </cell>
          <cell r="B882" t="str">
            <v>SMT</v>
          </cell>
          <cell r="C882">
            <v>1</v>
          </cell>
          <cell r="D882" t="e">
            <v>#N/A</v>
          </cell>
        </row>
        <row r="883">
          <cell r="A883" t="str">
            <v>1RE1LP2530ZA</v>
          </cell>
          <cell r="B883" t="str">
            <v>SMT</v>
          </cell>
          <cell r="C883">
            <v>1</v>
          </cell>
          <cell r="D883">
            <v>45</v>
          </cell>
        </row>
        <row r="884">
          <cell r="A884" t="str">
            <v>1RE2LP2530ZA</v>
          </cell>
          <cell r="B884" t="str">
            <v>SMT</v>
          </cell>
          <cell r="C884">
            <v>1</v>
          </cell>
          <cell r="D884">
            <v>253</v>
          </cell>
          <cell r="E884">
            <v>2210</v>
          </cell>
          <cell r="F884" t="str">
            <v>VC01</v>
          </cell>
          <cell r="G884" t="str">
            <v>Auto</v>
          </cell>
          <cell r="H884">
            <v>311</v>
          </cell>
          <cell r="I884">
            <v>2210</v>
          </cell>
          <cell r="J884">
            <v>2220</v>
          </cell>
          <cell r="K884" t="str">
            <v>VC01</v>
          </cell>
        </row>
        <row r="885">
          <cell r="A885" t="str">
            <v>1VJ1LP2533ZA</v>
          </cell>
          <cell r="B885" t="str">
            <v>SMT</v>
          </cell>
          <cell r="C885">
            <v>1</v>
          </cell>
          <cell r="D885" t="e">
            <v>#N/A</v>
          </cell>
        </row>
        <row r="886">
          <cell r="A886" t="str">
            <v>1RE1LP2533ZA</v>
          </cell>
          <cell r="B886" t="str">
            <v>SMT</v>
          </cell>
          <cell r="C886">
            <v>1</v>
          </cell>
          <cell r="D886">
            <v>49</v>
          </cell>
        </row>
        <row r="887">
          <cell r="A887" t="str">
            <v>1RE2LP2533ZA</v>
          </cell>
          <cell r="B887" t="str">
            <v>SMT</v>
          </cell>
          <cell r="C887">
            <v>1</v>
          </cell>
          <cell r="D887">
            <v>252</v>
          </cell>
          <cell r="E887">
            <v>2210</v>
          </cell>
          <cell r="F887" t="str">
            <v>VC01</v>
          </cell>
          <cell r="G887" t="str">
            <v>Auto</v>
          </cell>
          <cell r="H887">
            <v>311</v>
          </cell>
          <cell r="I887">
            <v>2210</v>
          </cell>
          <cell r="J887">
            <v>2220</v>
          </cell>
          <cell r="K887" t="str">
            <v>VC01</v>
          </cell>
        </row>
        <row r="888">
          <cell r="A888" t="str">
            <v>1VJ1LP2556ZA</v>
          </cell>
          <cell r="B888" t="str">
            <v>SMT</v>
          </cell>
          <cell r="C888">
            <v>1</v>
          </cell>
          <cell r="D888" t="e">
            <v>#N/A</v>
          </cell>
        </row>
        <row r="889">
          <cell r="A889" t="str">
            <v>1RE1LP2556ZA</v>
          </cell>
          <cell r="B889" t="str">
            <v>SMT</v>
          </cell>
          <cell r="C889">
            <v>1</v>
          </cell>
          <cell r="D889">
            <v>105</v>
          </cell>
        </row>
        <row r="890">
          <cell r="A890" t="str">
            <v>1RE2LP2556ZA</v>
          </cell>
          <cell r="B890" t="str">
            <v>SMT</v>
          </cell>
          <cell r="C890">
            <v>1</v>
          </cell>
          <cell r="D890">
            <v>118</v>
          </cell>
          <cell r="E890">
            <v>2210</v>
          </cell>
          <cell r="F890" t="str">
            <v>VC01</v>
          </cell>
          <cell r="G890" t="str">
            <v>Auto</v>
          </cell>
          <cell r="H890">
            <v>311</v>
          </cell>
          <cell r="I890">
            <v>2210</v>
          </cell>
          <cell r="J890">
            <v>2220</v>
          </cell>
          <cell r="K890" t="str">
            <v>VC01</v>
          </cell>
        </row>
        <row r="891">
          <cell r="A891" t="str">
            <v>1VJ1LPTCA185BRRZA</v>
          </cell>
          <cell r="B891" t="str">
            <v>SMT</v>
          </cell>
          <cell r="C891">
            <v>1</v>
          </cell>
          <cell r="D891" t="e">
            <v>#N/A</v>
          </cell>
        </row>
        <row r="892">
          <cell r="A892" t="str">
            <v>1RE1LPTCA185BRRZA</v>
          </cell>
          <cell r="B892" t="str">
            <v>SMT</v>
          </cell>
          <cell r="C892">
            <v>1</v>
          </cell>
          <cell r="D892">
            <v>14</v>
          </cell>
        </row>
        <row r="893">
          <cell r="A893" t="str">
            <v>1RE2LPTCA185BRRZA</v>
          </cell>
          <cell r="B893" t="str">
            <v>SMT</v>
          </cell>
          <cell r="C893">
            <v>1</v>
          </cell>
          <cell r="D893">
            <v>203</v>
          </cell>
          <cell r="E893">
            <v>2210</v>
          </cell>
          <cell r="F893" t="str">
            <v>VC01</v>
          </cell>
          <cell r="G893" t="str">
            <v>Auto</v>
          </cell>
          <cell r="H893">
            <v>311</v>
          </cell>
          <cell r="I893">
            <v>2210</v>
          </cell>
          <cell r="J893">
            <v>2220</v>
          </cell>
          <cell r="K893" t="str">
            <v>VC01</v>
          </cell>
        </row>
        <row r="894">
          <cell r="A894" t="str">
            <v>1VJ1LPTCA185CERZA</v>
          </cell>
          <cell r="B894" t="str">
            <v>SMT</v>
          </cell>
          <cell r="C894">
            <v>1</v>
          </cell>
          <cell r="D894" t="e">
            <v>#N/A</v>
          </cell>
        </row>
        <row r="895">
          <cell r="A895" t="str">
            <v>1RE1LPTCA185CERZA</v>
          </cell>
          <cell r="B895" t="str">
            <v>SMT</v>
          </cell>
          <cell r="C895">
            <v>1</v>
          </cell>
          <cell r="D895">
            <v>14</v>
          </cell>
        </row>
        <row r="896">
          <cell r="A896" t="str">
            <v>1RE2LPTCA185CERZA</v>
          </cell>
          <cell r="B896" t="str">
            <v>SMT</v>
          </cell>
          <cell r="C896">
            <v>1</v>
          </cell>
          <cell r="D896">
            <v>202</v>
          </cell>
          <cell r="E896">
            <v>2210</v>
          </cell>
          <cell r="F896" t="str">
            <v>VC01</v>
          </cell>
          <cell r="G896" t="str">
            <v>Auto</v>
          </cell>
          <cell r="H896">
            <v>311</v>
          </cell>
          <cell r="I896">
            <v>2210</v>
          </cell>
          <cell r="J896">
            <v>2220</v>
          </cell>
          <cell r="K896" t="str">
            <v>VC01</v>
          </cell>
        </row>
        <row r="897">
          <cell r="A897" t="str">
            <v>1VJ1LPTCA185RURZA</v>
          </cell>
          <cell r="B897" t="str">
            <v>SMT</v>
          </cell>
          <cell r="C897">
            <v>1</v>
          </cell>
          <cell r="D897" t="e">
            <v>#N/A</v>
          </cell>
        </row>
        <row r="898">
          <cell r="A898" t="str">
            <v>1RE1LPTCA185RURZA</v>
          </cell>
          <cell r="B898" t="str">
            <v>SMT</v>
          </cell>
          <cell r="C898">
            <v>1</v>
          </cell>
          <cell r="D898">
            <v>15</v>
          </cell>
        </row>
        <row r="899">
          <cell r="A899" t="str">
            <v>1RE2LPTCA185RURZA</v>
          </cell>
          <cell r="B899" t="str">
            <v>SMT</v>
          </cell>
          <cell r="C899">
            <v>1</v>
          </cell>
          <cell r="D899">
            <v>202</v>
          </cell>
          <cell r="E899">
            <v>2210</v>
          </cell>
          <cell r="F899" t="str">
            <v>VC01</v>
          </cell>
          <cell r="G899" t="str">
            <v>Auto</v>
          </cell>
          <cell r="H899">
            <v>311</v>
          </cell>
          <cell r="I899">
            <v>2210</v>
          </cell>
          <cell r="J899">
            <v>2220</v>
          </cell>
          <cell r="K899" t="str">
            <v>VC01</v>
          </cell>
        </row>
        <row r="900">
          <cell r="A900" t="str">
            <v>PNLB1926ZB-GL</v>
          </cell>
          <cell r="B900" t="str">
            <v>SMT</v>
          </cell>
          <cell r="C900">
            <v>1</v>
          </cell>
          <cell r="D900" t="e">
            <v>#N/A</v>
          </cell>
        </row>
        <row r="901">
          <cell r="A901" t="str">
            <v>1VJ1LPTCA185RZA</v>
          </cell>
          <cell r="B901" t="str">
            <v>SMT</v>
          </cell>
          <cell r="C901">
            <v>1</v>
          </cell>
          <cell r="D901" t="e">
            <v>#N/A</v>
          </cell>
        </row>
        <row r="902">
          <cell r="A902" t="str">
            <v>1RE1LPTCA185RZA</v>
          </cell>
          <cell r="B902" t="str">
            <v>SMT</v>
          </cell>
          <cell r="C902">
            <v>1</v>
          </cell>
          <cell r="D902">
            <v>14</v>
          </cell>
        </row>
        <row r="903">
          <cell r="A903" t="str">
            <v>1RE2LPTCA185RZA</v>
          </cell>
          <cell r="B903" t="str">
            <v>SMT</v>
          </cell>
          <cell r="C903">
            <v>1</v>
          </cell>
          <cell r="D903">
            <v>202</v>
          </cell>
          <cell r="E903">
            <v>2210</v>
          </cell>
          <cell r="F903" t="str">
            <v>VC01</v>
          </cell>
          <cell r="G903" t="str">
            <v>Auto</v>
          </cell>
          <cell r="H903">
            <v>311</v>
          </cell>
          <cell r="I903">
            <v>2210</v>
          </cell>
          <cell r="J903">
            <v>2220</v>
          </cell>
          <cell r="K903" t="str">
            <v>VC01</v>
          </cell>
        </row>
        <row r="904">
          <cell r="A904" t="str">
            <v>1VJ1LPTCA285CERZA</v>
          </cell>
          <cell r="B904" t="str">
            <v>SMT</v>
          </cell>
          <cell r="C904">
            <v>1</v>
          </cell>
          <cell r="D904" t="e">
            <v>#N/A</v>
          </cell>
        </row>
        <row r="905">
          <cell r="A905" t="str">
            <v>1RE1LPTCA285CERZA</v>
          </cell>
          <cell r="B905" t="str">
            <v>SMT</v>
          </cell>
          <cell r="C905">
            <v>1</v>
          </cell>
          <cell r="D905">
            <v>26</v>
          </cell>
        </row>
        <row r="906">
          <cell r="A906" t="str">
            <v>1RE2LPTCA285CERZA</v>
          </cell>
          <cell r="B906" t="str">
            <v>SMT</v>
          </cell>
          <cell r="C906">
            <v>1</v>
          </cell>
          <cell r="D906">
            <v>199</v>
          </cell>
          <cell r="E906">
            <v>2210</v>
          </cell>
          <cell r="F906" t="str">
            <v>VC01</v>
          </cell>
          <cell r="G906" t="str">
            <v>Auto</v>
          </cell>
          <cell r="H906">
            <v>311</v>
          </cell>
          <cell r="I906">
            <v>2210</v>
          </cell>
          <cell r="J906">
            <v>2220</v>
          </cell>
          <cell r="K906" t="str">
            <v>VC01</v>
          </cell>
        </row>
        <row r="907">
          <cell r="A907" t="str">
            <v>1VJ1LPTCA285RURZA</v>
          </cell>
          <cell r="B907" t="str">
            <v>SMT</v>
          </cell>
          <cell r="C907">
            <v>1</v>
          </cell>
          <cell r="D907" t="e">
            <v>#N/A</v>
          </cell>
        </row>
        <row r="908">
          <cell r="A908" t="str">
            <v>1RE1LPTCA285RURZA</v>
          </cell>
          <cell r="B908" t="str">
            <v>SMT</v>
          </cell>
          <cell r="C908">
            <v>1</v>
          </cell>
          <cell r="D908">
            <v>25</v>
          </cell>
        </row>
        <row r="909">
          <cell r="A909" t="str">
            <v>1RE2LPTCA285RURZA</v>
          </cell>
          <cell r="B909" t="str">
            <v>SMT</v>
          </cell>
          <cell r="C909">
            <v>1</v>
          </cell>
          <cell r="D909">
            <v>199</v>
          </cell>
          <cell r="E909">
            <v>2210</v>
          </cell>
          <cell r="F909" t="str">
            <v>VC01</v>
          </cell>
          <cell r="G909" t="str">
            <v>Auto</v>
          </cell>
          <cell r="H909">
            <v>311</v>
          </cell>
          <cell r="I909">
            <v>2210</v>
          </cell>
          <cell r="J909">
            <v>2220</v>
          </cell>
          <cell r="K909" t="str">
            <v>VC01</v>
          </cell>
        </row>
        <row r="910">
          <cell r="A910" t="str">
            <v>PNLB2026ZC-GL</v>
          </cell>
          <cell r="B910" t="str">
            <v>SMT</v>
          </cell>
          <cell r="C910">
            <v>1</v>
          </cell>
          <cell r="D910" t="e">
            <v>#N/A</v>
          </cell>
        </row>
        <row r="911">
          <cell r="A911" t="str">
            <v>1VJ1LPTCA285RZA</v>
          </cell>
          <cell r="B911" t="str">
            <v>SMT</v>
          </cell>
          <cell r="C911">
            <v>1</v>
          </cell>
          <cell r="D911" t="e">
            <v>#N/A</v>
          </cell>
        </row>
        <row r="912">
          <cell r="A912" t="str">
            <v>1RE1LPTCA285RZA</v>
          </cell>
          <cell r="B912" t="str">
            <v>SMT</v>
          </cell>
          <cell r="C912">
            <v>1</v>
          </cell>
          <cell r="D912">
            <v>25</v>
          </cell>
        </row>
        <row r="913">
          <cell r="A913" t="str">
            <v>1RE2LPTCA285RZA</v>
          </cell>
          <cell r="B913" t="str">
            <v>SMT</v>
          </cell>
          <cell r="C913">
            <v>1</v>
          </cell>
          <cell r="D913">
            <v>199</v>
          </cell>
          <cell r="E913">
            <v>2210</v>
          </cell>
          <cell r="F913" t="str">
            <v>VC01</v>
          </cell>
          <cell r="G913" t="str">
            <v>Auto</v>
          </cell>
          <cell r="H913">
            <v>311</v>
          </cell>
          <cell r="I913">
            <v>2210</v>
          </cell>
          <cell r="J913">
            <v>2220</v>
          </cell>
          <cell r="K913" t="str">
            <v>VC01</v>
          </cell>
        </row>
        <row r="914">
          <cell r="A914" t="str">
            <v>1VJ1LPTCA385CERZA</v>
          </cell>
          <cell r="B914" t="str">
            <v>SMT</v>
          </cell>
          <cell r="C914">
            <v>1</v>
          </cell>
          <cell r="D914" t="e">
            <v>#N/A</v>
          </cell>
        </row>
        <row r="915">
          <cell r="A915" t="str">
            <v>1RE1LPTCA385CERZA</v>
          </cell>
          <cell r="B915" t="str">
            <v>SMT</v>
          </cell>
          <cell r="C915">
            <v>1</v>
          </cell>
          <cell r="D915">
            <v>21</v>
          </cell>
        </row>
        <row r="916">
          <cell r="A916" t="str">
            <v>1RE2LPTCA385CERZA</v>
          </cell>
          <cell r="B916" t="str">
            <v>SMT</v>
          </cell>
          <cell r="C916">
            <v>1</v>
          </cell>
          <cell r="D916">
            <v>163</v>
          </cell>
          <cell r="E916">
            <v>2210</v>
          </cell>
          <cell r="F916" t="str">
            <v>VC01</v>
          </cell>
          <cell r="G916" t="str">
            <v>Auto</v>
          </cell>
          <cell r="H916">
            <v>311</v>
          </cell>
          <cell r="I916">
            <v>2210</v>
          </cell>
          <cell r="J916">
            <v>2220</v>
          </cell>
          <cell r="K916" t="str">
            <v>VC01</v>
          </cell>
        </row>
        <row r="917">
          <cell r="A917" t="str">
            <v>PNLB2100ZB-GL</v>
          </cell>
          <cell r="B917" t="str">
            <v>SMT</v>
          </cell>
          <cell r="C917">
            <v>1</v>
          </cell>
          <cell r="D917" t="e">
            <v>#N/A</v>
          </cell>
        </row>
        <row r="918">
          <cell r="A918" t="str">
            <v>1VJ1LPTCA385RZA</v>
          </cell>
          <cell r="B918" t="str">
            <v>SMT</v>
          </cell>
          <cell r="C918">
            <v>1</v>
          </cell>
          <cell r="D918" t="e">
            <v>#N/A</v>
          </cell>
        </row>
        <row r="919">
          <cell r="A919" t="str">
            <v>1RE1LPTCA385RZA</v>
          </cell>
          <cell r="B919" t="str">
            <v>SMT</v>
          </cell>
          <cell r="C919">
            <v>1</v>
          </cell>
          <cell r="D919">
            <v>21</v>
          </cell>
        </row>
        <row r="920">
          <cell r="A920" t="str">
            <v>1RE2LPTCA385RZA</v>
          </cell>
          <cell r="B920" t="str">
            <v>SMT</v>
          </cell>
          <cell r="C920">
            <v>1</v>
          </cell>
          <cell r="D920">
            <v>163</v>
          </cell>
          <cell r="E920">
            <v>2210</v>
          </cell>
          <cell r="F920" t="str">
            <v>VC01</v>
          </cell>
          <cell r="G920" t="str">
            <v>Auto</v>
          </cell>
          <cell r="H920">
            <v>311</v>
          </cell>
          <cell r="I920">
            <v>2210</v>
          </cell>
          <cell r="J920">
            <v>2220</v>
          </cell>
          <cell r="K920" t="str">
            <v>VC01</v>
          </cell>
        </row>
        <row r="921">
          <cell r="A921" t="str">
            <v>1VJ1LPUDT111CERZA</v>
          </cell>
          <cell r="B921" t="str">
            <v>SMT</v>
          </cell>
          <cell r="C921">
            <v>1</v>
          </cell>
          <cell r="D921" t="e">
            <v>#N/A</v>
          </cell>
        </row>
        <row r="922">
          <cell r="A922" t="str">
            <v>1RE1LPUDT111CERZA</v>
          </cell>
          <cell r="B922" t="str">
            <v>SMT</v>
          </cell>
          <cell r="C922">
            <v>1</v>
          </cell>
          <cell r="D922">
            <v>14</v>
          </cell>
        </row>
        <row r="923">
          <cell r="A923" t="str">
            <v>1RE2LPUDT111CERZA</v>
          </cell>
          <cell r="B923" t="str">
            <v>SMT</v>
          </cell>
          <cell r="C923">
            <v>1</v>
          </cell>
          <cell r="D923">
            <v>202</v>
          </cell>
          <cell r="E923">
            <v>2210</v>
          </cell>
          <cell r="F923" t="str">
            <v>VC01</v>
          </cell>
          <cell r="G923" t="str">
            <v>Auto</v>
          </cell>
          <cell r="H923">
            <v>311</v>
          </cell>
          <cell r="I923">
            <v>2210</v>
          </cell>
          <cell r="J923">
            <v>2220</v>
          </cell>
          <cell r="K923" t="str">
            <v>VC01</v>
          </cell>
        </row>
        <row r="924">
          <cell r="A924" t="str">
            <v>1VJ1LPUDT111RURZA</v>
          </cell>
          <cell r="B924" t="str">
            <v>SMT</v>
          </cell>
          <cell r="C924">
            <v>1</v>
          </cell>
          <cell r="D924" t="e">
            <v>#N/A</v>
          </cell>
        </row>
        <row r="925">
          <cell r="A925" t="str">
            <v>1RE1LPUDT111RURZA</v>
          </cell>
          <cell r="B925" t="str">
            <v>SMT</v>
          </cell>
          <cell r="C925">
            <v>1</v>
          </cell>
          <cell r="D925">
            <v>15</v>
          </cell>
        </row>
        <row r="926">
          <cell r="A926" t="str">
            <v>1RE2LPUDT111RURZA</v>
          </cell>
          <cell r="B926" t="str">
            <v>SMT</v>
          </cell>
          <cell r="C926">
            <v>1</v>
          </cell>
          <cell r="D926">
            <v>202</v>
          </cell>
          <cell r="E926">
            <v>2210</v>
          </cell>
          <cell r="F926" t="str">
            <v>VC01</v>
          </cell>
          <cell r="G926" t="str">
            <v>Auto</v>
          </cell>
          <cell r="H926">
            <v>311</v>
          </cell>
          <cell r="I926">
            <v>2210</v>
          </cell>
          <cell r="J926">
            <v>2220</v>
          </cell>
          <cell r="K926" t="str">
            <v>VC01</v>
          </cell>
        </row>
        <row r="927">
          <cell r="A927" t="str">
            <v>1VJ1LPUDT131CERZA</v>
          </cell>
          <cell r="B927" t="str">
            <v>SMT</v>
          </cell>
          <cell r="C927">
            <v>1</v>
          </cell>
          <cell r="D927" t="e">
            <v>#N/A</v>
          </cell>
        </row>
        <row r="928">
          <cell r="A928" t="str">
            <v>1RE1LPUDT131CERZA</v>
          </cell>
          <cell r="B928" t="str">
            <v>SMT</v>
          </cell>
          <cell r="C928">
            <v>1</v>
          </cell>
          <cell r="D928">
            <v>21</v>
          </cell>
        </row>
        <row r="929">
          <cell r="A929" t="str">
            <v>1RE2LPUDT131CERZA</v>
          </cell>
          <cell r="B929" t="str">
            <v>SMT</v>
          </cell>
          <cell r="C929">
            <v>1</v>
          </cell>
          <cell r="D929">
            <v>163</v>
          </cell>
          <cell r="E929">
            <v>2210</v>
          </cell>
          <cell r="F929" t="str">
            <v>VC01</v>
          </cell>
          <cell r="G929" t="str">
            <v>Auto</v>
          </cell>
          <cell r="H929">
            <v>311</v>
          </cell>
          <cell r="I929">
            <v>2210</v>
          </cell>
          <cell r="J929">
            <v>2220</v>
          </cell>
          <cell r="K929" t="str">
            <v>VC01</v>
          </cell>
        </row>
        <row r="930">
          <cell r="A930" t="str">
            <v>1VJ1LPUDT131RZA</v>
          </cell>
          <cell r="B930" t="str">
            <v>SMT</v>
          </cell>
          <cell r="C930">
            <v>1</v>
          </cell>
          <cell r="D930" t="e">
            <v>#N/A</v>
          </cell>
        </row>
        <row r="931">
          <cell r="A931" t="str">
            <v>1RE1LPUDT131RZA</v>
          </cell>
          <cell r="B931" t="str">
            <v>SMT</v>
          </cell>
          <cell r="C931">
            <v>1</v>
          </cell>
          <cell r="D931">
            <v>21</v>
          </cell>
        </row>
        <row r="932">
          <cell r="A932" t="str">
            <v>1RE2LPUDT131RZA</v>
          </cell>
          <cell r="B932" t="str">
            <v>SMT</v>
          </cell>
          <cell r="C932">
            <v>1</v>
          </cell>
          <cell r="D932">
            <v>163</v>
          </cell>
          <cell r="E932">
            <v>2210</v>
          </cell>
          <cell r="F932" t="str">
            <v>VC01</v>
          </cell>
          <cell r="G932" t="str">
            <v>Auto</v>
          </cell>
          <cell r="H932">
            <v>311</v>
          </cell>
          <cell r="I932">
            <v>2210</v>
          </cell>
          <cell r="J932">
            <v>2220</v>
          </cell>
          <cell r="K932" t="str">
            <v>VC01</v>
          </cell>
        </row>
        <row r="933">
          <cell r="A933" t="str">
            <v>1RE1NCP1104XV4</v>
          </cell>
          <cell r="B933" t="str">
            <v>SMT</v>
          </cell>
          <cell r="C933">
            <v>1</v>
          </cell>
          <cell r="D933">
            <v>127</v>
          </cell>
        </row>
        <row r="934">
          <cell r="A934" t="str">
            <v>1RE2NCP1104XV4</v>
          </cell>
          <cell r="B934" t="str">
            <v>SMT</v>
          </cell>
          <cell r="C934">
            <v>1</v>
          </cell>
          <cell r="D934">
            <v>116</v>
          </cell>
          <cell r="E934">
            <v>2210</v>
          </cell>
          <cell r="F934" t="str">
            <v>VC01</v>
          </cell>
          <cell r="G934" t="str">
            <v>Auto</v>
          </cell>
          <cell r="H934">
            <v>311</v>
          </cell>
          <cell r="I934">
            <v>2210</v>
          </cell>
          <cell r="J934">
            <v>2310</v>
          </cell>
          <cell r="K934" t="str">
            <v>VC01</v>
          </cell>
        </row>
        <row r="935">
          <cell r="A935" t="str">
            <v>1VJ1NS0106X</v>
          </cell>
          <cell r="B935" t="str">
            <v>SMT</v>
          </cell>
          <cell r="C935">
            <v>1</v>
          </cell>
          <cell r="D935" t="e">
            <v>#N/A</v>
          </cell>
        </row>
        <row r="936">
          <cell r="A936" t="str">
            <v>1RE1NS0106X</v>
          </cell>
          <cell r="B936" t="str">
            <v>SMT</v>
          </cell>
          <cell r="C936">
            <v>1</v>
          </cell>
          <cell r="D936">
            <v>145</v>
          </cell>
        </row>
        <row r="937">
          <cell r="A937" t="str">
            <v>1RE2NS0106X</v>
          </cell>
          <cell r="B937" t="str">
            <v>SMT</v>
          </cell>
          <cell r="C937">
            <v>1</v>
          </cell>
          <cell r="D937">
            <v>131</v>
          </cell>
          <cell r="E937">
            <v>2210</v>
          </cell>
          <cell r="F937" t="str">
            <v>VC01</v>
          </cell>
          <cell r="G937" t="str">
            <v>Auto</v>
          </cell>
          <cell r="H937">
            <v>311</v>
          </cell>
          <cell r="I937">
            <v>2210</v>
          </cell>
          <cell r="J937">
            <v>2310</v>
          </cell>
          <cell r="K937" t="str">
            <v>VC01</v>
          </cell>
        </row>
        <row r="938">
          <cell r="A938" t="str">
            <v>1RE1NS0110X</v>
          </cell>
          <cell r="B938" t="str">
            <v>SMT</v>
          </cell>
          <cell r="C938">
            <v>1</v>
          </cell>
          <cell r="D938">
            <v>114</v>
          </cell>
        </row>
        <row r="939">
          <cell r="A939" t="str">
            <v>1RE2NS0110X</v>
          </cell>
          <cell r="B939" t="str">
            <v>SMT</v>
          </cell>
          <cell r="C939">
            <v>1</v>
          </cell>
          <cell r="D939">
            <v>195</v>
          </cell>
          <cell r="E939">
            <v>2210</v>
          </cell>
          <cell r="F939" t="str">
            <v>VC01</v>
          </cell>
          <cell r="G939" t="str">
            <v>Auto</v>
          </cell>
          <cell r="H939">
            <v>311</v>
          </cell>
          <cell r="I939">
            <v>2210</v>
          </cell>
          <cell r="J939">
            <v>2310</v>
          </cell>
          <cell r="K939" t="str">
            <v>VC01</v>
          </cell>
        </row>
        <row r="940">
          <cell r="A940" t="str">
            <v>1RE1NS0110XSX</v>
          </cell>
          <cell r="B940" t="str">
            <v>SMT</v>
          </cell>
          <cell r="C940">
            <v>1</v>
          </cell>
          <cell r="D940">
            <v>114</v>
          </cell>
        </row>
        <row r="941">
          <cell r="A941" t="str">
            <v>1RE2NS0110XSX</v>
          </cell>
          <cell r="B941" t="str">
            <v>SMT</v>
          </cell>
          <cell r="C941">
            <v>1</v>
          </cell>
          <cell r="D941">
            <v>195</v>
          </cell>
          <cell r="E941">
            <v>2210</v>
          </cell>
          <cell r="F941" t="str">
            <v>VC01</v>
          </cell>
          <cell r="G941" t="str">
            <v>Auto</v>
          </cell>
          <cell r="H941">
            <v>311</v>
          </cell>
          <cell r="I941">
            <v>2210</v>
          </cell>
          <cell r="J941">
            <v>2310</v>
          </cell>
          <cell r="K941" t="str">
            <v>VC01</v>
          </cell>
        </row>
        <row r="942">
          <cell r="A942" t="str">
            <v>1RE1NS0111X</v>
          </cell>
          <cell r="B942" t="str">
            <v>SMT</v>
          </cell>
          <cell r="C942">
            <v>1</v>
          </cell>
          <cell r="D942">
            <v>114</v>
          </cell>
        </row>
        <row r="943">
          <cell r="A943" t="str">
            <v>1RE2NS0111X</v>
          </cell>
          <cell r="B943" t="str">
            <v>SMT</v>
          </cell>
          <cell r="C943">
            <v>1</v>
          </cell>
          <cell r="D943">
            <v>195</v>
          </cell>
          <cell r="E943">
            <v>2210</v>
          </cell>
          <cell r="F943" t="str">
            <v>VC01</v>
          </cell>
          <cell r="G943" t="str">
            <v>Auto</v>
          </cell>
          <cell r="H943">
            <v>311</v>
          </cell>
          <cell r="I943">
            <v>2210</v>
          </cell>
          <cell r="J943">
            <v>2310</v>
          </cell>
          <cell r="K943" t="str">
            <v>VC01</v>
          </cell>
        </row>
        <row r="944">
          <cell r="A944" t="str">
            <v>1RE1NS0111XSX</v>
          </cell>
          <cell r="B944" t="str">
            <v>SMT</v>
          </cell>
          <cell r="C944">
            <v>1</v>
          </cell>
          <cell r="D944">
            <v>114</v>
          </cell>
        </row>
        <row r="945">
          <cell r="A945" t="str">
            <v>1RE2NS0111XSX</v>
          </cell>
          <cell r="B945" t="str">
            <v>SMT</v>
          </cell>
          <cell r="C945">
            <v>1</v>
          </cell>
          <cell r="D945">
            <v>195</v>
          </cell>
          <cell r="E945">
            <v>2210</v>
          </cell>
          <cell r="F945" t="str">
            <v>VC01</v>
          </cell>
          <cell r="G945" t="str">
            <v>Auto</v>
          </cell>
          <cell r="H945">
            <v>311</v>
          </cell>
          <cell r="I945">
            <v>2210</v>
          </cell>
          <cell r="J945">
            <v>2310</v>
          </cell>
          <cell r="K945" t="str">
            <v>VC01</v>
          </cell>
        </row>
        <row r="946">
          <cell r="A946" t="str">
            <v>1RE1NS0112</v>
          </cell>
          <cell r="B946" t="str">
            <v>SMT</v>
          </cell>
          <cell r="C946">
            <v>1</v>
          </cell>
          <cell r="D946">
            <v>207</v>
          </cell>
        </row>
        <row r="947">
          <cell r="A947" t="str">
            <v>1RE2NS0112</v>
          </cell>
          <cell r="B947" t="str">
            <v>SMT</v>
          </cell>
          <cell r="C947">
            <v>1</v>
          </cell>
          <cell r="D947">
            <v>290</v>
          </cell>
          <cell r="E947">
            <v>2210</v>
          </cell>
          <cell r="F947" t="str">
            <v>VC01</v>
          </cell>
          <cell r="G947" t="str">
            <v>Auto</v>
          </cell>
          <cell r="H947">
            <v>311</v>
          </cell>
          <cell r="I947">
            <v>2210</v>
          </cell>
          <cell r="J947">
            <v>2310</v>
          </cell>
          <cell r="K947" t="str">
            <v>VC01</v>
          </cell>
        </row>
        <row r="948">
          <cell r="A948" t="str">
            <v>1RE1NS0112X</v>
          </cell>
          <cell r="B948" t="str">
            <v>SMT</v>
          </cell>
          <cell r="C948">
            <v>1</v>
          </cell>
          <cell r="D948">
            <v>207</v>
          </cell>
        </row>
        <row r="949">
          <cell r="A949" t="str">
            <v>1RE2NS0112X</v>
          </cell>
          <cell r="B949" t="str">
            <v>SMT</v>
          </cell>
          <cell r="C949">
            <v>1</v>
          </cell>
          <cell r="D949">
            <v>290</v>
          </cell>
          <cell r="E949">
            <v>2210</v>
          </cell>
          <cell r="F949" t="str">
            <v>VC01</v>
          </cell>
          <cell r="G949" t="str">
            <v>Auto</v>
          </cell>
          <cell r="H949">
            <v>311</v>
          </cell>
          <cell r="I949">
            <v>2210</v>
          </cell>
          <cell r="J949">
            <v>2310</v>
          </cell>
          <cell r="K949" t="str">
            <v>VC01</v>
          </cell>
        </row>
        <row r="950">
          <cell r="A950" t="str">
            <v>1RE1NS5110</v>
          </cell>
          <cell r="B950" t="str">
            <v>SMT</v>
          </cell>
          <cell r="C950">
            <v>1</v>
          </cell>
          <cell r="D950">
            <v>113</v>
          </cell>
        </row>
        <row r="951">
          <cell r="A951" t="str">
            <v>1RE2NS5110</v>
          </cell>
          <cell r="B951" t="str">
            <v>SMT</v>
          </cell>
          <cell r="C951">
            <v>1</v>
          </cell>
          <cell r="D951">
            <v>195</v>
          </cell>
          <cell r="E951">
            <v>2210</v>
          </cell>
          <cell r="F951" t="str">
            <v>VC01</v>
          </cell>
          <cell r="G951" t="str">
            <v>Auto</v>
          </cell>
          <cell r="H951">
            <v>311</v>
          </cell>
          <cell r="I951">
            <v>2210</v>
          </cell>
          <cell r="J951">
            <v>2310</v>
          </cell>
          <cell r="K951" t="str">
            <v>VC01</v>
          </cell>
        </row>
        <row r="952">
          <cell r="A952" t="str">
            <v>1RE1NS5110SX</v>
          </cell>
          <cell r="B952" t="str">
            <v>SMT</v>
          </cell>
          <cell r="C952">
            <v>1</v>
          </cell>
          <cell r="D952">
            <v>113</v>
          </cell>
        </row>
        <row r="953">
          <cell r="A953" t="str">
            <v>1RE2NS5110SX</v>
          </cell>
          <cell r="B953" t="str">
            <v>SMT</v>
          </cell>
          <cell r="C953">
            <v>1</v>
          </cell>
          <cell r="D953">
            <v>195</v>
          </cell>
          <cell r="E953">
            <v>2210</v>
          </cell>
          <cell r="F953" t="str">
            <v>VC01</v>
          </cell>
          <cell r="G953" t="str">
            <v>Auto</v>
          </cell>
          <cell r="H953">
            <v>311</v>
          </cell>
          <cell r="I953">
            <v>2210</v>
          </cell>
          <cell r="J953">
            <v>2310</v>
          </cell>
          <cell r="K953" t="str">
            <v>VC01</v>
          </cell>
        </row>
        <row r="954">
          <cell r="A954" t="str">
            <v>1RE1NS5110X</v>
          </cell>
          <cell r="B954" t="str">
            <v>SMT</v>
          </cell>
          <cell r="C954">
            <v>1</v>
          </cell>
          <cell r="D954">
            <v>113</v>
          </cell>
        </row>
        <row r="955">
          <cell r="A955" t="str">
            <v>1RE2NS5110X</v>
          </cell>
          <cell r="B955" t="str">
            <v>SMT</v>
          </cell>
          <cell r="C955">
            <v>1</v>
          </cell>
          <cell r="D955">
            <v>195</v>
          </cell>
          <cell r="E955">
            <v>2210</v>
          </cell>
          <cell r="F955" t="str">
            <v>VC01</v>
          </cell>
          <cell r="G955" t="str">
            <v>Auto</v>
          </cell>
          <cell r="H955">
            <v>311</v>
          </cell>
          <cell r="I955">
            <v>2210</v>
          </cell>
          <cell r="J955">
            <v>2310</v>
          </cell>
          <cell r="K955" t="str">
            <v>VC01</v>
          </cell>
        </row>
        <row r="956">
          <cell r="A956" t="str">
            <v>1RE1NS5111X</v>
          </cell>
          <cell r="B956" t="str">
            <v>SMT</v>
          </cell>
          <cell r="C956">
            <v>1</v>
          </cell>
          <cell r="D956">
            <v>113</v>
          </cell>
        </row>
        <row r="957">
          <cell r="A957" t="str">
            <v>1RE2NS5111X</v>
          </cell>
          <cell r="B957" t="str">
            <v>SMT</v>
          </cell>
          <cell r="C957">
            <v>1</v>
          </cell>
          <cell r="D957">
            <v>195</v>
          </cell>
          <cell r="E957">
            <v>2210</v>
          </cell>
          <cell r="F957" t="str">
            <v>VC01</v>
          </cell>
          <cell r="G957" t="str">
            <v>Auto</v>
          </cell>
          <cell r="H957">
            <v>311</v>
          </cell>
          <cell r="I957">
            <v>2210</v>
          </cell>
          <cell r="J957">
            <v>2310</v>
          </cell>
          <cell r="K957" t="str">
            <v>VC01</v>
          </cell>
        </row>
        <row r="958">
          <cell r="A958" t="str">
            <v>1RE1NS5112X</v>
          </cell>
          <cell r="B958" t="str">
            <v>SMT</v>
          </cell>
          <cell r="C958">
            <v>1</v>
          </cell>
          <cell r="D958">
            <v>206</v>
          </cell>
        </row>
        <row r="959">
          <cell r="A959" t="str">
            <v>1RE2NS5112X</v>
          </cell>
          <cell r="B959" t="str">
            <v>SMT</v>
          </cell>
          <cell r="C959">
            <v>1</v>
          </cell>
          <cell r="D959">
            <v>290</v>
          </cell>
          <cell r="E959">
            <v>2210</v>
          </cell>
          <cell r="F959" t="str">
            <v>VC01</v>
          </cell>
          <cell r="G959" t="str">
            <v>Auto</v>
          </cell>
          <cell r="H959">
            <v>311</v>
          </cell>
          <cell r="I959">
            <v>2210</v>
          </cell>
          <cell r="J959">
            <v>2310</v>
          </cell>
          <cell r="K959" t="str">
            <v>VC01</v>
          </cell>
        </row>
        <row r="960">
          <cell r="A960" t="str">
            <v>1RE1PSLP1486ZA</v>
          </cell>
          <cell r="B960" t="str">
            <v>SMT</v>
          </cell>
          <cell r="C960">
            <v>1</v>
          </cell>
          <cell r="D960">
            <v>72</v>
          </cell>
        </row>
        <row r="961">
          <cell r="A961" t="str">
            <v>1RE2PSLP1486ZA</v>
          </cell>
          <cell r="B961" t="str">
            <v>SMT</v>
          </cell>
          <cell r="C961">
            <v>1</v>
          </cell>
          <cell r="D961">
            <v>235</v>
          </cell>
          <cell r="E961">
            <v>2210</v>
          </cell>
          <cell r="F961" t="str">
            <v>VC01</v>
          </cell>
          <cell r="G961" t="str">
            <v>Auto</v>
          </cell>
          <cell r="H961">
            <v>311</v>
          </cell>
          <cell r="I961">
            <v>2210</v>
          </cell>
          <cell r="J961">
            <v>2310</v>
          </cell>
          <cell r="K961" t="str">
            <v>VC01</v>
          </cell>
        </row>
        <row r="962">
          <cell r="A962" t="str">
            <v>1RE1PSLP1498ZAL4</v>
          </cell>
          <cell r="B962" t="str">
            <v>SMT</v>
          </cell>
          <cell r="C962">
            <v>1</v>
          </cell>
          <cell r="D962">
            <v>34</v>
          </cell>
        </row>
        <row r="963">
          <cell r="A963" t="str">
            <v>1RE2PSLP1498ZAL4</v>
          </cell>
          <cell r="B963" t="str">
            <v>SMT</v>
          </cell>
          <cell r="C963">
            <v>1</v>
          </cell>
          <cell r="D963">
            <v>310</v>
          </cell>
          <cell r="E963">
            <v>2210</v>
          </cell>
          <cell r="F963" t="str">
            <v>VC01</v>
          </cell>
          <cell r="G963" t="str">
            <v>Auto</v>
          </cell>
          <cell r="H963">
            <v>311</v>
          </cell>
          <cell r="I963">
            <v>2210</v>
          </cell>
          <cell r="J963">
            <v>2220</v>
          </cell>
          <cell r="K963" t="str">
            <v>VC01</v>
          </cell>
        </row>
        <row r="964">
          <cell r="A964" t="str">
            <v>1RE1PSLP1499ZAL4</v>
          </cell>
          <cell r="B964" t="str">
            <v>SMT</v>
          </cell>
          <cell r="C964">
            <v>1</v>
          </cell>
          <cell r="D964">
            <v>50</v>
          </cell>
        </row>
        <row r="965">
          <cell r="A965" t="str">
            <v>1RE2PSLP1499ZAL4</v>
          </cell>
          <cell r="B965" t="str">
            <v>SMT</v>
          </cell>
          <cell r="C965">
            <v>1</v>
          </cell>
          <cell r="D965">
            <v>352</v>
          </cell>
          <cell r="E965">
            <v>2210</v>
          </cell>
          <cell r="F965" t="str">
            <v>VC01</v>
          </cell>
          <cell r="G965" t="str">
            <v>Auto</v>
          </cell>
          <cell r="H965">
            <v>311</v>
          </cell>
          <cell r="I965">
            <v>2210</v>
          </cell>
          <cell r="J965">
            <v>2220</v>
          </cell>
          <cell r="K965" t="str">
            <v>VC01</v>
          </cell>
        </row>
        <row r="966">
          <cell r="A966" t="str">
            <v>1RE1PSLP1500ZAL4</v>
          </cell>
          <cell r="B966" t="str">
            <v>SMT</v>
          </cell>
          <cell r="C966">
            <v>1</v>
          </cell>
          <cell r="D966">
            <v>18</v>
          </cell>
        </row>
        <row r="967">
          <cell r="A967" t="str">
            <v>1RE2PSLP1500ZAL4</v>
          </cell>
          <cell r="B967" t="str">
            <v>SMT</v>
          </cell>
          <cell r="C967">
            <v>1</v>
          </cell>
          <cell r="D967">
            <v>344</v>
          </cell>
          <cell r="E967">
            <v>2210</v>
          </cell>
          <cell r="F967" t="str">
            <v>VC01</v>
          </cell>
          <cell r="G967" t="str">
            <v>Auto</v>
          </cell>
          <cell r="H967">
            <v>311</v>
          </cell>
          <cell r="I967">
            <v>2210</v>
          </cell>
          <cell r="J967">
            <v>2220</v>
          </cell>
          <cell r="K967" t="str">
            <v>VC01</v>
          </cell>
        </row>
        <row r="968">
          <cell r="A968" t="str">
            <v>1RE1PSLP1501ZA</v>
          </cell>
          <cell r="B968" t="str">
            <v>SMT</v>
          </cell>
          <cell r="C968">
            <v>1</v>
          </cell>
          <cell r="D968">
            <v>24</v>
          </cell>
        </row>
        <row r="969">
          <cell r="A969" t="str">
            <v>1RE2PSLP1501ZA</v>
          </cell>
          <cell r="B969" t="str">
            <v>SMT</v>
          </cell>
          <cell r="C969">
            <v>1</v>
          </cell>
          <cell r="D969">
            <v>156</v>
          </cell>
          <cell r="E969">
            <v>2210</v>
          </cell>
          <cell r="F969" t="str">
            <v>VC01</v>
          </cell>
          <cell r="G969" t="str">
            <v>Auto</v>
          </cell>
          <cell r="H969">
            <v>311</v>
          </cell>
          <cell r="I969">
            <v>2210</v>
          </cell>
          <cell r="J969">
            <v>2310</v>
          </cell>
          <cell r="K969" t="str">
            <v>VC01</v>
          </cell>
        </row>
        <row r="970">
          <cell r="A970" t="str">
            <v>1RE1PSLP1511ZA</v>
          </cell>
          <cell r="B970" t="str">
            <v>SMT</v>
          </cell>
          <cell r="C970">
            <v>1</v>
          </cell>
          <cell r="D970">
            <v>8</v>
          </cell>
        </row>
        <row r="971">
          <cell r="A971" t="str">
            <v>1RE2PSLP1511ZA</v>
          </cell>
          <cell r="B971" t="str">
            <v>SMT</v>
          </cell>
          <cell r="C971">
            <v>1</v>
          </cell>
          <cell r="D971">
            <v>43</v>
          </cell>
          <cell r="E971">
            <v>2210</v>
          </cell>
          <cell r="F971" t="str">
            <v>VC01</v>
          </cell>
          <cell r="G971" t="str">
            <v>Auto</v>
          </cell>
          <cell r="H971">
            <v>311</v>
          </cell>
          <cell r="I971">
            <v>2210</v>
          </cell>
          <cell r="J971">
            <v>2310</v>
          </cell>
          <cell r="K971" t="str">
            <v>VC01</v>
          </cell>
        </row>
        <row r="972">
          <cell r="A972" t="str">
            <v>1RE1PSLP1527ZAL4</v>
          </cell>
          <cell r="B972" t="str">
            <v>SMT</v>
          </cell>
          <cell r="C972">
            <v>1</v>
          </cell>
          <cell r="D972">
            <v>41</v>
          </cell>
        </row>
        <row r="973">
          <cell r="A973" t="str">
            <v>1RE2PSLP1527ZAL4</v>
          </cell>
          <cell r="B973" t="str">
            <v>SMT</v>
          </cell>
          <cell r="C973">
            <v>1</v>
          </cell>
          <cell r="D973">
            <v>88</v>
          </cell>
          <cell r="E973">
            <v>2210</v>
          </cell>
          <cell r="F973" t="str">
            <v>VC01</v>
          </cell>
          <cell r="G973" t="str">
            <v>Auto</v>
          </cell>
          <cell r="H973">
            <v>311</v>
          </cell>
          <cell r="I973">
            <v>2210</v>
          </cell>
          <cell r="J973">
            <v>2220</v>
          </cell>
          <cell r="K973" t="str">
            <v>VC01</v>
          </cell>
        </row>
        <row r="974">
          <cell r="A974" t="str">
            <v>1VJ1PSLP1530ZA</v>
          </cell>
          <cell r="B974" t="str">
            <v>SMT</v>
          </cell>
          <cell r="C974">
            <v>1</v>
          </cell>
          <cell r="D974" t="e">
            <v>#N/A</v>
          </cell>
        </row>
        <row r="975">
          <cell r="A975" t="str">
            <v>1RE1PSLP1530ZA</v>
          </cell>
          <cell r="B975" t="str">
            <v>SMT</v>
          </cell>
          <cell r="C975">
            <v>1</v>
          </cell>
          <cell r="D975">
            <v>38</v>
          </cell>
        </row>
        <row r="976">
          <cell r="A976" t="str">
            <v>1RE2PSLP1530ZA</v>
          </cell>
          <cell r="B976" t="str">
            <v>SMT</v>
          </cell>
          <cell r="C976">
            <v>1</v>
          </cell>
          <cell r="D976">
            <v>188</v>
          </cell>
          <cell r="E976">
            <v>2210</v>
          </cell>
          <cell r="F976" t="str">
            <v>VC01</v>
          </cell>
          <cell r="G976" t="str">
            <v>Auto</v>
          </cell>
          <cell r="H976">
            <v>311</v>
          </cell>
          <cell r="I976">
            <v>2210</v>
          </cell>
          <cell r="J976">
            <v>2220</v>
          </cell>
          <cell r="K976" t="str">
            <v>VC01</v>
          </cell>
        </row>
        <row r="977">
          <cell r="A977" t="str">
            <v>1VJ1PSLP1531ZA</v>
          </cell>
          <cell r="B977" t="str">
            <v>SMT</v>
          </cell>
          <cell r="C977">
            <v>1</v>
          </cell>
          <cell r="D977" t="e">
            <v>#N/A</v>
          </cell>
        </row>
        <row r="978">
          <cell r="A978" t="str">
            <v>1RE1PSLP1531ZA</v>
          </cell>
          <cell r="B978" t="str">
            <v>SMT</v>
          </cell>
          <cell r="C978">
            <v>1</v>
          </cell>
          <cell r="D978">
            <v>126</v>
          </cell>
        </row>
        <row r="979">
          <cell r="A979" t="str">
            <v>1RE2PSLP1531ZA</v>
          </cell>
          <cell r="B979" t="str">
            <v>SMT</v>
          </cell>
          <cell r="C979">
            <v>1</v>
          </cell>
          <cell r="D979">
            <v>183</v>
          </cell>
          <cell r="E979">
            <v>2210</v>
          </cell>
          <cell r="F979" t="str">
            <v>VC01</v>
          </cell>
          <cell r="G979" t="str">
            <v>Auto</v>
          </cell>
          <cell r="H979">
            <v>311</v>
          </cell>
          <cell r="I979">
            <v>2210</v>
          </cell>
          <cell r="J979">
            <v>2220</v>
          </cell>
          <cell r="K979" t="str">
            <v>VC01</v>
          </cell>
        </row>
        <row r="980">
          <cell r="A980" t="str">
            <v>1VJ1PSLP1556ZA</v>
          </cell>
          <cell r="B980" t="str">
            <v>SMT</v>
          </cell>
          <cell r="C980">
            <v>1</v>
          </cell>
          <cell r="D980" t="e">
            <v>#N/A</v>
          </cell>
        </row>
        <row r="981">
          <cell r="A981" t="str">
            <v>1RE1PSLP1556ZA</v>
          </cell>
          <cell r="B981" t="str">
            <v>SMT</v>
          </cell>
          <cell r="C981">
            <v>1</v>
          </cell>
          <cell r="D981">
            <v>54</v>
          </cell>
        </row>
        <row r="982">
          <cell r="A982" t="str">
            <v>1RE2PSLP1556ZA</v>
          </cell>
          <cell r="B982" t="str">
            <v>SMT</v>
          </cell>
          <cell r="C982">
            <v>1</v>
          </cell>
          <cell r="D982">
            <v>525</v>
          </cell>
          <cell r="E982">
            <v>2210</v>
          </cell>
          <cell r="F982" t="str">
            <v>VC01</v>
          </cell>
          <cell r="G982" t="str">
            <v>Auto</v>
          </cell>
          <cell r="H982">
            <v>311</v>
          </cell>
          <cell r="I982">
            <v>2210</v>
          </cell>
          <cell r="J982">
            <v>2220</v>
          </cell>
          <cell r="K982" t="str">
            <v>VC01</v>
          </cell>
        </row>
        <row r="983">
          <cell r="A983" t="str">
            <v>1VJ1PSLP1557ZA</v>
          </cell>
          <cell r="B983" t="str">
            <v>SMT</v>
          </cell>
          <cell r="C983">
            <v>1</v>
          </cell>
          <cell r="D983" t="e">
            <v>#N/A</v>
          </cell>
        </row>
        <row r="984">
          <cell r="A984" t="str">
            <v>1RE1PSLP1557ZA</v>
          </cell>
          <cell r="B984" t="str">
            <v>SMT</v>
          </cell>
          <cell r="C984">
            <v>1</v>
          </cell>
          <cell r="D984">
            <v>48</v>
          </cell>
        </row>
        <row r="985">
          <cell r="A985" t="str">
            <v>1RE2PSLP1557ZA</v>
          </cell>
          <cell r="B985" t="str">
            <v>SMT</v>
          </cell>
          <cell r="C985">
            <v>1</v>
          </cell>
          <cell r="D985">
            <v>234</v>
          </cell>
          <cell r="E985">
            <v>2210</v>
          </cell>
          <cell r="F985" t="str">
            <v>VC01</v>
          </cell>
          <cell r="G985" t="str">
            <v>Auto</v>
          </cell>
          <cell r="H985">
            <v>311</v>
          </cell>
          <cell r="I985">
            <v>2210</v>
          </cell>
          <cell r="J985">
            <v>2220</v>
          </cell>
          <cell r="K985" t="str">
            <v>VC01</v>
          </cell>
        </row>
        <row r="986">
          <cell r="A986" t="str">
            <v>1RE1PSLP1608ZA</v>
          </cell>
          <cell r="B986" t="str">
            <v>SMT</v>
          </cell>
          <cell r="C986">
            <v>1</v>
          </cell>
          <cell r="D986">
            <v>10</v>
          </cell>
        </row>
        <row r="987">
          <cell r="A987" t="str">
            <v>1RE2PSLP1608ZA</v>
          </cell>
          <cell r="B987" t="str">
            <v>SMT</v>
          </cell>
          <cell r="C987">
            <v>1</v>
          </cell>
          <cell r="D987">
            <v>18</v>
          </cell>
          <cell r="E987">
            <v>2210</v>
          </cell>
          <cell r="F987" t="str">
            <v>VC01</v>
          </cell>
          <cell r="G987" t="str">
            <v>Auto</v>
          </cell>
          <cell r="H987">
            <v>311</v>
          </cell>
          <cell r="I987">
            <v>2210</v>
          </cell>
          <cell r="J987">
            <v>2310</v>
          </cell>
          <cell r="K987" t="str">
            <v>VC01</v>
          </cell>
        </row>
        <row r="988">
          <cell r="A988" t="str">
            <v>1RE1PSLP1661ZA</v>
          </cell>
          <cell r="B988" t="str">
            <v>SMT</v>
          </cell>
          <cell r="C988">
            <v>1</v>
          </cell>
          <cell r="D988">
            <v>48</v>
          </cell>
        </row>
        <row r="989">
          <cell r="A989" t="str">
            <v>1RE2PSLP1661ZA</v>
          </cell>
          <cell r="B989" t="str">
            <v>SMT</v>
          </cell>
          <cell r="C989">
            <v>1</v>
          </cell>
          <cell r="D989">
            <v>99</v>
          </cell>
          <cell r="E989">
            <v>2210</v>
          </cell>
          <cell r="F989" t="str">
            <v>VC01</v>
          </cell>
          <cell r="G989" t="str">
            <v>Auto</v>
          </cell>
          <cell r="H989">
            <v>311</v>
          </cell>
          <cell r="I989">
            <v>2210</v>
          </cell>
          <cell r="J989">
            <v>2220</v>
          </cell>
          <cell r="K989" t="str">
            <v>VC01</v>
          </cell>
        </row>
        <row r="990">
          <cell r="A990" t="str">
            <v>1VJ1TDA0191XJV4</v>
          </cell>
          <cell r="B990" t="str">
            <v>SMT</v>
          </cell>
          <cell r="C990">
            <v>1</v>
          </cell>
          <cell r="D990" t="e">
            <v>#N/A</v>
          </cell>
        </row>
        <row r="991">
          <cell r="A991" t="str">
            <v>1RE1TDA0191XJV4</v>
          </cell>
          <cell r="B991" t="str">
            <v>SMT</v>
          </cell>
          <cell r="C991">
            <v>1</v>
          </cell>
          <cell r="D991">
            <v>168</v>
          </cell>
        </row>
        <row r="992">
          <cell r="A992" t="str">
            <v>1RE2TDA0191XJV4</v>
          </cell>
          <cell r="B992" t="str">
            <v>SMT</v>
          </cell>
          <cell r="C992">
            <v>1</v>
          </cell>
          <cell r="D992">
            <v>160</v>
          </cell>
          <cell r="E992">
            <v>2210</v>
          </cell>
          <cell r="F992" t="str">
            <v>VC01</v>
          </cell>
          <cell r="G992" t="str">
            <v>Auto</v>
          </cell>
          <cell r="H992">
            <v>311</v>
          </cell>
          <cell r="I992">
            <v>2210</v>
          </cell>
          <cell r="J992">
            <v>2310</v>
          </cell>
          <cell r="K992" t="str">
            <v>VC01</v>
          </cell>
        </row>
        <row r="993">
          <cell r="A993" t="str">
            <v>1VJ1TDA0194XV4</v>
          </cell>
          <cell r="B993" t="str">
            <v>SMT</v>
          </cell>
          <cell r="C993">
            <v>1</v>
          </cell>
          <cell r="D993" t="e">
            <v>#N/A</v>
          </cell>
        </row>
        <row r="994">
          <cell r="A994" t="str">
            <v>1RE1TDA0194XV4</v>
          </cell>
          <cell r="B994" t="str">
            <v>SMT</v>
          </cell>
          <cell r="C994">
            <v>1</v>
          </cell>
          <cell r="D994">
            <v>167</v>
          </cell>
        </row>
        <row r="995">
          <cell r="A995" t="str">
            <v>1RE2TDA0194XV4</v>
          </cell>
          <cell r="B995" t="str">
            <v>SMT</v>
          </cell>
          <cell r="C995">
            <v>1</v>
          </cell>
          <cell r="D995">
            <v>161</v>
          </cell>
          <cell r="E995">
            <v>2210</v>
          </cell>
          <cell r="F995" t="str">
            <v>VC01</v>
          </cell>
          <cell r="G995" t="str">
            <v>Auto</v>
          </cell>
          <cell r="H995">
            <v>311</v>
          </cell>
          <cell r="I995">
            <v>2210</v>
          </cell>
          <cell r="J995">
            <v>2310</v>
          </cell>
          <cell r="K995" t="str">
            <v>VC01</v>
          </cell>
        </row>
        <row r="996">
          <cell r="A996" t="str">
            <v>1RE1TDA0196XJV4</v>
          </cell>
          <cell r="B996" t="str">
            <v>SMT</v>
          </cell>
          <cell r="C996">
            <v>1</v>
          </cell>
          <cell r="D996">
            <v>30</v>
          </cell>
        </row>
        <row r="997">
          <cell r="A997" t="str">
            <v>1RE2TDA0196XJV4</v>
          </cell>
          <cell r="B997" t="str">
            <v>SMT</v>
          </cell>
          <cell r="C997">
            <v>1</v>
          </cell>
          <cell r="D997">
            <v>50</v>
          </cell>
          <cell r="E997">
            <v>2210</v>
          </cell>
          <cell r="F997" t="str">
            <v>VC01</v>
          </cell>
          <cell r="G997" t="str">
            <v>Auto</v>
          </cell>
          <cell r="H997">
            <v>311</v>
          </cell>
          <cell r="I997">
            <v>2210</v>
          </cell>
          <cell r="J997">
            <v>2310</v>
          </cell>
          <cell r="K997" t="str">
            <v>VC01</v>
          </cell>
        </row>
        <row r="998">
          <cell r="A998" t="str">
            <v>1RE1TDA0196XV4</v>
          </cell>
          <cell r="B998" t="str">
            <v>SMT</v>
          </cell>
          <cell r="C998">
            <v>1</v>
          </cell>
          <cell r="D998">
            <v>30</v>
          </cell>
        </row>
        <row r="999">
          <cell r="A999" t="str">
            <v>1RE2TDA0196XV4</v>
          </cell>
          <cell r="B999" t="str">
            <v>SMT</v>
          </cell>
          <cell r="C999">
            <v>1</v>
          </cell>
          <cell r="D999">
            <v>50</v>
          </cell>
          <cell r="E999">
            <v>2210</v>
          </cell>
          <cell r="F999" t="str">
            <v>VC01</v>
          </cell>
          <cell r="G999" t="str">
            <v>Auto</v>
          </cell>
          <cell r="H999">
            <v>311</v>
          </cell>
          <cell r="I999">
            <v>2210</v>
          </cell>
          <cell r="J999">
            <v>2310</v>
          </cell>
          <cell r="K999" t="str">
            <v>VC01</v>
          </cell>
        </row>
        <row r="1000">
          <cell r="A1000" t="str">
            <v>1RE1TDA3193XJV4</v>
          </cell>
          <cell r="B1000" t="str">
            <v>SMT</v>
          </cell>
          <cell r="C1000">
            <v>1</v>
          </cell>
          <cell r="D1000">
            <v>48</v>
          </cell>
        </row>
        <row r="1001">
          <cell r="A1001" t="str">
            <v>1RE2TDA3193XJV4</v>
          </cell>
          <cell r="B1001" t="str">
            <v>SMT</v>
          </cell>
          <cell r="C1001">
            <v>1</v>
          </cell>
          <cell r="D1001">
            <v>99</v>
          </cell>
          <cell r="E1001">
            <v>2210</v>
          </cell>
          <cell r="F1001" t="str">
            <v>VC01</v>
          </cell>
          <cell r="G1001" t="str">
            <v>Auto</v>
          </cell>
          <cell r="H1001">
            <v>311</v>
          </cell>
          <cell r="I1001">
            <v>2210</v>
          </cell>
          <cell r="J1001">
            <v>2310</v>
          </cell>
          <cell r="K1001" t="str">
            <v>VC01</v>
          </cell>
        </row>
        <row r="1002">
          <cell r="A1002" t="str">
            <v>1VJ1TDA3194XV4</v>
          </cell>
          <cell r="B1002" t="str">
            <v>SMT</v>
          </cell>
          <cell r="C1002">
            <v>1</v>
          </cell>
          <cell r="D1002" t="e">
            <v>#N/A</v>
          </cell>
        </row>
        <row r="1003">
          <cell r="A1003" t="str">
            <v>1RE1TDA3194XV4</v>
          </cell>
          <cell r="B1003" t="str">
            <v>SMT</v>
          </cell>
          <cell r="C1003">
            <v>1</v>
          </cell>
          <cell r="D1003">
            <v>89</v>
          </cell>
        </row>
        <row r="1004">
          <cell r="A1004" t="str">
            <v>1RE2TDA3194XV4</v>
          </cell>
          <cell r="B1004" t="str">
            <v>SMT</v>
          </cell>
          <cell r="C1004">
            <v>1</v>
          </cell>
          <cell r="D1004">
            <v>129</v>
          </cell>
          <cell r="E1004">
            <v>2210</v>
          </cell>
          <cell r="F1004" t="str">
            <v>VC01</v>
          </cell>
          <cell r="G1004" t="str">
            <v>Auto</v>
          </cell>
          <cell r="H1004">
            <v>311</v>
          </cell>
          <cell r="I1004">
            <v>2210</v>
          </cell>
          <cell r="J1004">
            <v>2310</v>
          </cell>
          <cell r="K1004" t="str">
            <v>VC01</v>
          </cell>
        </row>
        <row r="1005">
          <cell r="A1005" t="str">
            <v>1RE1TDA5193V4</v>
          </cell>
          <cell r="B1005" t="str">
            <v>SMT</v>
          </cell>
          <cell r="C1005">
            <v>1</v>
          </cell>
          <cell r="D1005">
            <v>48</v>
          </cell>
        </row>
        <row r="1006">
          <cell r="A1006" t="str">
            <v>1RE2TDA5193V4</v>
          </cell>
          <cell r="B1006" t="str">
            <v>SMT</v>
          </cell>
          <cell r="C1006">
            <v>1</v>
          </cell>
          <cell r="D1006">
            <v>98</v>
          </cell>
          <cell r="E1006">
            <v>2210</v>
          </cell>
          <cell r="F1006" t="str">
            <v>VC01</v>
          </cell>
          <cell r="G1006" t="str">
            <v>Auto</v>
          </cell>
          <cell r="H1006">
            <v>311</v>
          </cell>
          <cell r="I1006">
            <v>2210</v>
          </cell>
          <cell r="J1006">
            <v>2310</v>
          </cell>
          <cell r="K1006" t="str">
            <v>VC01</v>
          </cell>
        </row>
        <row r="1007">
          <cell r="A1007" t="str">
            <v>1RE1TDA5196V4</v>
          </cell>
          <cell r="B1007" t="str">
            <v>SMT</v>
          </cell>
          <cell r="C1007">
            <v>1</v>
          </cell>
          <cell r="D1007">
            <v>48</v>
          </cell>
        </row>
        <row r="1008">
          <cell r="A1008" t="str">
            <v>1RE2TDA5196V4</v>
          </cell>
          <cell r="B1008" t="str">
            <v>SMT</v>
          </cell>
          <cell r="C1008">
            <v>1</v>
          </cell>
          <cell r="D1008">
            <v>98</v>
          </cell>
          <cell r="E1008">
            <v>2210</v>
          </cell>
          <cell r="F1008" t="str">
            <v>VC01</v>
          </cell>
          <cell r="G1008" t="str">
            <v>Auto</v>
          </cell>
          <cell r="H1008">
            <v>311</v>
          </cell>
          <cell r="I1008">
            <v>2210</v>
          </cell>
          <cell r="J1008">
            <v>2310</v>
          </cell>
          <cell r="K1008" t="str">
            <v>VC01</v>
          </cell>
        </row>
        <row r="1009">
          <cell r="A1009" t="str">
            <v>1RE1TDA6111XJSX</v>
          </cell>
          <cell r="B1009" t="str">
            <v>SMT</v>
          </cell>
          <cell r="C1009">
            <v>1</v>
          </cell>
          <cell r="D1009">
            <v>32</v>
          </cell>
        </row>
        <row r="1010">
          <cell r="A1010" t="str">
            <v>1RE2TDA6111XJSX</v>
          </cell>
          <cell r="B1010" t="str">
            <v>SMT</v>
          </cell>
          <cell r="C1010">
            <v>1</v>
          </cell>
          <cell r="D1010">
            <v>65</v>
          </cell>
          <cell r="E1010">
            <v>2210</v>
          </cell>
          <cell r="F1010" t="str">
            <v>VC01</v>
          </cell>
          <cell r="G1010" t="str">
            <v>Auto</v>
          </cell>
          <cell r="H1010">
            <v>311</v>
          </cell>
          <cell r="I1010">
            <v>2210</v>
          </cell>
          <cell r="J1010">
            <v>2310</v>
          </cell>
          <cell r="K1010" t="str">
            <v>VC01</v>
          </cell>
        </row>
        <row r="1011">
          <cell r="A1011" t="str">
            <v>1RE1TDA6111XJV4</v>
          </cell>
          <cell r="B1011" t="str">
            <v>SMT</v>
          </cell>
          <cell r="C1011">
            <v>1</v>
          </cell>
          <cell r="D1011">
            <v>32</v>
          </cell>
        </row>
        <row r="1012">
          <cell r="A1012" t="str">
            <v>1RE2TDA6111XJV4</v>
          </cell>
          <cell r="B1012" t="str">
            <v>SMT</v>
          </cell>
          <cell r="C1012">
            <v>1</v>
          </cell>
          <cell r="D1012">
            <v>65</v>
          </cell>
          <cell r="E1012">
            <v>2210</v>
          </cell>
          <cell r="F1012" t="str">
            <v>VC01</v>
          </cell>
          <cell r="G1012" t="str">
            <v>Auto</v>
          </cell>
          <cell r="H1012">
            <v>311</v>
          </cell>
          <cell r="I1012">
            <v>2210</v>
          </cell>
          <cell r="J1012">
            <v>2310</v>
          </cell>
          <cell r="K1012" t="str">
            <v>VC01</v>
          </cell>
        </row>
        <row r="1013">
          <cell r="A1013" t="str">
            <v>1RE1TDE0110XJ</v>
          </cell>
          <cell r="B1013" t="str">
            <v>SMT</v>
          </cell>
          <cell r="C1013">
            <v>1</v>
          </cell>
          <cell r="D1013">
            <v>127</v>
          </cell>
        </row>
        <row r="1014">
          <cell r="A1014" t="str">
            <v>1RE2TDE0110XJ</v>
          </cell>
          <cell r="B1014" t="str">
            <v>SMT</v>
          </cell>
          <cell r="C1014">
            <v>1</v>
          </cell>
          <cell r="D1014">
            <v>116</v>
          </cell>
          <cell r="E1014">
            <v>2210</v>
          </cell>
          <cell r="F1014" t="str">
            <v>VC01</v>
          </cell>
          <cell r="G1014" t="str">
            <v>Auto</v>
          </cell>
          <cell r="H1014">
            <v>311</v>
          </cell>
          <cell r="I1014">
            <v>2210</v>
          </cell>
          <cell r="J1014">
            <v>2310</v>
          </cell>
          <cell r="K1014" t="str">
            <v>VC01</v>
          </cell>
        </row>
        <row r="1015">
          <cell r="A1015" t="str">
            <v>1RE1TDE0110XJSX</v>
          </cell>
          <cell r="B1015" t="str">
            <v>SMT</v>
          </cell>
          <cell r="C1015">
            <v>1</v>
          </cell>
          <cell r="D1015">
            <v>127</v>
          </cell>
        </row>
        <row r="1016">
          <cell r="A1016" t="str">
            <v>1RE2TDE0110XJSX</v>
          </cell>
          <cell r="B1016" t="str">
            <v>SMT</v>
          </cell>
          <cell r="C1016">
            <v>1</v>
          </cell>
          <cell r="D1016">
            <v>116</v>
          </cell>
          <cell r="E1016">
            <v>2210</v>
          </cell>
          <cell r="F1016" t="str">
            <v>VC01</v>
          </cell>
          <cell r="G1016" t="str">
            <v>Auto</v>
          </cell>
          <cell r="H1016">
            <v>311</v>
          </cell>
          <cell r="I1016">
            <v>2210</v>
          </cell>
          <cell r="J1016">
            <v>2310</v>
          </cell>
          <cell r="K1016" t="str">
            <v>VC01</v>
          </cell>
        </row>
        <row r="1017">
          <cell r="A1017" t="str">
            <v>1RE1TDE0110XV4</v>
          </cell>
          <cell r="B1017" t="str">
            <v>SMT</v>
          </cell>
          <cell r="C1017">
            <v>1</v>
          </cell>
          <cell r="D1017">
            <v>128</v>
          </cell>
        </row>
        <row r="1018">
          <cell r="A1018" t="str">
            <v>1RE2TDE0110XV4</v>
          </cell>
          <cell r="B1018" t="str">
            <v>SMT</v>
          </cell>
          <cell r="C1018">
            <v>1</v>
          </cell>
          <cell r="D1018">
            <v>115</v>
          </cell>
          <cell r="E1018">
            <v>2210</v>
          </cell>
          <cell r="F1018" t="str">
            <v>VC01</v>
          </cell>
          <cell r="G1018" t="str">
            <v>Auto</v>
          </cell>
          <cell r="H1018">
            <v>311</v>
          </cell>
          <cell r="I1018">
            <v>2210</v>
          </cell>
          <cell r="J1018">
            <v>2310</v>
          </cell>
          <cell r="K1018" t="str">
            <v>VC01</v>
          </cell>
        </row>
        <row r="1019">
          <cell r="A1019" t="str">
            <v>1RE1TDE0111XJ</v>
          </cell>
          <cell r="B1019" t="str">
            <v>SMT</v>
          </cell>
          <cell r="C1019">
            <v>1</v>
          </cell>
          <cell r="D1019">
            <v>127</v>
          </cell>
        </row>
        <row r="1020">
          <cell r="A1020" t="str">
            <v>1RE2TDE0111XJ</v>
          </cell>
          <cell r="B1020" t="str">
            <v>SMT</v>
          </cell>
          <cell r="C1020">
            <v>1</v>
          </cell>
          <cell r="D1020">
            <v>116</v>
          </cell>
          <cell r="E1020">
            <v>2210</v>
          </cell>
          <cell r="F1020" t="str">
            <v>VC01</v>
          </cell>
          <cell r="G1020" t="str">
            <v>Auto</v>
          </cell>
          <cell r="H1020">
            <v>311</v>
          </cell>
          <cell r="I1020">
            <v>2210</v>
          </cell>
          <cell r="J1020">
            <v>2310</v>
          </cell>
          <cell r="K1020" t="str">
            <v>VC01</v>
          </cell>
        </row>
        <row r="1021">
          <cell r="A1021" t="str">
            <v>1RE1TDE0111XV4</v>
          </cell>
          <cell r="B1021" t="str">
            <v>SMT</v>
          </cell>
          <cell r="C1021">
            <v>1</v>
          </cell>
          <cell r="D1021">
            <v>127</v>
          </cell>
        </row>
        <row r="1022">
          <cell r="A1022" t="str">
            <v>1RE2TDE0111XV4</v>
          </cell>
          <cell r="B1022" t="str">
            <v>SMT</v>
          </cell>
          <cell r="C1022">
            <v>1</v>
          </cell>
          <cell r="D1022">
            <v>116</v>
          </cell>
          <cell r="E1022">
            <v>2210</v>
          </cell>
          <cell r="F1022" t="str">
            <v>VC01</v>
          </cell>
          <cell r="G1022" t="str">
            <v>Auto</v>
          </cell>
          <cell r="H1022">
            <v>311</v>
          </cell>
          <cell r="I1022">
            <v>2210</v>
          </cell>
          <cell r="J1022">
            <v>2310</v>
          </cell>
          <cell r="K1022" t="str">
            <v>VC01</v>
          </cell>
        </row>
        <row r="1023">
          <cell r="A1023" t="str">
            <v>1RE1WT115R1ZA</v>
          </cell>
          <cell r="B1023" t="str">
            <v>SMT</v>
          </cell>
          <cell r="C1023">
            <v>1</v>
          </cell>
          <cell r="D1023">
            <v>7</v>
          </cell>
        </row>
        <row r="1024">
          <cell r="A1024" t="str">
            <v>1RE2WT115R1ZA</v>
          </cell>
          <cell r="B1024" t="str">
            <v>SMT</v>
          </cell>
          <cell r="C1024">
            <v>1</v>
          </cell>
          <cell r="D1024">
            <v>142</v>
          </cell>
          <cell r="E1024">
            <v>2210</v>
          </cell>
          <cell r="F1024" t="str">
            <v>VC01</v>
          </cell>
          <cell r="G1024" t="str">
            <v>Auto</v>
          </cell>
          <cell r="H1024">
            <v>311</v>
          </cell>
          <cell r="I1024">
            <v>2210</v>
          </cell>
          <cell r="J1024">
            <v>2220</v>
          </cell>
          <cell r="K1024" t="str">
            <v>VC01</v>
          </cell>
        </row>
        <row r="1025">
          <cell r="A1025" t="str">
            <v>2AP1F082</v>
          </cell>
          <cell r="B1025" t="str">
            <v>DIP</v>
          </cell>
          <cell r="C1025">
            <v>1</v>
          </cell>
          <cell r="D1025" t="e">
            <v>#N/A</v>
          </cell>
          <cell r="E1025">
            <v>2210</v>
          </cell>
          <cell r="F1025" t="str">
            <v>VC01</v>
          </cell>
          <cell r="G1025" t="str">
            <v>Auto</v>
          </cell>
          <cell r="H1025">
            <v>311</v>
          </cell>
          <cell r="I1025">
            <v>2210</v>
          </cell>
          <cell r="J1025">
            <v>2310</v>
          </cell>
          <cell r="K1025" t="str">
            <v>VC01</v>
          </cell>
        </row>
        <row r="1026">
          <cell r="A1026" t="str">
            <v>2RE1LPS1057CLZA</v>
          </cell>
          <cell r="B1026" t="str">
            <v>SMT</v>
          </cell>
          <cell r="C1026">
            <v>1</v>
          </cell>
          <cell r="D1026">
            <v>1</v>
          </cell>
        </row>
        <row r="1027">
          <cell r="A1027" t="str">
            <v>2RH1LPS1057CLZA</v>
          </cell>
          <cell r="B1027" t="str">
            <v>SMT</v>
          </cell>
          <cell r="C1027">
            <v>1</v>
          </cell>
          <cell r="D1027">
            <v>1</v>
          </cell>
        </row>
        <row r="1028">
          <cell r="A1028" t="str">
            <v>2CM1LPS1057CLZA</v>
          </cell>
          <cell r="B1028" t="str">
            <v>SMT</v>
          </cell>
          <cell r="C1028">
            <v>1</v>
          </cell>
          <cell r="D1028">
            <v>33</v>
          </cell>
        </row>
        <row r="1029">
          <cell r="A1029" t="str">
            <v>2AP1LPS1057CLZA</v>
          </cell>
          <cell r="B1029" t="str">
            <v>DIP</v>
          </cell>
          <cell r="C1029">
            <v>1</v>
          </cell>
          <cell r="D1029" t="e">
            <v>#N/A</v>
          </cell>
          <cell r="E1029">
            <v>2210</v>
          </cell>
        </row>
        <row r="1030">
          <cell r="A1030" t="str">
            <v>2RE1PSLP1231ZAL4</v>
          </cell>
          <cell r="B1030" t="str">
            <v>SMT</v>
          </cell>
          <cell r="C1030">
            <v>1</v>
          </cell>
          <cell r="D1030">
            <v>67</v>
          </cell>
          <cell r="E1030">
            <v>2210</v>
          </cell>
          <cell r="F1030" t="str">
            <v>VC01</v>
          </cell>
          <cell r="G1030" t="str">
            <v>Auto</v>
          </cell>
          <cell r="H1030">
            <v>311</v>
          </cell>
          <cell r="I1030">
            <v>2210</v>
          </cell>
          <cell r="J1030">
            <v>2310</v>
          </cell>
          <cell r="K1030" t="str">
            <v>VC01</v>
          </cell>
        </row>
        <row r="1031">
          <cell r="A1031" t="str">
            <v>2AP1PSLP1231ZAL4</v>
          </cell>
          <cell r="B1031" t="str">
            <v>DIP</v>
          </cell>
          <cell r="C1031">
            <v>1</v>
          </cell>
          <cell r="D1031" t="e">
            <v>#N/A</v>
          </cell>
          <cell r="E1031">
            <v>2210</v>
          </cell>
          <cell r="F1031" t="str">
            <v>VC01</v>
          </cell>
          <cell r="G1031" t="str">
            <v>Auto</v>
          </cell>
          <cell r="H1031">
            <v>311</v>
          </cell>
          <cell r="I1031">
            <v>2210</v>
          </cell>
          <cell r="J1031">
            <v>2310</v>
          </cell>
          <cell r="K1031" t="str">
            <v>VC01</v>
          </cell>
        </row>
        <row r="1032">
          <cell r="A1032" t="str">
            <v>2RE1PSLP1352ZA</v>
          </cell>
          <cell r="B1032" t="str">
            <v>SMT</v>
          </cell>
          <cell r="C1032">
            <v>1</v>
          </cell>
          <cell r="D1032">
            <v>146</v>
          </cell>
        </row>
        <row r="1033">
          <cell r="A1033" t="str">
            <v>2RH1PSLP1352ZA</v>
          </cell>
          <cell r="B1033" t="str">
            <v>SMT</v>
          </cell>
          <cell r="C1033">
            <v>1</v>
          </cell>
          <cell r="D1033">
            <v>4</v>
          </cell>
        </row>
        <row r="1034">
          <cell r="A1034" t="str">
            <v>2CM1PSLP1352ZA</v>
          </cell>
          <cell r="B1034" t="str">
            <v>SMT</v>
          </cell>
          <cell r="C1034">
            <v>1</v>
          </cell>
          <cell r="D1034">
            <v>92</v>
          </cell>
          <cell r="E1034">
            <v>2210</v>
          </cell>
          <cell r="F1034" t="str">
            <v>VC01</v>
          </cell>
          <cell r="G1034" t="str">
            <v>Auto</v>
          </cell>
          <cell r="H1034">
            <v>311</v>
          </cell>
          <cell r="I1034">
            <v>2210</v>
          </cell>
          <cell r="J1034">
            <v>2220</v>
          </cell>
          <cell r="K1034" t="str">
            <v>VC01</v>
          </cell>
        </row>
        <row r="1035">
          <cell r="A1035" t="str">
            <v>2AP1PSLP1352ZA</v>
          </cell>
          <cell r="B1035" t="str">
            <v>DIP</v>
          </cell>
          <cell r="C1035">
            <v>1</v>
          </cell>
          <cell r="D1035" t="e">
            <v>#N/A</v>
          </cell>
          <cell r="E1035">
            <v>2210</v>
          </cell>
          <cell r="F1035" t="str">
            <v>VC01</v>
          </cell>
          <cell r="G1035" t="str">
            <v>Auto</v>
          </cell>
          <cell r="H1035">
            <v>311</v>
          </cell>
          <cell r="I1035">
            <v>2210</v>
          </cell>
          <cell r="J1035">
            <v>2220</v>
          </cell>
          <cell r="K1035" t="str">
            <v>VC01</v>
          </cell>
        </row>
        <row r="1036">
          <cell r="A1036" t="str">
            <v>2AP1PSLP1402YAL4</v>
          </cell>
          <cell r="B1036" t="str">
            <v>DIP</v>
          </cell>
          <cell r="C1036">
            <v>1</v>
          </cell>
          <cell r="D1036" t="e">
            <v>#N/A</v>
          </cell>
          <cell r="E1036">
            <v>2210</v>
          </cell>
          <cell r="F1036" t="str">
            <v>VC01</v>
          </cell>
          <cell r="G1036" t="str">
            <v>Auto</v>
          </cell>
          <cell r="H1036">
            <v>311</v>
          </cell>
          <cell r="I1036">
            <v>2210</v>
          </cell>
          <cell r="J1036">
            <v>2310</v>
          </cell>
          <cell r="K1036" t="str">
            <v>VC01</v>
          </cell>
        </row>
        <row r="1037">
          <cell r="A1037" t="str">
            <v>2AP1PSLP1402ZA</v>
          </cell>
          <cell r="B1037" t="str">
            <v>DIP</v>
          </cell>
          <cell r="C1037">
            <v>1</v>
          </cell>
          <cell r="D1037" t="e">
            <v>#N/A</v>
          </cell>
          <cell r="E1037">
            <v>2210</v>
          </cell>
          <cell r="F1037" t="str">
            <v>VC01</v>
          </cell>
          <cell r="G1037" t="str">
            <v>Auto</v>
          </cell>
          <cell r="H1037">
            <v>311</v>
          </cell>
          <cell r="I1037">
            <v>2210</v>
          </cell>
          <cell r="J1037">
            <v>2310</v>
          </cell>
          <cell r="K1037" t="str">
            <v>VC01</v>
          </cell>
        </row>
        <row r="1038">
          <cell r="A1038" t="str">
            <v>2AP1PSLP1402ZAL4</v>
          </cell>
          <cell r="B1038" t="str">
            <v>DIP</v>
          </cell>
          <cell r="C1038">
            <v>1</v>
          </cell>
          <cell r="D1038" t="e">
            <v>#N/A</v>
          </cell>
          <cell r="E1038">
            <v>2210</v>
          </cell>
          <cell r="F1038" t="str">
            <v>VC01</v>
          </cell>
          <cell r="G1038" t="str">
            <v>Auto</v>
          </cell>
          <cell r="H1038">
            <v>311</v>
          </cell>
          <cell r="I1038">
            <v>2210</v>
          </cell>
          <cell r="J1038">
            <v>2310</v>
          </cell>
          <cell r="K1038" t="str">
            <v>VC01</v>
          </cell>
        </row>
        <row r="1039">
          <cell r="A1039" t="str">
            <v>2RE1PSLP1539ZA</v>
          </cell>
          <cell r="B1039" t="str">
            <v>SMT</v>
          </cell>
          <cell r="C1039">
            <v>1</v>
          </cell>
          <cell r="D1039">
            <v>67</v>
          </cell>
          <cell r="E1039">
            <v>2210</v>
          </cell>
          <cell r="F1039" t="str">
            <v>VC01</v>
          </cell>
          <cell r="G1039" t="str">
            <v>Auto</v>
          </cell>
          <cell r="H1039">
            <v>311</v>
          </cell>
          <cell r="I1039">
            <v>2210</v>
          </cell>
          <cell r="J1039">
            <v>2310</v>
          </cell>
          <cell r="K1039" t="str">
            <v>VC01</v>
          </cell>
        </row>
        <row r="1040">
          <cell r="A1040" t="str">
            <v>2AP1PSLP1539ZA</v>
          </cell>
          <cell r="B1040" t="str">
            <v>DIP</v>
          </cell>
          <cell r="C1040">
            <v>1</v>
          </cell>
          <cell r="D1040" t="e">
            <v>#N/A</v>
          </cell>
          <cell r="E1040">
            <v>2210</v>
          </cell>
          <cell r="F1040" t="str">
            <v>VC01</v>
          </cell>
          <cell r="G1040" t="str">
            <v>Auto</v>
          </cell>
          <cell r="H1040">
            <v>311</v>
          </cell>
          <cell r="I1040">
            <v>2210</v>
          </cell>
          <cell r="J1040">
            <v>2310</v>
          </cell>
          <cell r="K1040" t="str">
            <v>VC01</v>
          </cell>
        </row>
        <row r="1041">
          <cell r="A1041" t="str">
            <v>2RE1PSLP1540ZA</v>
          </cell>
          <cell r="B1041" t="str">
            <v>SMT</v>
          </cell>
          <cell r="C1041">
            <v>1</v>
          </cell>
          <cell r="D1041">
            <v>67</v>
          </cell>
          <cell r="E1041">
            <v>2210</v>
          </cell>
          <cell r="F1041" t="str">
            <v>VC01</v>
          </cell>
          <cell r="G1041" t="str">
            <v>Auto</v>
          </cell>
          <cell r="H1041">
            <v>311</v>
          </cell>
          <cell r="I1041">
            <v>2210</v>
          </cell>
          <cell r="J1041">
            <v>2310</v>
          </cell>
          <cell r="K1041" t="str">
            <v>VC01</v>
          </cell>
        </row>
        <row r="1042">
          <cell r="A1042" t="str">
            <v>2AP1PSLP1540ZA</v>
          </cell>
          <cell r="B1042" t="str">
            <v>DIP</v>
          </cell>
          <cell r="C1042">
            <v>1</v>
          </cell>
          <cell r="D1042" t="e">
            <v>#N/A</v>
          </cell>
          <cell r="E1042">
            <v>2210</v>
          </cell>
          <cell r="F1042" t="str">
            <v>VC01</v>
          </cell>
          <cell r="G1042" t="str">
            <v>Auto</v>
          </cell>
          <cell r="H1042">
            <v>311</v>
          </cell>
          <cell r="I1042">
            <v>2210</v>
          </cell>
          <cell r="J1042">
            <v>2310</v>
          </cell>
          <cell r="K1042" t="str">
            <v>VC01</v>
          </cell>
        </row>
        <row r="1043">
          <cell r="A1043" t="str">
            <v>2AP1PSLP1566ZA</v>
          </cell>
          <cell r="B1043" t="str">
            <v>DIP</v>
          </cell>
          <cell r="C1043">
            <v>1</v>
          </cell>
          <cell r="D1043" t="e">
            <v>#N/A</v>
          </cell>
          <cell r="E1043">
            <v>2210</v>
          </cell>
          <cell r="F1043" t="str">
            <v>VC01</v>
          </cell>
          <cell r="G1043" t="str">
            <v>Auto</v>
          </cell>
          <cell r="H1043">
            <v>311</v>
          </cell>
          <cell r="I1043">
            <v>2210</v>
          </cell>
          <cell r="J1043">
            <v>2310</v>
          </cell>
          <cell r="K1043" t="str">
            <v>VC01</v>
          </cell>
        </row>
        <row r="1044">
          <cell r="A1044" t="str">
            <v>2RE1TGA652RZA</v>
          </cell>
          <cell r="B1044" t="str">
            <v>SMT</v>
          </cell>
          <cell r="C1044">
            <v>1</v>
          </cell>
          <cell r="D1044">
            <v>1</v>
          </cell>
          <cell r="E1044">
            <v>2210</v>
          </cell>
          <cell r="F1044" t="str">
            <v>VC01</v>
          </cell>
          <cell r="G1044" t="str">
            <v>Auto</v>
          </cell>
          <cell r="H1044">
            <v>311</v>
          </cell>
          <cell r="I1044">
            <v>2210</v>
          </cell>
          <cell r="J1044">
            <v>2310</v>
          </cell>
          <cell r="K1044" t="str">
            <v>VC01</v>
          </cell>
        </row>
        <row r="1045">
          <cell r="A1045" t="str">
            <v>2RE1C380AV4</v>
          </cell>
          <cell r="B1045" t="str">
            <v>SMT</v>
          </cell>
          <cell r="C1045">
            <v>1</v>
          </cell>
          <cell r="D1045">
            <v>13</v>
          </cell>
        </row>
        <row r="1046">
          <cell r="A1046" t="str">
            <v>2RE2C380AV4</v>
          </cell>
          <cell r="B1046" t="str">
            <v>SMT</v>
          </cell>
          <cell r="C1046">
            <v>1</v>
          </cell>
          <cell r="D1046">
            <v>13</v>
          </cell>
          <cell r="E1046">
            <v>2210</v>
          </cell>
          <cell r="F1046" t="str">
            <v>VC01</v>
          </cell>
          <cell r="G1046" t="str">
            <v>Auto</v>
          </cell>
          <cell r="H1046">
            <v>311</v>
          </cell>
          <cell r="I1046">
            <v>2210</v>
          </cell>
          <cell r="J1046">
            <v>2220</v>
          </cell>
          <cell r="K1046" t="str">
            <v>VC01</v>
          </cell>
        </row>
        <row r="1047">
          <cell r="A1047" t="str">
            <v>3RH1LPS1057CWZA</v>
          </cell>
          <cell r="B1047" t="str">
            <v>SMT</v>
          </cell>
          <cell r="C1047">
            <v>1</v>
          </cell>
          <cell r="D1047">
            <v>7</v>
          </cell>
        </row>
        <row r="1048">
          <cell r="A1048" t="str">
            <v>3CM1LPS1057CWZA</v>
          </cell>
          <cell r="B1048" t="str">
            <v>SMT</v>
          </cell>
          <cell r="C1048">
            <v>1</v>
          </cell>
          <cell r="D1048">
            <v>7</v>
          </cell>
        </row>
        <row r="1049">
          <cell r="A1049" t="str">
            <v>3AP1LPS1057CWZA</v>
          </cell>
          <cell r="B1049" t="str">
            <v>DIP</v>
          </cell>
          <cell r="C1049">
            <v>1</v>
          </cell>
          <cell r="D1049" t="e">
            <v>#N/A</v>
          </cell>
          <cell r="E1049">
            <v>2210</v>
          </cell>
        </row>
        <row r="1050">
          <cell r="A1050" t="str">
            <v>4RH1LPSL1066GZA</v>
          </cell>
          <cell r="B1050" t="str">
            <v>SMT</v>
          </cell>
          <cell r="C1050">
            <v>1</v>
          </cell>
          <cell r="D1050">
            <v>5</v>
          </cell>
        </row>
        <row r="1051">
          <cell r="A1051" t="str">
            <v>4CM1LPSL1066GZA</v>
          </cell>
          <cell r="B1051" t="str">
            <v>SMT</v>
          </cell>
          <cell r="C1051">
            <v>1</v>
          </cell>
          <cell r="D1051">
            <v>45</v>
          </cell>
        </row>
        <row r="1052">
          <cell r="A1052" t="str">
            <v>4AP1LPSL1066GZA</v>
          </cell>
          <cell r="B1052" t="str">
            <v>DIP</v>
          </cell>
          <cell r="C1052">
            <v>1</v>
          </cell>
          <cell r="D1052" t="e">
            <v>#N/A</v>
          </cell>
          <cell r="E1052">
            <v>2210</v>
          </cell>
        </row>
        <row r="1053">
          <cell r="A1053" t="str">
            <v>5CM1LPS1057CSYA</v>
          </cell>
          <cell r="B1053" t="str">
            <v>SMT</v>
          </cell>
          <cell r="C1053">
            <v>1</v>
          </cell>
          <cell r="D1053">
            <v>28</v>
          </cell>
        </row>
        <row r="1054">
          <cell r="A1054" t="str">
            <v>5AP1LPS1057CSYA</v>
          </cell>
          <cell r="B1054" t="str">
            <v>DIP</v>
          </cell>
          <cell r="C1054">
            <v>1</v>
          </cell>
          <cell r="D1054" t="e">
            <v>#N/A</v>
          </cell>
          <cell r="E1054">
            <v>2210</v>
          </cell>
        </row>
        <row r="1055">
          <cell r="A1055" t="str">
            <v>1CM1LPS2087LZA</v>
          </cell>
          <cell r="B1055" t="str">
            <v>SMT</v>
          </cell>
          <cell r="C1055">
            <v>1</v>
          </cell>
          <cell r="D1055">
            <v>4</v>
          </cell>
        </row>
        <row r="1056">
          <cell r="A1056" t="str">
            <v>1RE1LPS2087LZA</v>
          </cell>
          <cell r="B1056" t="str">
            <v>SMT</v>
          </cell>
          <cell r="C1056">
            <v>1</v>
          </cell>
          <cell r="D1056">
            <v>1</v>
          </cell>
          <cell r="E1056">
            <v>2210</v>
          </cell>
          <cell r="F1056" t="str">
            <v>VC01</v>
          </cell>
          <cell r="G1056" t="str">
            <v>Auto</v>
          </cell>
          <cell r="H1056">
            <v>311</v>
          </cell>
          <cell r="I1056">
            <v>2210</v>
          </cell>
          <cell r="J1056">
            <v>2250</v>
          </cell>
          <cell r="K1056" t="str">
            <v>VC01</v>
          </cell>
        </row>
        <row r="1057">
          <cell r="A1057" t="str">
            <v>PNLPS2087LZA-V4</v>
          </cell>
          <cell r="B1057" t="str">
            <v>DIP</v>
          </cell>
          <cell r="C1057">
            <v>1</v>
          </cell>
          <cell r="D1057" t="e">
            <v>#N/A</v>
          </cell>
          <cell r="E1057">
            <v>2210</v>
          </cell>
          <cell r="F1057" t="str">
            <v>VC01</v>
          </cell>
          <cell r="G1057" t="str">
            <v>Auto</v>
          </cell>
          <cell r="H1057">
            <v>311</v>
          </cell>
          <cell r="I1057">
            <v>2210</v>
          </cell>
          <cell r="J1057">
            <v>2250</v>
          </cell>
          <cell r="K1057" t="str">
            <v>VC01</v>
          </cell>
        </row>
        <row r="1058">
          <cell r="A1058" t="str">
            <v>VBC911AHAPM2V4</v>
          </cell>
          <cell r="B1058" t="str">
            <v>SMT</v>
          </cell>
          <cell r="C1058">
            <v>1</v>
          </cell>
          <cell r="D1058">
            <v>70</v>
          </cell>
        </row>
        <row r="1059">
          <cell r="A1059" t="str">
            <v>VBC911AHAPM1V4</v>
          </cell>
          <cell r="B1059" t="str">
            <v>SMT</v>
          </cell>
          <cell r="C1059">
            <v>1</v>
          </cell>
          <cell r="D1059">
            <v>318</v>
          </cell>
          <cell r="E1059">
            <v>2210</v>
          </cell>
          <cell r="F1059" t="str">
            <v>VC01</v>
          </cell>
          <cell r="G1059" t="str">
            <v>Auto</v>
          </cell>
          <cell r="H1059">
            <v>311</v>
          </cell>
          <cell r="I1059">
            <v>2210</v>
          </cell>
          <cell r="J1059">
            <v>2220</v>
          </cell>
          <cell r="K1059" t="str">
            <v>VC01</v>
          </cell>
        </row>
        <row r="1060">
          <cell r="A1060" t="str">
            <v>1RE1D834V4</v>
          </cell>
          <cell r="B1060" t="str">
            <v>SMT</v>
          </cell>
          <cell r="C1060">
            <v>1</v>
          </cell>
          <cell r="D1060">
            <v>621</v>
          </cell>
        </row>
        <row r="1061">
          <cell r="A1061" t="str">
            <v>1RE2D834V4</v>
          </cell>
          <cell r="B1061" t="str">
            <v>SMT</v>
          </cell>
          <cell r="C1061">
            <v>1</v>
          </cell>
          <cell r="D1061">
            <v>602</v>
          </cell>
          <cell r="E1061">
            <v>2210</v>
          </cell>
          <cell r="F1061" t="str">
            <v>VC01</v>
          </cell>
          <cell r="G1061" t="str">
            <v>Auto</v>
          </cell>
          <cell r="H1061">
            <v>311</v>
          </cell>
          <cell r="I1061">
            <v>2210</v>
          </cell>
          <cell r="J1061">
            <v>2310</v>
          </cell>
          <cell r="K1061" t="str">
            <v>VC01</v>
          </cell>
        </row>
        <row r="1062">
          <cell r="A1062" t="str">
            <v>VBD834PBV4</v>
          </cell>
          <cell r="B1062" t="str">
            <v>DIP</v>
          </cell>
          <cell r="C1062">
            <v>1</v>
          </cell>
          <cell r="D1062" t="e">
            <v>#N/A</v>
          </cell>
          <cell r="E1062">
            <v>2210</v>
          </cell>
          <cell r="F1062" t="str">
            <v>VC01</v>
          </cell>
          <cell r="G1062" t="str">
            <v>Auto</v>
          </cell>
          <cell r="H1062">
            <v>311</v>
          </cell>
          <cell r="I1062">
            <v>2210</v>
          </cell>
          <cell r="J1062">
            <v>2310</v>
          </cell>
          <cell r="K1062" t="str">
            <v>VC01</v>
          </cell>
        </row>
        <row r="1063">
          <cell r="A1063" t="str">
            <v>VBD934APBMV1V4</v>
          </cell>
          <cell r="B1063" t="str">
            <v>SMT</v>
          </cell>
          <cell r="C1063">
            <v>1</v>
          </cell>
          <cell r="D1063">
            <v>209</v>
          </cell>
        </row>
        <row r="1064">
          <cell r="A1064" t="str">
            <v>VBD934APBTVV4</v>
          </cell>
          <cell r="B1064" t="str">
            <v>SMT</v>
          </cell>
          <cell r="C1064">
            <v>1</v>
          </cell>
          <cell r="D1064">
            <v>97</v>
          </cell>
        </row>
        <row r="1065">
          <cell r="A1065" t="str">
            <v>VBD934APBMV2V4</v>
          </cell>
          <cell r="B1065" t="str">
            <v>SMT</v>
          </cell>
          <cell r="C1065">
            <v>1</v>
          </cell>
          <cell r="D1065">
            <v>185</v>
          </cell>
          <cell r="E1065">
            <v>2210</v>
          </cell>
          <cell r="F1065" t="str">
            <v>VC01</v>
          </cell>
          <cell r="G1065" t="str">
            <v>Auto</v>
          </cell>
          <cell r="H1065">
            <v>311</v>
          </cell>
          <cell r="I1065">
            <v>2210</v>
          </cell>
          <cell r="J1065">
            <v>2220</v>
          </cell>
          <cell r="K1065" t="str">
            <v>VC01</v>
          </cell>
        </row>
        <row r="1066">
          <cell r="A1066" t="str">
            <v>VBD934APBV4</v>
          </cell>
          <cell r="B1066" t="str">
            <v>DIP</v>
          </cell>
          <cell r="C1066">
            <v>1</v>
          </cell>
          <cell r="D1066" t="e">
            <v>#N/A</v>
          </cell>
          <cell r="E1066">
            <v>2210</v>
          </cell>
          <cell r="F1066" t="str">
            <v>VC01</v>
          </cell>
          <cell r="G1066" t="str">
            <v>Auto</v>
          </cell>
          <cell r="H1066">
            <v>311</v>
          </cell>
          <cell r="I1066">
            <v>2210</v>
          </cell>
          <cell r="J1066">
            <v>2220</v>
          </cell>
          <cell r="K1066" t="str">
            <v>VC01</v>
          </cell>
        </row>
        <row r="1067">
          <cell r="A1067" t="str">
            <v>1CM1F2221V4</v>
          </cell>
          <cell r="B1067" t="str">
            <v>SMT</v>
          </cell>
          <cell r="C1067">
            <v>1</v>
          </cell>
          <cell r="D1067">
            <v>105</v>
          </cell>
        </row>
        <row r="1068">
          <cell r="A1068" t="str">
            <v>1RE2F2221V4</v>
          </cell>
          <cell r="B1068" t="str">
            <v>SMT</v>
          </cell>
          <cell r="C1068">
            <v>1</v>
          </cell>
          <cell r="D1068">
            <v>192</v>
          </cell>
          <cell r="E1068">
            <v>2210</v>
          </cell>
          <cell r="F1068" t="str">
            <v>VC01</v>
          </cell>
          <cell r="G1068" t="str">
            <v>Auto</v>
          </cell>
          <cell r="H1068">
            <v>311</v>
          </cell>
          <cell r="I1068">
            <v>2210</v>
          </cell>
          <cell r="J1068">
            <v>2310</v>
          </cell>
          <cell r="K1068" t="str">
            <v>VC01</v>
          </cell>
        </row>
        <row r="1069">
          <cell r="A1069" t="str">
            <v>1AP1F2221V4</v>
          </cell>
          <cell r="B1069" t="str">
            <v>DIP</v>
          </cell>
          <cell r="C1069">
            <v>1</v>
          </cell>
          <cell r="D1069" t="e">
            <v>#N/A</v>
          </cell>
          <cell r="E1069">
            <v>2210</v>
          </cell>
          <cell r="F1069" t="str">
            <v>VC01</v>
          </cell>
          <cell r="G1069" t="str">
            <v>Auto</v>
          </cell>
          <cell r="H1069">
            <v>311</v>
          </cell>
          <cell r="I1069">
            <v>2210</v>
          </cell>
          <cell r="J1069">
            <v>2310</v>
          </cell>
          <cell r="K1069" t="str">
            <v>VC01</v>
          </cell>
        </row>
        <row r="1070">
          <cell r="A1070" t="str">
            <v>1VI1LP2536ZA</v>
          </cell>
          <cell r="B1070" t="str">
            <v>SMT</v>
          </cell>
          <cell r="C1070">
            <v>1</v>
          </cell>
          <cell r="D1070" t="e">
            <v>#N/A</v>
          </cell>
        </row>
        <row r="1071">
          <cell r="A1071" t="str">
            <v>1RE1LP2536ZA</v>
          </cell>
          <cell r="B1071" t="str">
            <v>SMT</v>
          </cell>
          <cell r="C1071">
            <v>1</v>
          </cell>
          <cell r="D1071">
            <v>223</v>
          </cell>
        </row>
        <row r="1072">
          <cell r="A1072" t="str">
            <v>1RE2LP2536ZA</v>
          </cell>
          <cell r="B1072" t="str">
            <v>SMT</v>
          </cell>
          <cell r="C1072">
            <v>1</v>
          </cell>
          <cell r="D1072">
            <v>207</v>
          </cell>
          <cell r="E1072">
            <v>2210</v>
          </cell>
          <cell r="F1072" t="str">
            <v>VC01</v>
          </cell>
          <cell r="G1072" t="str">
            <v>Auto</v>
          </cell>
          <cell r="H1072">
            <v>311</v>
          </cell>
          <cell r="I1072">
            <v>2210</v>
          </cell>
          <cell r="J1072">
            <v>2220</v>
          </cell>
          <cell r="K1072" t="str">
            <v>VC01</v>
          </cell>
        </row>
        <row r="1073">
          <cell r="A1073" t="str">
            <v>1AP1LP2536ZA</v>
          </cell>
          <cell r="B1073" t="str">
            <v>DIP</v>
          </cell>
          <cell r="C1073">
            <v>1</v>
          </cell>
          <cell r="D1073" t="e">
            <v>#N/A</v>
          </cell>
          <cell r="E1073">
            <v>2210</v>
          </cell>
          <cell r="F1073" t="str">
            <v>VC01</v>
          </cell>
          <cell r="G1073" t="str">
            <v>Auto</v>
          </cell>
          <cell r="H1073">
            <v>311</v>
          </cell>
          <cell r="I1073">
            <v>2210</v>
          </cell>
          <cell r="J1073">
            <v>2220</v>
          </cell>
          <cell r="K1073" t="str">
            <v>VC01</v>
          </cell>
        </row>
        <row r="1074">
          <cell r="A1074" t="str">
            <v>1VJ1LP2573ZA</v>
          </cell>
          <cell r="B1074" t="str">
            <v>SMT</v>
          </cell>
          <cell r="C1074">
            <v>1</v>
          </cell>
          <cell r="D1074" t="e">
            <v>#N/A</v>
          </cell>
        </row>
        <row r="1075">
          <cell r="A1075" t="str">
            <v>1VJ2LP2573ZA</v>
          </cell>
          <cell r="B1075" t="str">
            <v>SMT</v>
          </cell>
          <cell r="C1075">
            <v>1</v>
          </cell>
          <cell r="D1075" t="e">
            <v>#N/A</v>
          </cell>
        </row>
        <row r="1076">
          <cell r="A1076" t="str">
            <v>1RE1LP2573ZA</v>
          </cell>
          <cell r="B1076" t="str">
            <v>SMT</v>
          </cell>
          <cell r="C1076">
            <v>1</v>
          </cell>
          <cell r="D1076">
            <v>215</v>
          </cell>
        </row>
        <row r="1077">
          <cell r="A1077" t="str">
            <v>1RE2LP2573ZA</v>
          </cell>
          <cell r="B1077" t="str">
            <v>SMT</v>
          </cell>
          <cell r="C1077">
            <v>1</v>
          </cell>
          <cell r="D1077">
            <v>335</v>
          </cell>
        </row>
        <row r="1078">
          <cell r="A1078" t="str">
            <v>1RH1LP2573ZA</v>
          </cell>
          <cell r="B1078" t="str">
            <v>SMT</v>
          </cell>
          <cell r="C1078">
            <v>1</v>
          </cell>
          <cell r="D1078">
            <v>2</v>
          </cell>
          <cell r="E1078">
            <v>2210</v>
          </cell>
          <cell r="F1078" t="str">
            <v>VC01</v>
          </cell>
          <cell r="G1078" t="str">
            <v>Auto</v>
          </cell>
          <cell r="H1078">
            <v>311</v>
          </cell>
          <cell r="I1078">
            <v>2210</v>
          </cell>
          <cell r="J1078">
            <v>2220</v>
          </cell>
          <cell r="K1078" t="str">
            <v>VC01</v>
          </cell>
        </row>
        <row r="1079">
          <cell r="A1079" t="str">
            <v>1AP1LP2573ZA</v>
          </cell>
          <cell r="B1079" t="str">
            <v>DIP</v>
          </cell>
          <cell r="C1079">
            <v>1</v>
          </cell>
          <cell r="D1079" t="e">
            <v>#N/A</v>
          </cell>
          <cell r="E1079">
            <v>2210</v>
          </cell>
          <cell r="F1079" t="str">
            <v>VC01</v>
          </cell>
          <cell r="G1079" t="str">
            <v>Auto</v>
          </cell>
          <cell r="H1079">
            <v>311</v>
          </cell>
          <cell r="I1079">
            <v>2210</v>
          </cell>
          <cell r="J1079">
            <v>2220</v>
          </cell>
          <cell r="K1079" t="str">
            <v>VC01</v>
          </cell>
        </row>
        <row r="1080">
          <cell r="A1080" t="str">
            <v>1VI1LPMB2130JTMZA</v>
          </cell>
          <cell r="B1080" t="str">
            <v>SMT</v>
          </cell>
          <cell r="C1080">
            <v>1</v>
          </cell>
          <cell r="D1080" t="e">
            <v>#N/A</v>
          </cell>
        </row>
        <row r="1081">
          <cell r="A1081" t="str">
            <v>1RE1LPMB2130JTMZA</v>
          </cell>
          <cell r="B1081" t="str">
            <v>SMT</v>
          </cell>
          <cell r="C1081">
            <v>1</v>
          </cell>
          <cell r="D1081">
            <v>264</v>
          </cell>
        </row>
        <row r="1082">
          <cell r="A1082" t="str">
            <v>1RE2LPMB2130JTMZA</v>
          </cell>
          <cell r="B1082" t="str">
            <v>SMT</v>
          </cell>
          <cell r="C1082">
            <v>1</v>
          </cell>
          <cell r="D1082">
            <v>360</v>
          </cell>
        </row>
        <row r="1083">
          <cell r="A1083" t="str">
            <v>1RH1LPMB2130JTMZA</v>
          </cell>
          <cell r="B1083" t="str">
            <v>SMT</v>
          </cell>
          <cell r="C1083">
            <v>1</v>
          </cell>
          <cell r="D1083">
            <v>14</v>
          </cell>
        </row>
        <row r="1084">
          <cell r="A1084" t="str">
            <v>1AP1LPMB2130JTMZA</v>
          </cell>
          <cell r="B1084" t="str">
            <v>DIP</v>
          </cell>
          <cell r="C1084">
            <v>1</v>
          </cell>
          <cell r="D1084" t="e">
            <v>#N/A</v>
          </cell>
          <cell r="E1084">
            <v>2210</v>
          </cell>
        </row>
        <row r="1085">
          <cell r="A1085" t="str">
            <v>1VI1LPMB2170LAMZA</v>
          </cell>
          <cell r="B1085" t="str">
            <v>SMT</v>
          </cell>
          <cell r="C1085">
            <v>1</v>
          </cell>
          <cell r="D1085" t="e">
            <v>#N/A</v>
          </cell>
        </row>
        <row r="1086">
          <cell r="A1086" t="str">
            <v>1RE1LPMB2170LAMZA</v>
          </cell>
          <cell r="B1086" t="str">
            <v>SMT</v>
          </cell>
          <cell r="C1086">
            <v>1</v>
          </cell>
          <cell r="D1086">
            <v>262</v>
          </cell>
        </row>
        <row r="1087">
          <cell r="A1087" t="str">
            <v>1RE2LPMB2170LAMZA</v>
          </cell>
          <cell r="B1087" t="str">
            <v>SMT</v>
          </cell>
          <cell r="C1087">
            <v>1</v>
          </cell>
          <cell r="D1087">
            <v>364</v>
          </cell>
        </row>
        <row r="1088">
          <cell r="A1088" t="str">
            <v>1RH1LPMB2170LAMZA</v>
          </cell>
          <cell r="B1088" t="str">
            <v>SMT</v>
          </cell>
          <cell r="C1088">
            <v>1</v>
          </cell>
          <cell r="D1088">
            <v>8</v>
          </cell>
          <cell r="E1088">
            <v>2210</v>
          </cell>
          <cell r="F1088" t="str">
            <v>VC01</v>
          </cell>
          <cell r="G1088" t="str">
            <v>Auto</v>
          </cell>
          <cell r="H1088">
            <v>311</v>
          </cell>
          <cell r="I1088">
            <v>2210</v>
          </cell>
          <cell r="J1088">
            <v>2260</v>
          </cell>
          <cell r="K1088" t="str">
            <v>VC01</v>
          </cell>
        </row>
        <row r="1089">
          <cell r="A1089" t="str">
            <v>1AP1LPMB2170LAMZA</v>
          </cell>
          <cell r="B1089" t="str">
            <v>DIP</v>
          </cell>
          <cell r="C1089">
            <v>1</v>
          </cell>
          <cell r="D1089" t="e">
            <v>#N/A</v>
          </cell>
          <cell r="E1089">
            <v>2210</v>
          </cell>
          <cell r="F1089" t="str">
            <v>VC01</v>
          </cell>
          <cell r="G1089" t="str">
            <v>Auto</v>
          </cell>
          <cell r="H1089">
            <v>311</v>
          </cell>
          <cell r="I1089">
            <v>2210</v>
          </cell>
          <cell r="J1089">
            <v>2260</v>
          </cell>
          <cell r="K1089" t="str">
            <v>VC01</v>
          </cell>
        </row>
        <row r="1090">
          <cell r="A1090" t="str">
            <v>1VJ1LPMB537EUMZA</v>
          </cell>
          <cell r="B1090" t="str">
            <v>SMT</v>
          </cell>
          <cell r="C1090">
            <v>1</v>
          </cell>
          <cell r="D1090" t="e">
            <v>#N/A</v>
          </cell>
        </row>
        <row r="1091">
          <cell r="A1091" t="str">
            <v>1RE1LPMB537EUMZA</v>
          </cell>
          <cell r="B1091" t="str">
            <v>SMT</v>
          </cell>
          <cell r="C1091">
            <v>1</v>
          </cell>
          <cell r="D1091">
            <v>423</v>
          </cell>
        </row>
        <row r="1092">
          <cell r="A1092" t="str">
            <v>1RE2LPMB537EUMZA</v>
          </cell>
          <cell r="B1092" t="str">
            <v>SMT</v>
          </cell>
          <cell r="C1092">
            <v>1</v>
          </cell>
          <cell r="D1092">
            <v>512</v>
          </cell>
        </row>
        <row r="1093">
          <cell r="A1093" t="str">
            <v>1RH1LPMB537EUMZA</v>
          </cell>
          <cell r="B1093" t="str">
            <v>SMT</v>
          </cell>
          <cell r="C1093">
            <v>1</v>
          </cell>
          <cell r="D1093">
            <v>11</v>
          </cell>
          <cell r="E1093">
            <v>2210</v>
          </cell>
          <cell r="F1093" t="str">
            <v>VC01</v>
          </cell>
          <cell r="G1093" t="str">
            <v>Auto</v>
          </cell>
          <cell r="H1093">
            <v>311</v>
          </cell>
          <cell r="I1093">
            <v>2210</v>
          </cell>
          <cell r="J1093">
            <v>2260</v>
          </cell>
          <cell r="K1093" t="str">
            <v>VC01</v>
          </cell>
        </row>
        <row r="1094">
          <cell r="A1094" t="str">
            <v>1AP1LPMB537EUMZA</v>
          </cell>
          <cell r="B1094" t="str">
            <v>DIP</v>
          </cell>
          <cell r="C1094">
            <v>1</v>
          </cell>
          <cell r="D1094" t="e">
            <v>#N/A</v>
          </cell>
          <cell r="E1094">
            <v>2210</v>
          </cell>
          <cell r="F1094" t="str">
            <v>VC01</v>
          </cell>
          <cell r="G1094" t="str">
            <v>Auto</v>
          </cell>
          <cell r="H1094">
            <v>311</v>
          </cell>
          <cell r="I1094">
            <v>2210</v>
          </cell>
          <cell r="J1094">
            <v>2260</v>
          </cell>
          <cell r="K1094" t="str">
            <v>VC01</v>
          </cell>
        </row>
        <row r="1095">
          <cell r="A1095" t="str">
            <v>1VJ1LPMB545EUMZA</v>
          </cell>
          <cell r="B1095" t="str">
            <v>SMT</v>
          </cell>
          <cell r="C1095">
            <v>1</v>
          </cell>
          <cell r="D1095" t="e">
            <v>#N/A</v>
          </cell>
        </row>
        <row r="1096">
          <cell r="A1096" t="str">
            <v>1RE1LPMB545EUMZA</v>
          </cell>
          <cell r="B1096" t="str">
            <v>SMT</v>
          </cell>
          <cell r="C1096">
            <v>1</v>
          </cell>
          <cell r="D1096">
            <v>422</v>
          </cell>
        </row>
        <row r="1097">
          <cell r="A1097" t="str">
            <v>1RE2LPMB545EUMZA</v>
          </cell>
          <cell r="B1097" t="str">
            <v>SMT</v>
          </cell>
          <cell r="C1097">
            <v>1</v>
          </cell>
          <cell r="D1097">
            <v>513</v>
          </cell>
        </row>
        <row r="1098">
          <cell r="A1098" t="str">
            <v>1RH1LPMB545EUMZA</v>
          </cell>
          <cell r="B1098" t="str">
            <v>SMT</v>
          </cell>
          <cell r="C1098">
            <v>1</v>
          </cell>
          <cell r="D1098">
            <v>11</v>
          </cell>
          <cell r="E1098">
            <v>2210</v>
          </cell>
          <cell r="F1098" t="str">
            <v>VC01</v>
          </cell>
          <cell r="G1098" t="str">
            <v>Auto</v>
          </cell>
          <cell r="H1098">
            <v>311</v>
          </cell>
          <cell r="I1098">
            <v>2210</v>
          </cell>
          <cell r="J1098">
            <v>2260</v>
          </cell>
          <cell r="K1098" t="str">
            <v>VC01</v>
          </cell>
        </row>
        <row r="1099">
          <cell r="A1099" t="str">
            <v>1AP1LPMB545EUMZA</v>
          </cell>
          <cell r="B1099" t="str">
            <v>DIP</v>
          </cell>
          <cell r="C1099">
            <v>1</v>
          </cell>
          <cell r="D1099" t="e">
            <v>#N/A</v>
          </cell>
          <cell r="E1099">
            <v>2210</v>
          </cell>
          <cell r="F1099" t="str">
            <v>VC01</v>
          </cell>
          <cell r="G1099" t="str">
            <v>Auto</v>
          </cell>
          <cell r="H1099">
            <v>311</v>
          </cell>
          <cell r="I1099">
            <v>2210</v>
          </cell>
          <cell r="J1099">
            <v>2260</v>
          </cell>
          <cell r="K1099" t="str">
            <v>VC01</v>
          </cell>
        </row>
        <row r="1100">
          <cell r="A1100" t="str">
            <v>1VI1NCP1290CE</v>
          </cell>
          <cell r="B1100" t="str">
            <v>SMT</v>
          </cell>
          <cell r="C1100">
            <v>1</v>
          </cell>
          <cell r="D1100" t="e">
            <v>#N/A</v>
          </cell>
        </row>
        <row r="1101">
          <cell r="A1101" t="str">
            <v>1RE1NCP1290CE</v>
          </cell>
          <cell r="B1101" t="str">
            <v>SMT</v>
          </cell>
          <cell r="C1101">
            <v>1</v>
          </cell>
          <cell r="D1101">
            <v>473</v>
          </cell>
        </row>
        <row r="1102">
          <cell r="A1102" t="str">
            <v>1RH1NCP1290CE</v>
          </cell>
          <cell r="B1102" t="str">
            <v>SMT</v>
          </cell>
          <cell r="C1102">
            <v>1</v>
          </cell>
          <cell r="D1102">
            <v>6</v>
          </cell>
          <cell r="E1102">
            <v>2210</v>
          </cell>
          <cell r="F1102" t="str">
            <v>VC01</v>
          </cell>
          <cell r="G1102" t="str">
            <v>Auto</v>
          </cell>
          <cell r="H1102">
            <v>311</v>
          </cell>
          <cell r="I1102">
            <v>2210</v>
          </cell>
          <cell r="J1102">
            <v>2310</v>
          </cell>
          <cell r="K1102" t="str">
            <v>VC01</v>
          </cell>
        </row>
        <row r="1103">
          <cell r="A1103" t="str">
            <v>1AP1NCP1290CE</v>
          </cell>
          <cell r="B1103" t="str">
            <v>DIP</v>
          </cell>
          <cell r="C1103">
            <v>1</v>
          </cell>
          <cell r="D1103" t="e">
            <v>#N/A</v>
          </cell>
          <cell r="E1103">
            <v>2210</v>
          </cell>
          <cell r="F1103" t="str">
            <v>VC01</v>
          </cell>
          <cell r="G1103" t="str">
            <v>Auto</v>
          </cell>
          <cell r="H1103">
            <v>311</v>
          </cell>
          <cell r="I1103">
            <v>2210</v>
          </cell>
          <cell r="J1103">
            <v>2310</v>
          </cell>
          <cell r="K1103" t="str">
            <v>VC01</v>
          </cell>
        </row>
        <row r="1104">
          <cell r="A1104" t="str">
            <v>1VI1NS0131X</v>
          </cell>
          <cell r="B1104" t="str">
            <v>SMT</v>
          </cell>
          <cell r="C1104">
            <v>1</v>
          </cell>
          <cell r="D1104" t="e">
            <v>#N/A</v>
          </cell>
        </row>
        <row r="1105">
          <cell r="A1105" t="str">
            <v>1VI2NS0131X</v>
          </cell>
          <cell r="B1105" t="str">
            <v>SMT</v>
          </cell>
          <cell r="C1105">
            <v>1</v>
          </cell>
          <cell r="D1105" t="e">
            <v>#N/A</v>
          </cell>
        </row>
        <row r="1106">
          <cell r="A1106" t="str">
            <v>1RE1NS0131X</v>
          </cell>
          <cell r="B1106" t="str">
            <v>SMT</v>
          </cell>
          <cell r="C1106">
            <v>1</v>
          </cell>
          <cell r="D1106">
            <v>685</v>
          </cell>
          <cell r="E1106">
            <v>2210</v>
          </cell>
          <cell r="F1106" t="str">
            <v>VC01</v>
          </cell>
          <cell r="G1106" t="str">
            <v>Auto</v>
          </cell>
          <cell r="H1106">
            <v>311</v>
          </cell>
          <cell r="I1106">
            <v>2210</v>
          </cell>
          <cell r="J1106">
            <v>2310</v>
          </cell>
          <cell r="K1106" t="str">
            <v>VC01</v>
          </cell>
        </row>
        <row r="1107">
          <cell r="A1107" t="str">
            <v>1AP1NS0131X</v>
          </cell>
          <cell r="B1107" t="str">
            <v>DIP</v>
          </cell>
          <cell r="C1107">
            <v>1</v>
          </cell>
          <cell r="D1107" t="e">
            <v>#N/A</v>
          </cell>
          <cell r="E1107">
            <v>2210</v>
          </cell>
          <cell r="F1107" t="str">
            <v>VC01</v>
          </cell>
          <cell r="G1107" t="str">
            <v>Auto</v>
          </cell>
          <cell r="H1107">
            <v>311</v>
          </cell>
          <cell r="I1107">
            <v>2210</v>
          </cell>
          <cell r="J1107">
            <v>2310</v>
          </cell>
          <cell r="K1107" t="str">
            <v>VC01</v>
          </cell>
        </row>
        <row r="1108">
          <cell r="A1108" t="str">
            <v>1RE1NS0180X</v>
          </cell>
          <cell r="B1108" t="str">
            <v>SMT</v>
          </cell>
          <cell r="C1108">
            <v>1</v>
          </cell>
          <cell r="D1108">
            <v>198</v>
          </cell>
        </row>
        <row r="1109">
          <cell r="A1109" t="str">
            <v>1RE2NS0180X</v>
          </cell>
          <cell r="B1109" t="str">
            <v>SMT</v>
          </cell>
          <cell r="C1109">
            <v>1</v>
          </cell>
          <cell r="D1109">
            <v>247</v>
          </cell>
        </row>
        <row r="1110">
          <cell r="A1110" t="str">
            <v>1RH1NS0180X</v>
          </cell>
          <cell r="B1110" t="str">
            <v>SMT</v>
          </cell>
          <cell r="C1110">
            <v>1</v>
          </cell>
          <cell r="D1110">
            <v>24</v>
          </cell>
          <cell r="E1110">
            <v>2210</v>
          </cell>
          <cell r="F1110" t="str">
            <v>VC01</v>
          </cell>
          <cell r="G1110" t="str">
            <v>Auto</v>
          </cell>
          <cell r="H1110">
            <v>311</v>
          </cell>
          <cell r="I1110">
            <v>2210</v>
          </cell>
          <cell r="J1110">
            <v>2310</v>
          </cell>
          <cell r="K1110" t="str">
            <v>VC01</v>
          </cell>
        </row>
        <row r="1111">
          <cell r="A1111" t="str">
            <v>1AP1NS0180X</v>
          </cell>
          <cell r="B1111" t="str">
            <v>DIP</v>
          </cell>
          <cell r="C1111">
            <v>1</v>
          </cell>
          <cell r="D1111" t="e">
            <v>#N/A</v>
          </cell>
          <cell r="E1111">
            <v>2210</v>
          </cell>
          <cell r="F1111" t="str">
            <v>VC01</v>
          </cell>
          <cell r="G1111" t="str">
            <v>Auto</v>
          </cell>
          <cell r="H1111">
            <v>311</v>
          </cell>
          <cell r="I1111">
            <v>2210</v>
          </cell>
          <cell r="J1111">
            <v>2310</v>
          </cell>
          <cell r="K1111" t="str">
            <v>VC01</v>
          </cell>
        </row>
        <row r="1112">
          <cell r="A1112" t="str">
            <v>1RE1NS0280X</v>
          </cell>
          <cell r="B1112" t="str">
            <v>SMT</v>
          </cell>
          <cell r="C1112">
            <v>1</v>
          </cell>
          <cell r="D1112">
            <v>63</v>
          </cell>
        </row>
        <row r="1113">
          <cell r="A1113" t="str">
            <v>1RE2NS0280X</v>
          </cell>
          <cell r="B1113" t="str">
            <v>SMT</v>
          </cell>
          <cell r="C1113">
            <v>1</v>
          </cell>
          <cell r="D1113">
            <v>343</v>
          </cell>
        </row>
        <row r="1114">
          <cell r="A1114" t="str">
            <v>1RH1NS0280X</v>
          </cell>
          <cell r="B1114" t="str">
            <v>SMT</v>
          </cell>
          <cell r="C1114">
            <v>1</v>
          </cell>
          <cell r="D1114">
            <v>35</v>
          </cell>
          <cell r="E1114">
            <v>2210</v>
          </cell>
          <cell r="F1114" t="str">
            <v>VC01</v>
          </cell>
          <cell r="G1114" t="str">
            <v>Auto</v>
          </cell>
          <cell r="H1114">
            <v>311</v>
          </cell>
          <cell r="I1114">
            <v>2210</v>
          </cell>
          <cell r="J1114">
            <v>2310</v>
          </cell>
          <cell r="K1114" t="str">
            <v>VC01</v>
          </cell>
        </row>
        <row r="1115">
          <cell r="A1115" t="str">
            <v>1AP1NS0280X</v>
          </cell>
          <cell r="B1115" t="str">
            <v>DIP</v>
          </cell>
          <cell r="C1115">
            <v>1</v>
          </cell>
          <cell r="D1115" t="e">
            <v>#N/A</v>
          </cell>
          <cell r="E1115">
            <v>2210</v>
          </cell>
          <cell r="F1115" t="str">
            <v>VC01</v>
          </cell>
          <cell r="G1115" t="str">
            <v>Auto</v>
          </cell>
          <cell r="H1115">
            <v>311</v>
          </cell>
          <cell r="I1115">
            <v>2210</v>
          </cell>
          <cell r="J1115">
            <v>2310</v>
          </cell>
          <cell r="K1115" t="str">
            <v>VC01</v>
          </cell>
        </row>
        <row r="1116">
          <cell r="A1116" t="str">
            <v>1RE1NS5130CN</v>
          </cell>
          <cell r="B1116" t="str">
            <v>SMT</v>
          </cell>
          <cell r="C1116">
            <v>1</v>
          </cell>
          <cell r="D1116">
            <v>124</v>
          </cell>
          <cell r="E1116">
            <v>2210</v>
          </cell>
          <cell r="F1116" t="str">
            <v>VC01</v>
          </cell>
          <cell r="G1116" t="str">
            <v>Auto</v>
          </cell>
          <cell r="H1116">
            <v>311</v>
          </cell>
          <cell r="I1116">
            <v>2210</v>
          </cell>
          <cell r="J1116">
            <v>2310</v>
          </cell>
          <cell r="K1116" t="str">
            <v>VC01</v>
          </cell>
        </row>
        <row r="1117">
          <cell r="A1117" t="str">
            <v>1AP1NS5130CN</v>
          </cell>
          <cell r="B1117" t="str">
            <v>DIP</v>
          </cell>
          <cell r="C1117">
            <v>1</v>
          </cell>
          <cell r="D1117" t="e">
            <v>#N/A</v>
          </cell>
          <cell r="E1117">
            <v>2210</v>
          </cell>
          <cell r="F1117" t="str">
            <v>VC01</v>
          </cell>
          <cell r="G1117" t="str">
            <v>Auto</v>
          </cell>
          <cell r="H1117">
            <v>311</v>
          </cell>
          <cell r="I1117">
            <v>2210</v>
          </cell>
          <cell r="J1117">
            <v>2310</v>
          </cell>
          <cell r="K1117" t="str">
            <v>VC01</v>
          </cell>
        </row>
        <row r="1118">
          <cell r="A1118" t="str">
            <v>1VI1NS5171</v>
          </cell>
          <cell r="B1118" t="str">
            <v>SMT</v>
          </cell>
          <cell r="C1118">
            <v>1</v>
          </cell>
          <cell r="D1118" t="e">
            <v>#N/A</v>
          </cell>
        </row>
        <row r="1119">
          <cell r="A1119" t="str">
            <v>1VI2NS5171</v>
          </cell>
          <cell r="B1119" t="str">
            <v>SMT</v>
          </cell>
          <cell r="C1119">
            <v>1</v>
          </cell>
          <cell r="D1119" t="e">
            <v>#N/A</v>
          </cell>
        </row>
        <row r="1120">
          <cell r="A1120" t="str">
            <v>1RE1NS5171</v>
          </cell>
          <cell r="B1120" t="str">
            <v>SMT</v>
          </cell>
          <cell r="C1120">
            <v>1</v>
          </cell>
          <cell r="D1120">
            <v>321</v>
          </cell>
        </row>
        <row r="1121">
          <cell r="A1121" t="str">
            <v>1RE2NS5171</v>
          </cell>
          <cell r="B1121" t="str">
            <v>SMT</v>
          </cell>
          <cell r="C1121">
            <v>1</v>
          </cell>
          <cell r="D1121">
            <v>229</v>
          </cell>
        </row>
        <row r="1122">
          <cell r="A1122" t="str">
            <v>1RH1NS5171</v>
          </cell>
          <cell r="B1122" t="str">
            <v>SMT</v>
          </cell>
          <cell r="C1122">
            <v>1</v>
          </cell>
          <cell r="D1122">
            <v>16</v>
          </cell>
          <cell r="E1122">
            <v>2210</v>
          </cell>
          <cell r="F1122" t="str">
            <v>VC01</v>
          </cell>
          <cell r="G1122" t="str">
            <v>Auto</v>
          </cell>
          <cell r="H1122">
            <v>311</v>
          </cell>
          <cell r="I1122">
            <v>2210</v>
          </cell>
          <cell r="J1122">
            <v>2310</v>
          </cell>
          <cell r="K1122" t="str">
            <v>VC01</v>
          </cell>
        </row>
        <row r="1123">
          <cell r="A1123" t="str">
            <v>1AP1NS5171</v>
          </cell>
          <cell r="B1123" t="str">
            <v>DIP</v>
          </cell>
          <cell r="C1123">
            <v>1</v>
          </cell>
          <cell r="D1123" t="e">
            <v>#N/A</v>
          </cell>
          <cell r="E1123">
            <v>2210</v>
          </cell>
          <cell r="F1123" t="str">
            <v>VC01</v>
          </cell>
          <cell r="G1123" t="str">
            <v>Auto</v>
          </cell>
          <cell r="H1123">
            <v>311</v>
          </cell>
          <cell r="I1123">
            <v>2210</v>
          </cell>
          <cell r="J1123">
            <v>2310</v>
          </cell>
          <cell r="K1123" t="str">
            <v>VC01</v>
          </cell>
        </row>
        <row r="1124">
          <cell r="A1124" t="str">
            <v>1VI1NS5172CN</v>
          </cell>
          <cell r="B1124" t="str">
            <v>SMT</v>
          </cell>
          <cell r="C1124">
            <v>1</v>
          </cell>
          <cell r="D1124" t="e">
            <v>#N/A</v>
          </cell>
        </row>
        <row r="1125">
          <cell r="A1125" t="str">
            <v>1VI2NS5172CN</v>
          </cell>
          <cell r="B1125" t="str">
            <v>SMT</v>
          </cell>
          <cell r="C1125">
            <v>1</v>
          </cell>
          <cell r="D1125" t="e">
            <v>#N/A</v>
          </cell>
        </row>
        <row r="1126">
          <cell r="A1126" t="str">
            <v>1RE1NS5172CN</v>
          </cell>
          <cell r="B1126" t="str">
            <v>SMT</v>
          </cell>
          <cell r="C1126">
            <v>1</v>
          </cell>
          <cell r="D1126">
            <v>537</v>
          </cell>
        </row>
        <row r="1127">
          <cell r="A1127" t="str">
            <v>1RE2NS5172CN</v>
          </cell>
          <cell r="B1127" t="str">
            <v>SMT</v>
          </cell>
          <cell r="C1127">
            <v>1</v>
          </cell>
          <cell r="D1127">
            <v>375</v>
          </cell>
        </row>
        <row r="1128">
          <cell r="A1128" t="str">
            <v>1RH1NS5172CN</v>
          </cell>
          <cell r="B1128" t="str">
            <v>SMT</v>
          </cell>
          <cell r="C1128">
            <v>1</v>
          </cell>
          <cell r="D1128">
            <v>32</v>
          </cell>
          <cell r="E1128">
            <v>2210</v>
          </cell>
          <cell r="F1128" t="str">
            <v>VC01</v>
          </cell>
          <cell r="G1128" t="str">
            <v>Auto</v>
          </cell>
          <cell r="H1128">
            <v>311</v>
          </cell>
          <cell r="I1128">
            <v>2210</v>
          </cell>
          <cell r="J1128">
            <v>2310</v>
          </cell>
          <cell r="K1128" t="str">
            <v>VC01</v>
          </cell>
        </row>
        <row r="1129">
          <cell r="A1129" t="str">
            <v>1AP1NS5172CN</v>
          </cell>
          <cell r="B1129" t="str">
            <v>DIP</v>
          </cell>
          <cell r="C1129">
            <v>1</v>
          </cell>
          <cell r="D1129" t="e">
            <v>#N/A</v>
          </cell>
          <cell r="E1129">
            <v>2210</v>
          </cell>
          <cell r="F1129" t="str">
            <v>VC01</v>
          </cell>
          <cell r="G1129" t="str">
            <v>Auto</v>
          </cell>
          <cell r="H1129">
            <v>311</v>
          </cell>
          <cell r="I1129">
            <v>2210</v>
          </cell>
          <cell r="J1129">
            <v>2310</v>
          </cell>
          <cell r="K1129" t="str">
            <v>VC01</v>
          </cell>
        </row>
        <row r="1130">
          <cell r="A1130" t="str">
            <v>1RE1NS5173CN</v>
          </cell>
          <cell r="B1130" t="str">
            <v>SMT</v>
          </cell>
          <cell r="C1130">
            <v>1</v>
          </cell>
          <cell r="D1130">
            <v>138</v>
          </cell>
        </row>
        <row r="1131">
          <cell r="A1131" t="str">
            <v>1RE2NS5173CN</v>
          </cell>
          <cell r="B1131" t="str">
            <v>SMT</v>
          </cell>
          <cell r="C1131">
            <v>1</v>
          </cell>
          <cell r="D1131">
            <v>222</v>
          </cell>
        </row>
        <row r="1132">
          <cell r="A1132" t="str">
            <v>1RH1NS5173CN</v>
          </cell>
          <cell r="B1132" t="str">
            <v>SMT</v>
          </cell>
          <cell r="C1132">
            <v>1</v>
          </cell>
          <cell r="D1132">
            <v>4</v>
          </cell>
          <cell r="E1132">
            <v>2210</v>
          </cell>
          <cell r="F1132" t="str">
            <v>VC01</v>
          </cell>
          <cell r="G1132" t="str">
            <v>Auto</v>
          </cell>
          <cell r="H1132">
            <v>311</v>
          </cell>
          <cell r="I1132">
            <v>2210</v>
          </cell>
          <cell r="J1132">
            <v>2310</v>
          </cell>
          <cell r="K1132" t="str">
            <v>VC01</v>
          </cell>
        </row>
        <row r="1133">
          <cell r="A1133" t="str">
            <v>1AP1NS5173CN</v>
          </cell>
          <cell r="B1133" t="str">
            <v>DIP</v>
          </cell>
          <cell r="C1133">
            <v>1</v>
          </cell>
          <cell r="D1133" t="e">
            <v>#N/A</v>
          </cell>
          <cell r="E1133">
            <v>2210</v>
          </cell>
          <cell r="F1133" t="str">
            <v>VC01</v>
          </cell>
          <cell r="G1133" t="str">
            <v>Auto</v>
          </cell>
          <cell r="H1133">
            <v>311</v>
          </cell>
          <cell r="I1133">
            <v>2210</v>
          </cell>
          <cell r="J1133">
            <v>2310</v>
          </cell>
          <cell r="K1133" t="str">
            <v>VC01</v>
          </cell>
        </row>
        <row r="1134">
          <cell r="A1134" t="str">
            <v>1RE1NS5174CN</v>
          </cell>
          <cell r="B1134" t="str">
            <v>SMT</v>
          </cell>
          <cell r="C1134">
            <v>1</v>
          </cell>
          <cell r="D1134">
            <v>266</v>
          </cell>
        </row>
        <row r="1135">
          <cell r="A1135" t="str">
            <v>1RE2NS5174CN</v>
          </cell>
          <cell r="B1135" t="str">
            <v>SMT</v>
          </cell>
          <cell r="C1135">
            <v>1</v>
          </cell>
          <cell r="D1135">
            <v>375</v>
          </cell>
        </row>
        <row r="1136">
          <cell r="A1136" t="str">
            <v>1RH1NS5174CN</v>
          </cell>
          <cell r="B1136" t="str">
            <v>SMT</v>
          </cell>
          <cell r="C1136">
            <v>1</v>
          </cell>
          <cell r="D1136">
            <v>8</v>
          </cell>
          <cell r="E1136">
            <v>2210</v>
          </cell>
          <cell r="F1136" t="str">
            <v>VC01</v>
          </cell>
          <cell r="G1136" t="str">
            <v>Auto</v>
          </cell>
          <cell r="H1136">
            <v>311</v>
          </cell>
          <cell r="I1136">
            <v>2210</v>
          </cell>
          <cell r="J1136">
            <v>2310</v>
          </cell>
          <cell r="K1136" t="str">
            <v>VC01</v>
          </cell>
        </row>
        <row r="1137">
          <cell r="A1137" t="str">
            <v>1AP1NS5174CN</v>
          </cell>
          <cell r="B1137" t="str">
            <v>DIP</v>
          </cell>
          <cell r="C1137">
            <v>1</v>
          </cell>
          <cell r="D1137" t="e">
            <v>#N/A</v>
          </cell>
          <cell r="E1137">
            <v>2210</v>
          </cell>
          <cell r="F1137" t="str">
            <v>VC01</v>
          </cell>
          <cell r="G1137" t="str">
            <v>Auto</v>
          </cell>
          <cell r="H1137">
            <v>311</v>
          </cell>
          <cell r="I1137">
            <v>2210</v>
          </cell>
          <cell r="J1137">
            <v>2310</v>
          </cell>
          <cell r="K1137" t="str">
            <v>VC01</v>
          </cell>
        </row>
        <row r="1138">
          <cell r="A1138" t="str">
            <v>1RE1NS5180CN</v>
          </cell>
          <cell r="B1138" t="str">
            <v>SMT</v>
          </cell>
          <cell r="C1138">
            <v>1</v>
          </cell>
          <cell r="D1138">
            <v>166</v>
          </cell>
        </row>
        <row r="1139">
          <cell r="A1139" t="str">
            <v>1RE2NS5180CN</v>
          </cell>
          <cell r="B1139" t="str">
            <v>SMT</v>
          </cell>
          <cell r="C1139">
            <v>1</v>
          </cell>
          <cell r="D1139">
            <v>404</v>
          </cell>
        </row>
        <row r="1140">
          <cell r="A1140" t="str">
            <v>1RH1NS5180CN</v>
          </cell>
          <cell r="B1140" t="str">
            <v>SMT</v>
          </cell>
          <cell r="C1140">
            <v>1</v>
          </cell>
          <cell r="D1140">
            <v>1</v>
          </cell>
          <cell r="E1140">
            <v>2210</v>
          </cell>
          <cell r="F1140" t="str">
            <v>VC01</v>
          </cell>
          <cell r="G1140" t="str">
            <v>Auto</v>
          </cell>
          <cell r="H1140">
            <v>311</v>
          </cell>
          <cell r="I1140">
            <v>2210</v>
          </cell>
          <cell r="J1140">
            <v>2310</v>
          </cell>
          <cell r="K1140" t="str">
            <v>VC01</v>
          </cell>
        </row>
        <row r="1141">
          <cell r="A1141" t="str">
            <v>1AP1NS5180CN</v>
          </cell>
          <cell r="B1141" t="str">
            <v>DIP</v>
          </cell>
          <cell r="C1141">
            <v>1</v>
          </cell>
          <cell r="D1141" t="e">
            <v>#N/A</v>
          </cell>
          <cell r="E1141">
            <v>2210</v>
          </cell>
          <cell r="F1141" t="str">
            <v>VC01</v>
          </cell>
          <cell r="G1141" t="str">
            <v>Auto</v>
          </cell>
          <cell r="H1141">
            <v>311</v>
          </cell>
          <cell r="I1141">
            <v>2210</v>
          </cell>
          <cell r="J1141">
            <v>2310</v>
          </cell>
          <cell r="K1141" t="str">
            <v>VC01</v>
          </cell>
        </row>
        <row r="1142">
          <cell r="A1142" t="str">
            <v>1VJ1NS5290CN</v>
          </cell>
          <cell r="B1142" t="str">
            <v>SMT</v>
          </cell>
          <cell r="C1142">
            <v>1</v>
          </cell>
          <cell r="D1142" t="e">
            <v>#N/A</v>
          </cell>
        </row>
        <row r="1143">
          <cell r="A1143" t="str">
            <v>1RE1NS5290CN</v>
          </cell>
          <cell r="B1143" t="str">
            <v>SMT</v>
          </cell>
          <cell r="C1143">
            <v>1</v>
          </cell>
          <cell r="D1143">
            <v>59</v>
          </cell>
        </row>
        <row r="1144">
          <cell r="A1144" t="str">
            <v>1RE2NS5290CN</v>
          </cell>
          <cell r="B1144" t="str">
            <v>SMT</v>
          </cell>
          <cell r="C1144">
            <v>1</v>
          </cell>
          <cell r="D1144">
            <v>209</v>
          </cell>
        </row>
        <row r="1145">
          <cell r="A1145" t="str">
            <v>1RH1NS5290CN</v>
          </cell>
          <cell r="B1145" t="str">
            <v>SMT</v>
          </cell>
          <cell r="C1145">
            <v>1</v>
          </cell>
          <cell r="D1145">
            <v>5</v>
          </cell>
          <cell r="E1145">
            <v>2210</v>
          </cell>
          <cell r="F1145" t="str">
            <v>VC01</v>
          </cell>
          <cell r="G1145" t="str">
            <v>Auto</v>
          </cell>
          <cell r="H1145">
            <v>311</v>
          </cell>
          <cell r="I1145">
            <v>2210</v>
          </cell>
          <cell r="J1145">
            <v>2310</v>
          </cell>
          <cell r="K1145" t="str">
            <v>VC01</v>
          </cell>
        </row>
        <row r="1146">
          <cell r="A1146" t="str">
            <v>1AP1NS5290CN</v>
          </cell>
          <cell r="B1146" t="str">
            <v>DIP</v>
          </cell>
          <cell r="C1146">
            <v>1</v>
          </cell>
          <cell r="D1146" t="e">
            <v>#N/A</v>
          </cell>
          <cell r="E1146">
            <v>2210</v>
          </cell>
          <cell r="F1146" t="str">
            <v>VC01</v>
          </cell>
          <cell r="G1146" t="str">
            <v>Auto</v>
          </cell>
          <cell r="H1146">
            <v>311</v>
          </cell>
          <cell r="I1146">
            <v>2210</v>
          </cell>
          <cell r="J1146">
            <v>2310</v>
          </cell>
          <cell r="K1146" t="str">
            <v>VC01</v>
          </cell>
        </row>
        <row r="1147">
          <cell r="A1147" t="str">
            <v>1VI1TDA0144XJV4</v>
          </cell>
          <cell r="B1147" t="str">
            <v>SMT</v>
          </cell>
          <cell r="C1147">
            <v>1</v>
          </cell>
          <cell r="D1147" t="e">
            <v>#N/A</v>
          </cell>
        </row>
        <row r="1148">
          <cell r="A1148" t="str">
            <v>1VI2TDA0144XJV4</v>
          </cell>
          <cell r="B1148" t="str">
            <v>SMT</v>
          </cell>
          <cell r="C1148">
            <v>1</v>
          </cell>
          <cell r="D1148" t="e">
            <v>#N/A</v>
          </cell>
        </row>
        <row r="1149">
          <cell r="A1149" t="str">
            <v>1RE1TDA0144XJV4</v>
          </cell>
          <cell r="B1149" t="str">
            <v>SMT</v>
          </cell>
          <cell r="C1149">
            <v>1</v>
          </cell>
          <cell r="D1149">
            <v>499</v>
          </cell>
        </row>
        <row r="1150">
          <cell r="A1150" t="str">
            <v>1RE2TDA0144XJV4</v>
          </cell>
          <cell r="B1150" t="str">
            <v>SMT</v>
          </cell>
          <cell r="C1150">
            <v>1</v>
          </cell>
          <cell r="D1150">
            <v>590</v>
          </cell>
        </row>
        <row r="1151">
          <cell r="A1151" t="str">
            <v>1RH1TDA0144XJV4</v>
          </cell>
          <cell r="B1151" t="str">
            <v>SMT</v>
          </cell>
          <cell r="C1151">
            <v>1</v>
          </cell>
          <cell r="D1151">
            <v>17</v>
          </cell>
          <cell r="E1151">
            <v>2210</v>
          </cell>
          <cell r="F1151" t="str">
            <v>VC01</v>
          </cell>
          <cell r="G1151" t="str">
            <v>Auto</v>
          </cell>
          <cell r="H1151">
            <v>311</v>
          </cell>
          <cell r="I1151">
            <v>2210</v>
          </cell>
          <cell r="J1151">
            <v>2310</v>
          </cell>
          <cell r="K1151" t="str">
            <v>VC01</v>
          </cell>
        </row>
        <row r="1152">
          <cell r="A1152" t="str">
            <v>1AP1TDA0144XJV4</v>
          </cell>
          <cell r="B1152" t="str">
            <v>DIP</v>
          </cell>
          <cell r="C1152">
            <v>1</v>
          </cell>
          <cell r="D1152" t="e">
            <v>#N/A</v>
          </cell>
          <cell r="E1152">
            <v>2210</v>
          </cell>
          <cell r="F1152" t="str">
            <v>VC01</v>
          </cell>
          <cell r="G1152" t="str">
            <v>Auto</v>
          </cell>
          <cell r="H1152">
            <v>311</v>
          </cell>
          <cell r="I1152">
            <v>2210</v>
          </cell>
          <cell r="J1152">
            <v>2310</v>
          </cell>
          <cell r="K1152" t="str">
            <v>VC01</v>
          </cell>
        </row>
        <row r="1153">
          <cell r="A1153" t="str">
            <v>1VJ1TDA0170V4</v>
          </cell>
          <cell r="B1153" t="str">
            <v>SMT</v>
          </cell>
          <cell r="C1153">
            <v>1</v>
          </cell>
          <cell r="D1153" t="e">
            <v>#N/A</v>
          </cell>
        </row>
        <row r="1154">
          <cell r="A1154" t="str">
            <v>1RE1TDA0170V4</v>
          </cell>
          <cell r="B1154" t="str">
            <v>SMT</v>
          </cell>
          <cell r="C1154">
            <v>1</v>
          </cell>
          <cell r="D1154">
            <v>779</v>
          </cell>
        </row>
        <row r="1155">
          <cell r="A1155" t="str">
            <v>1RE2TDA0170V4</v>
          </cell>
          <cell r="B1155" t="str">
            <v>SMT</v>
          </cell>
          <cell r="C1155">
            <v>1</v>
          </cell>
          <cell r="D1155">
            <v>502</v>
          </cell>
        </row>
        <row r="1156">
          <cell r="A1156" t="str">
            <v>1RH1TDA0170V4</v>
          </cell>
          <cell r="B1156" t="str">
            <v>SMT</v>
          </cell>
          <cell r="C1156">
            <v>1</v>
          </cell>
          <cell r="D1156">
            <v>102</v>
          </cell>
          <cell r="E1156">
            <v>2210</v>
          </cell>
          <cell r="F1156" t="str">
            <v>VC01</v>
          </cell>
          <cell r="G1156" t="str">
            <v>Auto</v>
          </cell>
          <cell r="H1156">
            <v>311</v>
          </cell>
          <cell r="I1156">
            <v>2210</v>
          </cell>
          <cell r="J1156">
            <v>2310</v>
          </cell>
          <cell r="K1156" t="str">
            <v>VC01</v>
          </cell>
        </row>
        <row r="1157">
          <cell r="A1157" t="str">
            <v>1AP1TDA0170V4</v>
          </cell>
          <cell r="B1157" t="str">
            <v>DIP</v>
          </cell>
          <cell r="C1157">
            <v>1</v>
          </cell>
          <cell r="D1157" t="e">
            <v>#N/A</v>
          </cell>
          <cell r="E1157">
            <v>2210</v>
          </cell>
          <cell r="F1157" t="str">
            <v>VC01</v>
          </cell>
          <cell r="G1157" t="str">
            <v>Auto</v>
          </cell>
          <cell r="H1157">
            <v>311</v>
          </cell>
          <cell r="I1157">
            <v>2210</v>
          </cell>
          <cell r="J1157">
            <v>2310</v>
          </cell>
          <cell r="K1157" t="str">
            <v>VC01</v>
          </cell>
        </row>
        <row r="1158">
          <cell r="A1158" t="str">
            <v>1VJ1TDA0171XV4</v>
          </cell>
          <cell r="B1158" t="str">
            <v>SMT</v>
          </cell>
          <cell r="C1158">
            <v>1</v>
          </cell>
          <cell r="D1158" t="e">
            <v>#N/A</v>
          </cell>
        </row>
        <row r="1159">
          <cell r="A1159" t="str">
            <v>1RE1TDA0171XV4</v>
          </cell>
          <cell r="B1159" t="str">
            <v>SMT</v>
          </cell>
          <cell r="C1159">
            <v>1</v>
          </cell>
          <cell r="D1159">
            <v>400</v>
          </cell>
        </row>
        <row r="1160">
          <cell r="A1160" t="str">
            <v>1RE2TDA0171XV4</v>
          </cell>
          <cell r="B1160" t="str">
            <v>SMT</v>
          </cell>
          <cell r="C1160">
            <v>1</v>
          </cell>
          <cell r="D1160">
            <v>317</v>
          </cell>
        </row>
        <row r="1161">
          <cell r="A1161" t="str">
            <v>1RH1TDA0171XV4</v>
          </cell>
          <cell r="B1161" t="str">
            <v>SMT</v>
          </cell>
          <cell r="C1161">
            <v>1</v>
          </cell>
          <cell r="D1161">
            <v>33</v>
          </cell>
          <cell r="E1161">
            <v>2210</v>
          </cell>
          <cell r="F1161" t="str">
            <v>VC01</v>
          </cell>
          <cell r="G1161" t="str">
            <v>Auto</v>
          </cell>
          <cell r="H1161">
            <v>311</v>
          </cell>
          <cell r="I1161">
            <v>2210</v>
          </cell>
          <cell r="J1161">
            <v>2310</v>
          </cell>
          <cell r="K1161" t="str">
            <v>VC01</v>
          </cell>
        </row>
        <row r="1162">
          <cell r="A1162" t="str">
            <v>1AP1TDA0171XV4</v>
          </cell>
          <cell r="B1162" t="str">
            <v>DIP</v>
          </cell>
          <cell r="C1162">
            <v>1</v>
          </cell>
          <cell r="D1162" t="e">
            <v>#N/A</v>
          </cell>
          <cell r="E1162">
            <v>2210</v>
          </cell>
          <cell r="F1162" t="str">
            <v>VC01</v>
          </cell>
          <cell r="G1162" t="str">
            <v>Auto</v>
          </cell>
          <cell r="H1162">
            <v>311</v>
          </cell>
          <cell r="I1162">
            <v>2210</v>
          </cell>
          <cell r="J1162">
            <v>2310</v>
          </cell>
          <cell r="K1162" t="str">
            <v>VC01</v>
          </cell>
        </row>
        <row r="1163">
          <cell r="A1163" t="str">
            <v>1VI1TDA0172V4</v>
          </cell>
          <cell r="B1163" t="str">
            <v>SMT</v>
          </cell>
          <cell r="C1163">
            <v>1</v>
          </cell>
          <cell r="D1163" t="e">
            <v>#N/A</v>
          </cell>
        </row>
        <row r="1164">
          <cell r="A1164" t="str">
            <v>1RE1TDA0172V4</v>
          </cell>
          <cell r="B1164" t="str">
            <v>SMT</v>
          </cell>
          <cell r="C1164">
            <v>1</v>
          </cell>
          <cell r="D1164">
            <v>626</v>
          </cell>
        </row>
        <row r="1165">
          <cell r="A1165" t="str">
            <v>1RE2TDA0172V4</v>
          </cell>
          <cell r="B1165" t="str">
            <v>SMT</v>
          </cell>
          <cell r="C1165">
            <v>1</v>
          </cell>
          <cell r="D1165">
            <v>595</v>
          </cell>
        </row>
        <row r="1166">
          <cell r="A1166" t="str">
            <v>1RH1TDA0172V4</v>
          </cell>
          <cell r="B1166" t="str">
            <v>SMT</v>
          </cell>
          <cell r="C1166">
            <v>1</v>
          </cell>
          <cell r="D1166">
            <v>41</v>
          </cell>
          <cell r="E1166">
            <v>2210</v>
          </cell>
          <cell r="F1166" t="str">
            <v>VC01</v>
          </cell>
          <cell r="G1166" t="str">
            <v>Auto</v>
          </cell>
          <cell r="H1166">
            <v>311</v>
          </cell>
          <cell r="I1166">
            <v>2210</v>
          </cell>
          <cell r="J1166">
            <v>2310</v>
          </cell>
          <cell r="K1166" t="str">
            <v>VC01</v>
          </cell>
        </row>
        <row r="1167">
          <cell r="A1167" t="str">
            <v>1AP1TDA0172V4</v>
          </cell>
          <cell r="B1167" t="str">
            <v>DIP</v>
          </cell>
          <cell r="C1167">
            <v>1</v>
          </cell>
          <cell r="D1167" t="e">
            <v>#N/A</v>
          </cell>
          <cell r="E1167">
            <v>2210</v>
          </cell>
          <cell r="F1167" t="str">
            <v>VC01</v>
          </cell>
          <cell r="G1167" t="str">
            <v>Auto</v>
          </cell>
          <cell r="H1167">
            <v>311</v>
          </cell>
          <cell r="I1167">
            <v>2210</v>
          </cell>
          <cell r="J1167">
            <v>2310</v>
          </cell>
          <cell r="K1167" t="str">
            <v>VC01</v>
          </cell>
        </row>
        <row r="1168">
          <cell r="A1168" t="str">
            <v>1VI1TDA0182HKV4</v>
          </cell>
          <cell r="B1168" t="str">
            <v>SMT</v>
          </cell>
          <cell r="C1168">
            <v>1</v>
          </cell>
          <cell r="D1168" t="e">
            <v>#N/A</v>
          </cell>
        </row>
        <row r="1169">
          <cell r="A1169" t="str">
            <v>1RE1TDA0182HKV4</v>
          </cell>
          <cell r="B1169" t="str">
            <v>SMT</v>
          </cell>
          <cell r="C1169">
            <v>1</v>
          </cell>
          <cell r="D1169">
            <v>628</v>
          </cell>
        </row>
        <row r="1170">
          <cell r="A1170" t="str">
            <v>1RE2TDA0182HKV4</v>
          </cell>
          <cell r="B1170" t="str">
            <v>SMT</v>
          </cell>
          <cell r="C1170">
            <v>1</v>
          </cell>
          <cell r="D1170">
            <v>505</v>
          </cell>
        </row>
        <row r="1171">
          <cell r="A1171" t="str">
            <v>1RH1TDA0182HKV4</v>
          </cell>
          <cell r="B1171" t="str">
            <v>SMT</v>
          </cell>
          <cell r="C1171">
            <v>1</v>
          </cell>
          <cell r="D1171">
            <v>27</v>
          </cell>
          <cell r="E1171">
            <v>2210</v>
          </cell>
          <cell r="F1171" t="str">
            <v>VC01</v>
          </cell>
          <cell r="G1171" t="str">
            <v>Auto</v>
          </cell>
          <cell r="H1171">
            <v>311</v>
          </cell>
          <cell r="I1171">
            <v>2210</v>
          </cell>
          <cell r="J1171">
            <v>2310</v>
          </cell>
          <cell r="K1171" t="str">
            <v>VC01</v>
          </cell>
        </row>
        <row r="1172">
          <cell r="A1172" t="str">
            <v>1AP1TDA0182HKV4</v>
          </cell>
          <cell r="B1172" t="str">
            <v>DIP</v>
          </cell>
          <cell r="C1172">
            <v>1</v>
          </cell>
          <cell r="D1172" t="e">
            <v>#N/A</v>
          </cell>
          <cell r="E1172">
            <v>2210</v>
          </cell>
          <cell r="F1172" t="str">
            <v>VC01</v>
          </cell>
          <cell r="G1172" t="str">
            <v>Auto</v>
          </cell>
          <cell r="H1172">
            <v>311</v>
          </cell>
          <cell r="I1172">
            <v>2210</v>
          </cell>
          <cell r="J1172">
            <v>2310</v>
          </cell>
          <cell r="K1172" t="str">
            <v>VC01</v>
          </cell>
        </row>
        <row r="1173">
          <cell r="A1173" t="str">
            <v>1VJ1TDA5480V4</v>
          </cell>
          <cell r="B1173" t="str">
            <v>SMT</v>
          </cell>
          <cell r="C1173">
            <v>1</v>
          </cell>
          <cell r="D1173" t="e">
            <v>#N/A</v>
          </cell>
        </row>
        <row r="1174">
          <cell r="A1174" t="str">
            <v>1RE1TDA5480V4</v>
          </cell>
          <cell r="B1174" t="str">
            <v>SMT</v>
          </cell>
          <cell r="C1174">
            <v>1</v>
          </cell>
          <cell r="D1174">
            <v>261</v>
          </cell>
        </row>
        <row r="1175">
          <cell r="A1175" t="str">
            <v>1RE2TDA5480V4</v>
          </cell>
          <cell r="B1175" t="str">
            <v>SMT</v>
          </cell>
          <cell r="C1175">
            <v>1</v>
          </cell>
          <cell r="D1175">
            <v>414</v>
          </cell>
          <cell r="E1175">
            <v>2210</v>
          </cell>
          <cell r="F1175" t="str">
            <v>VC01</v>
          </cell>
          <cell r="G1175" t="str">
            <v>Auto</v>
          </cell>
          <cell r="H1175">
            <v>311</v>
          </cell>
          <cell r="I1175">
            <v>2210</v>
          </cell>
          <cell r="J1175">
            <v>2310</v>
          </cell>
          <cell r="K1175" t="str">
            <v>VC01</v>
          </cell>
        </row>
        <row r="1176">
          <cell r="A1176" t="str">
            <v>1AP1TDA5480V4</v>
          </cell>
          <cell r="B1176" t="str">
            <v>DIP</v>
          </cell>
          <cell r="C1176">
            <v>1</v>
          </cell>
          <cell r="D1176" t="e">
            <v>#N/A</v>
          </cell>
          <cell r="E1176">
            <v>2210</v>
          </cell>
          <cell r="F1176" t="str">
            <v>VC01</v>
          </cell>
          <cell r="G1176" t="str">
            <v>Auto</v>
          </cell>
          <cell r="H1176">
            <v>311</v>
          </cell>
          <cell r="I1176">
            <v>2210</v>
          </cell>
          <cell r="J1176">
            <v>2310</v>
          </cell>
          <cell r="K1176" t="str">
            <v>VC01</v>
          </cell>
        </row>
        <row r="1177">
          <cell r="A1177" t="str">
            <v>1VJ1TDA6174V4</v>
          </cell>
          <cell r="B1177" t="str">
            <v>SMT</v>
          </cell>
          <cell r="C1177">
            <v>1</v>
          </cell>
          <cell r="D1177" t="e">
            <v>#N/A</v>
          </cell>
        </row>
        <row r="1178">
          <cell r="A1178" t="str">
            <v>1RE1TDA6174V4</v>
          </cell>
          <cell r="B1178" t="str">
            <v>SMT</v>
          </cell>
          <cell r="C1178">
            <v>1</v>
          </cell>
          <cell r="D1178">
            <v>226</v>
          </cell>
        </row>
        <row r="1179">
          <cell r="A1179" t="str">
            <v>1RE2TDA6174V4</v>
          </cell>
          <cell r="B1179" t="str">
            <v>SMT</v>
          </cell>
          <cell r="C1179">
            <v>1</v>
          </cell>
          <cell r="D1179">
            <v>416</v>
          </cell>
        </row>
        <row r="1180">
          <cell r="A1180" t="str">
            <v>1RH1TDA6174V4</v>
          </cell>
          <cell r="B1180" t="str">
            <v>SMT</v>
          </cell>
          <cell r="C1180">
            <v>1</v>
          </cell>
          <cell r="D1180">
            <v>101</v>
          </cell>
          <cell r="E1180">
            <v>2210</v>
          </cell>
          <cell r="F1180" t="str">
            <v>VC01</v>
          </cell>
          <cell r="G1180" t="str">
            <v>Auto</v>
          </cell>
          <cell r="H1180">
            <v>311</v>
          </cell>
          <cell r="I1180">
            <v>2210</v>
          </cell>
          <cell r="J1180">
            <v>2310</v>
          </cell>
          <cell r="K1180" t="str">
            <v>VC01</v>
          </cell>
        </row>
        <row r="1181">
          <cell r="A1181" t="str">
            <v>1AP1TDA6174V4</v>
          </cell>
          <cell r="B1181" t="str">
            <v>DIP</v>
          </cell>
          <cell r="C1181">
            <v>1</v>
          </cell>
          <cell r="D1181" t="e">
            <v>#N/A</v>
          </cell>
          <cell r="E1181">
            <v>2210</v>
          </cell>
          <cell r="F1181" t="str">
            <v>VC01</v>
          </cell>
          <cell r="G1181" t="str">
            <v>Auto</v>
          </cell>
          <cell r="H1181">
            <v>311</v>
          </cell>
          <cell r="I1181">
            <v>2210</v>
          </cell>
          <cell r="J1181">
            <v>2310</v>
          </cell>
          <cell r="K1181" t="str">
            <v>VC01</v>
          </cell>
        </row>
        <row r="1182">
          <cell r="A1182" t="str">
            <v>1VJ1LPUDT121RZA</v>
          </cell>
          <cell r="B1182" t="str">
            <v>SMT</v>
          </cell>
          <cell r="C1182">
            <v>1</v>
          </cell>
          <cell r="D1182" t="e">
            <v>#N/A</v>
          </cell>
        </row>
        <row r="1183">
          <cell r="A1183" t="str">
            <v>1RE1LPUDT121RZA</v>
          </cell>
          <cell r="B1183" t="str">
            <v>SMT</v>
          </cell>
          <cell r="C1183">
            <v>1</v>
          </cell>
          <cell r="D1183">
            <v>25</v>
          </cell>
        </row>
        <row r="1184">
          <cell r="A1184" t="str">
            <v>1RE2LPUDT121RZA</v>
          </cell>
          <cell r="B1184" t="str">
            <v>SMT</v>
          </cell>
          <cell r="C1184">
            <v>1</v>
          </cell>
          <cell r="D1184">
            <v>199</v>
          </cell>
          <cell r="E1184">
            <v>2210</v>
          </cell>
          <cell r="F1184" t="str">
            <v>VC01</v>
          </cell>
          <cell r="G1184" t="str">
            <v>Auto</v>
          </cell>
          <cell r="H1184">
            <v>311</v>
          </cell>
          <cell r="I1184">
            <v>2210</v>
          </cell>
          <cell r="J1184">
            <v>2220</v>
          </cell>
          <cell r="K1184" t="str">
            <v>VC01</v>
          </cell>
        </row>
        <row r="1185">
          <cell r="A1185" t="str">
            <v>1RE1LPWT125R1ZA</v>
          </cell>
          <cell r="B1185" t="str">
            <v>SMT</v>
          </cell>
          <cell r="C1185">
            <v>1</v>
          </cell>
          <cell r="D1185">
            <v>7</v>
          </cell>
        </row>
        <row r="1186">
          <cell r="A1186" t="str">
            <v>1RE2LPWT125R1ZA</v>
          </cell>
          <cell r="B1186" t="str">
            <v>SMT</v>
          </cell>
          <cell r="C1186">
            <v>1</v>
          </cell>
          <cell r="D1186">
            <v>135</v>
          </cell>
          <cell r="E1186">
            <v>2210</v>
          </cell>
          <cell r="F1186" t="str">
            <v>VC01</v>
          </cell>
          <cell r="G1186" t="str">
            <v>Auto</v>
          </cell>
          <cell r="H1186">
            <v>311</v>
          </cell>
          <cell r="I1186">
            <v>2210</v>
          </cell>
          <cell r="J1186">
            <v>2220</v>
          </cell>
          <cell r="K1186" t="str">
            <v>VC01</v>
          </cell>
        </row>
        <row r="1187">
          <cell r="A1187" t="str">
            <v>1RE1NS0110</v>
          </cell>
          <cell r="B1187" t="str">
            <v>SMT</v>
          </cell>
          <cell r="C1187">
            <v>1</v>
          </cell>
          <cell r="D1187">
            <v>114</v>
          </cell>
        </row>
        <row r="1188">
          <cell r="A1188" t="str">
            <v>1RE2NS0110</v>
          </cell>
          <cell r="B1188" t="str">
            <v>SMT</v>
          </cell>
          <cell r="C1188">
            <v>1</v>
          </cell>
          <cell r="D1188">
            <v>195</v>
          </cell>
          <cell r="E1188">
            <v>2210</v>
          </cell>
          <cell r="F1188" t="str">
            <v>VC01</v>
          </cell>
          <cell r="G1188" t="str">
            <v>Auto</v>
          </cell>
          <cell r="H1188">
            <v>311</v>
          </cell>
          <cell r="I1188">
            <v>2210</v>
          </cell>
          <cell r="J1188">
            <v>2310</v>
          </cell>
          <cell r="K1188" t="str">
            <v>VC01</v>
          </cell>
        </row>
        <row r="1189">
          <cell r="A1189" t="str">
            <v>1RE1NS0111</v>
          </cell>
          <cell r="B1189" t="str">
            <v>SMT</v>
          </cell>
          <cell r="C1189">
            <v>1</v>
          </cell>
          <cell r="D1189">
            <v>114</v>
          </cell>
        </row>
        <row r="1190">
          <cell r="A1190" t="str">
            <v>1RE2NS0111</v>
          </cell>
          <cell r="B1190" t="str">
            <v>SMT</v>
          </cell>
          <cell r="C1190">
            <v>1</v>
          </cell>
          <cell r="D1190">
            <v>195</v>
          </cell>
          <cell r="E1190">
            <v>2210</v>
          </cell>
          <cell r="F1190" t="str">
            <v>VC01</v>
          </cell>
          <cell r="G1190" t="str">
            <v>Auto</v>
          </cell>
          <cell r="H1190">
            <v>311</v>
          </cell>
          <cell r="I1190">
            <v>2210</v>
          </cell>
          <cell r="J1190">
            <v>2310</v>
          </cell>
          <cell r="K1190" t="str">
            <v>VC01</v>
          </cell>
        </row>
        <row r="1191">
          <cell r="A1191" t="str">
            <v>1RE1NS5110CN</v>
          </cell>
          <cell r="B1191" t="str">
            <v>SMT</v>
          </cell>
          <cell r="C1191">
            <v>1</v>
          </cell>
          <cell r="D1191">
            <v>113</v>
          </cell>
        </row>
        <row r="1192">
          <cell r="A1192" t="str">
            <v>1RE2NS5110CN</v>
          </cell>
          <cell r="B1192" t="str">
            <v>SMT</v>
          </cell>
          <cell r="C1192">
            <v>1</v>
          </cell>
          <cell r="D1192">
            <v>195</v>
          </cell>
          <cell r="E1192">
            <v>2210</v>
          </cell>
          <cell r="F1192" t="str">
            <v>VC01</v>
          </cell>
          <cell r="G1192" t="str">
            <v>Auto</v>
          </cell>
          <cell r="H1192">
            <v>311</v>
          </cell>
          <cell r="I1192">
            <v>2210</v>
          </cell>
          <cell r="J1192">
            <v>2310</v>
          </cell>
          <cell r="K1192" t="str">
            <v>VC01</v>
          </cell>
        </row>
        <row r="1193">
          <cell r="A1193" t="str">
            <v>1VJ1TDA0191CNV4</v>
          </cell>
          <cell r="B1193" t="str">
            <v>SMT</v>
          </cell>
          <cell r="C1193">
            <v>1</v>
          </cell>
          <cell r="D1193" t="e">
            <v>#N/A</v>
          </cell>
        </row>
        <row r="1194">
          <cell r="A1194" t="str">
            <v>1RE1TDA0191CNV4</v>
          </cell>
          <cell r="B1194" t="str">
            <v>SMT</v>
          </cell>
          <cell r="C1194">
            <v>1</v>
          </cell>
          <cell r="D1194">
            <v>168</v>
          </cell>
        </row>
        <row r="1195">
          <cell r="A1195" t="str">
            <v>1RE2TDA0191CNV4</v>
          </cell>
          <cell r="B1195" t="str">
            <v>SMT</v>
          </cell>
          <cell r="C1195">
            <v>1</v>
          </cell>
          <cell r="D1195">
            <v>160</v>
          </cell>
          <cell r="E1195">
            <v>2210</v>
          </cell>
          <cell r="F1195" t="str">
            <v>VC01</v>
          </cell>
          <cell r="G1195" t="str">
            <v>Auto</v>
          </cell>
          <cell r="H1195">
            <v>311</v>
          </cell>
          <cell r="I1195">
            <v>2210</v>
          </cell>
          <cell r="J1195">
            <v>2310</v>
          </cell>
          <cell r="K1195" t="str">
            <v>VC01</v>
          </cell>
        </row>
        <row r="1196">
          <cell r="A1196" t="str">
            <v>1VJ1TDA0192XV4</v>
          </cell>
          <cell r="B1196" t="str">
            <v>SMT</v>
          </cell>
          <cell r="C1196">
            <v>1</v>
          </cell>
          <cell r="D1196" t="e">
            <v>#N/A</v>
          </cell>
        </row>
        <row r="1197">
          <cell r="A1197" t="str">
            <v>1RE1TDA0192XV4</v>
          </cell>
          <cell r="B1197" t="str">
            <v>SMT</v>
          </cell>
          <cell r="C1197">
            <v>1</v>
          </cell>
          <cell r="D1197">
            <v>105</v>
          </cell>
        </row>
        <row r="1198">
          <cell r="A1198" t="str">
            <v>1RE2TDA0192XV4</v>
          </cell>
          <cell r="B1198" t="str">
            <v>SMT</v>
          </cell>
          <cell r="C1198">
            <v>1</v>
          </cell>
          <cell r="D1198">
            <v>118</v>
          </cell>
          <cell r="E1198">
            <v>2210</v>
          </cell>
          <cell r="F1198" t="str">
            <v>VC01</v>
          </cell>
          <cell r="G1198" t="str">
            <v>Auto</v>
          </cell>
          <cell r="H1198">
            <v>311</v>
          </cell>
          <cell r="I1198">
            <v>2210</v>
          </cell>
          <cell r="J1198">
            <v>2310</v>
          </cell>
          <cell r="K1198" t="str">
            <v>VC01</v>
          </cell>
        </row>
        <row r="1199">
          <cell r="A1199" t="str">
            <v>1VJ1TDA0177XV4</v>
          </cell>
          <cell r="B1199" t="str">
            <v>SMT</v>
          </cell>
          <cell r="C1199">
            <v>1</v>
          </cell>
          <cell r="D1199" t="e">
            <v>#N/A</v>
          </cell>
        </row>
        <row r="1200">
          <cell r="A1200" t="str">
            <v>1RE1TDA0177XV4</v>
          </cell>
          <cell r="B1200" t="str">
            <v>SMT</v>
          </cell>
          <cell r="C1200">
            <v>1</v>
          </cell>
          <cell r="D1200">
            <v>240</v>
          </cell>
        </row>
        <row r="1201">
          <cell r="A1201" t="str">
            <v>1RE2TDA0177XV4</v>
          </cell>
          <cell r="B1201" t="str">
            <v>SMT</v>
          </cell>
          <cell r="C1201">
            <v>1</v>
          </cell>
          <cell r="D1201">
            <v>455</v>
          </cell>
        </row>
        <row r="1202">
          <cell r="A1202" t="str">
            <v>1RH1TDA0177XV4</v>
          </cell>
          <cell r="B1202" t="str">
            <v>SMT</v>
          </cell>
          <cell r="C1202">
            <v>1</v>
          </cell>
          <cell r="D1202">
            <v>101</v>
          </cell>
          <cell r="E1202">
            <v>2210</v>
          </cell>
          <cell r="F1202" t="str">
            <v>VC01</v>
          </cell>
          <cell r="G1202" t="str">
            <v>Auto</v>
          </cell>
          <cell r="H1202">
            <v>311</v>
          </cell>
          <cell r="I1202">
            <v>2210</v>
          </cell>
          <cell r="J1202">
            <v>2310</v>
          </cell>
          <cell r="K1202" t="str">
            <v>VC01</v>
          </cell>
        </row>
        <row r="1203">
          <cell r="A1203" t="str">
            <v>1AP1TDA0177XV4</v>
          </cell>
          <cell r="B1203" t="str">
            <v>DIP</v>
          </cell>
          <cell r="C1203">
            <v>1</v>
          </cell>
          <cell r="D1203" t="e">
            <v>#N/A</v>
          </cell>
          <cell r="E1203">
            <v>2210</v>
          </cell>
          <cell r="F1203" t="str">
            <v>VC01</v>
          </cell>
          <cell r="G1203" t="str">
            <v>Auto</v>
          </cell>
          <cell r="H1203">
            <v>311</v>
          </cell>
          <cell r="I1203">
            <v>2210</v>
          </cell>
          <cell r="J1203">
            <v>2310</v>
          </cell>
          <cell r="K1203" t="str">
            <v>VC01</v>
          </cell>
        </row>
        <row r="1204">
          <cell r="A1204" t="str">
            <v>1VJ1LPMB536TWMZA</v>
          </cell>
          <cell r="B1204" t="str">
            <v>SMT</v>
          </cell>
          <cell r="C1204">
            <v>1</v>
          </cell>
          <cell r="D1204" t="e">
            <v>#N/A</v>
          </cell>
        </row>
        <row r="1205">
          <cell r="A1205" t="str">
            <v>1RE1LPMB536TWMZA</v>
          </cell>
          <cell r="B1205" t="str">
            <v>SMT</v>
          </cell>
          <cell r="C1205">
            <v>1</v>
          </cell>
          <cell r="D1205">
            <v>423</v>
          </cell>
        </row>
        <row r="1206">
          <cell r="A1206" t="str">
            <v>1RE2LPMB536TWMZA</v>
          </cell>
          <cell r="B1206" t="str">
            <v>SMT</v>
          </cell>
          <cell r="C1206">
            <v>1</v>
          </cell>
          <cell r="D1206">
            <v>501</v>
          </cell>
        </row>
        <row r="1207">
          <cell r="A1207" t="str">
            <v>1RH1LPMB536TWMZA</v>
          </cell>
          <cell r="B1207" t="str">
            <v>SMT</v>
          </cell>
          <cell r="C1207">
            <v>1</v>
          </cell>
          <cell r="D1207">
            <v>7</v>
          </cell>
          <cell r="E1207">
            <v>2210</v>
          </cell>
          <cell r="F1207" t="str">
            <v>VC01</v>
          </cell>
          <cell r="G1207" t="str">
            <v>Auto</v>
          </cell>
          <cell r="H1207">
            <v>311</v>
          </cell>
          <cell r="I1207">
            <v>2210</v>
          </cell>
          <cell r="J1207">
            <v>2260</v>
          </cell>
          <cell r="K1207" t="str">
            <v>VC01</v>
          </cell>
        </row>
        <row r="1208">
          <cell r="A1208" t="str">
            <v>1AP1LPMB536TWMZA</v>
          </cell>
          <cell r="B1208" t="str">
            <v>DIP</v>
          </cell>
          <cell r="C1208">
            <v>1</v>
          </cell>
          <cell r="D1208" t="e">
            <v>#N/A</v>
          </cell>
          <cell r="E1208">
            <v>2210</v>
          </cell>
          <cell r="F1208" t="str">
            <v>VC01</v>
          </cell>
          <cell r="G1208" t="str">
            <v>Auto</v>
          </cell>
          <cell r="H1208">
            <v>311</v>
          </cell>
          <cell r="I1208">
            <v>2210</v>
          </cell>
          <cell r="J1208">
            <v>2260</v>
          </cell>
          <cell r="K1208" t="str">
            <v>VC01</v>
          </cell>
        </row>
        <row r="1209">
          <cell r="A1209" t="str">
            <v>1VJ1TDA6175XJV4</v>
          </cell>
          <cell r="B1209" t="str">
            <v>SMT</v>
          </cell>
          <cell r="C1209">
            <v>1</v>
          </cell>
          <cell r="D1209" t="e">
            <v>#N/A</v>
          </cell>
        </row>
        <row r="1210">
          <cell r="A1210" t="str">
            <v>PSUP1514YA-GW</v>
          </cell>
          <cell r="B1210" t="str">
            <v>SMT</v>
          </cell>
          <cell r="C1210">
            <v>1</v>
          </cell>
          <cell r="D1210" t="e">
            <v>#N/A</v>
          </cell>
        </row>
        <row r="1211">
          <cell r="A1211" t="str">
            <v>1CM1TDA6175XJV4</v>
          </cell>
          <cell r="B1211" t="str">
            <v>SMT</v>
          </cell>
          <cell r="C1211">
            <v>1</v>
          </cell>
          <cell r="D1211">
            <v>252</v>
          </cell>
        </row>
        <row r="1212">
          <cell r="A1212" t="str">
            <v>1RE2TDA6175XJV4</v>
          </cell>
          <cell r="B1212" t="str">
            <v>SMT</v>
          </cell>
          <cell r="C1212">
            <v>1</v>
          </cell>
          <cell r="D1212">
            <v>502</v>
          </cell>
        </row>
        <row r="1213">
          <cell r="A1213" t="str">
            <v>1RH1TDA6175XJV4</v>
          </cell>
          <cell r="B1213" t="str">
            <v>SMT</v>
          </cell>
          <cell r="C1213">
            <v>1</v>
          </cell>
          <cell r="D1213">
            <v>117</v>
          </cell>
          <cell r="E1213">
            <v>2210</v>
          </cell>
          <cell r="F1213" t="str">
            <v>VC01</v>
          </cell>
          <cell r="G1213" t="str">
            <v>Auto</v>
          </cell>
          <cell r="H1213">
            <v>311</v>
          </cell>
          <cell r="I1213">
            <v>2210</v>
          </cell>
          <cell r="J1213">
            <v>2310</v>
          </cell>
          <cell r="K1213" t="str">
            <v>VC01</v>
          </cell>
        </row>
        <row r="1214">
          <cell r="A1214" t="str">
            <v>1AP1TDA6175XJV4</v>
          </cell>
          <cell r="B1214" t="str">
            <v>DIP</v>
          </cell>
          <cell r="C1214">
            <v>1</v>
          </cell>
          <cell r="D1214" t="e">
            <v>#N/A</v>
          </cell>
          <cell r="E1214">
            <v>2210</v>
          </cell>
          <cell r="F1214" t="str">
            <v>VC01</v>
          </cell>
          <cell r="G1214" t="str">
            <v>Auto</v>
          </cell>
          <cell r="H1214">
            <v>311</v>
          </cell>
          <cell r="I1214">
            <v>2210</v>
          </cell>
          <cell r="J1214">
            <v>2310</v>
          </cell>
          <cell r="K1214" t="str">
            <v>VC01</v>
          </cell>
        </row>
        <row r="1215">
          <cell r="A1215" t="str">
            <v>1CM1TDA3180CV4</v>
          </cell>
          <cell r="B1215" t="str">
            <v>SMT</v>
          </cell>
          <cell r="C1215">
            <v>1</v>
          </cell>
          <cell r="D1215">
            <v>168</v>
          </cell>
        </row>
        <row r="1216">
          <cell r="A1216" t="str">
            <v>1RE2TDA3180CV4</v>
          </cell>
          <cell r="B1216" t="str">
            <v>SMT</v>
          </cell>
          <cell r="C1216">
            <v>1</v>
          </cell>
          <cell r="D1216">
            <v>143</v>
          </cell>
        </row>
        <row r="1217">
          <cell r="A1217" t="str">
            <v>1RH1TDA3180CV4</v>
          </cell>
          <cell r="B1217" t="str">
            <v>SMT</v>
          </cell>
          <cell r="C1217">
            <v>1</v>
          </cell>
          <cell r="D1217">
            <v>21</v>
          </cell>
          <cell r="E1217">
            <v>2210</v>
          </cell>
          <cell r="F1217" t="str">
            <v>VC01</v>
          </cell>
          <cell r="G1217" t="str">
            <v>Auto</v>
          </cell>
          <cell r="H1217">
            <v>311</v>
          </cell>
          <cell r="I1217">
            <v>2210</v>
          </cell>
          <cell r="J1217">
            <v>2310</v>
          </cell>
          <cell r="K1217" t="str">
            <v>VC01</v>
          </cell>
        </row>
        <row r="1218">
          <cell r="A1218" t="str">
            <v>1AP1TDA3180CV4</v>
          </cell>
          <cell r="B1218" t="str">
            <v>DIP</v>
          </cell>
          <cell r="C1218">
            <v>1</v>
          </cell>
          <cell r="D1218" t="e">
            <v>#N/A</v>
          </cell>
          <cell r="E1218">
            <v>2210</v>
          </cell>
          <cell r="F1218" t="str">
            <v>VC01</v>
          </cell>
          <cell r="G1218" t="str">
            <v>Auto</v>
          </cell>
          <cell r="H1218">
            <v>311</v>
          </cell>
          <cell r="I1218">
            <v>2210</v>
          </cell>
          <cell r="J1218">
            <v>2310</v>
          </cell>
          <cell r="K1218" t="str">
            <v>VC01</v>
          </cell>
        </row>
        <row r="1219">
          <cell r="A1219" t="str">
            <v>1RE1D935V4</v>
          </cell>
          <cell r="B1219" t="str">
            <v>SMT</v>
          </cell>
          <cell r="C1219">
            <v>1</v>
          </cell>
          <cell r="D1219">
            <v>334</v>
          </cell>
        </row>
        <row r="1220">
          <cell r="A1220" t="str">
            <v>1RH1D935V4</v>
          </cell>
          <cell r="B1220" t="str">
            <v>SMT</v>
          </cell>
          <cell r="C1220">
            <v>1</v>
          </cell>
          <cell r="D1220">
            <v>96</v>
          </cell>
        </row>
        <row r="1221">
          <cell r="A1221" t="str">
            <v>1CM1D935V4</v>
          </cell>
          <cell r="B1221" t="str">
            <v>SMT</v>
          </cell>
          <cell r="C1221">
            <v>1</v>
          </cell>
          <cell r="D1221">
            <v>462</v>
          </cell>
          <cell r="E1221">
            <v>2210</v>
          </cell>
          <cell r="F1221" t="str">
            <v>VC01</v>
          </cell>
          <cell r="G1221" t="str">
            <v>Auto</v>
          </cell>
          <cell r="H1221">
            <v>311</v>
          </cell>
          <cell r="I1221">
            <v>2210</v>
          </cell>
          <cell r="J1221">
            <v>2310</v>
          </cell>
          <cell r="K1221" t="str">
            <v>VC01</v>
          </cell>
        </row>
        <row r="1222">
          <cell r="A1222" t="str">
            <v>1AP1D935V4</v>
          </cell>
          <cell r="B1222" t="str">
            <v>DIP</v>
          </cell>
          <cell r="C1222">
            <v>1</v>
          </cell>
          <cell r="D1222" t="e">
            <v>#N/A</v>
          </cell>
          <cell r="E1222">
            <v>2210</v>
          </cell>
          <cell r="F1222" t="str">
            <v>VC01</v>
          </cell>
          <cell r="G1222" t="str">
            <v>Auto</v>
          </cell>
          <cell r="H1222">
            <v>311</v>
          </cell>
          <cell r="I1222">
            <v>2210</v>
          </cell>
          <cell r="J1222">
            <v>2310</v>
          </cell>
          <cell r="K1222" t="str">
            <v>VC01</v>
          </cell>
        </row>
        <row r="1223">
          <cell r="A1223" t="str">
            <v>1VI1NCP1290CJ</v>
          </cell>
          <cell r="B1223" t="str">
            <v>SMT</v>
          </cell>
          <cell r="C1223">
            <v>1</v>
          </cell>
          <cell r="D1223" t="e">
            <v>#N/A</v>
          </cell>
        </row>
        <row r="1224">
          <cell r="A1224" t="str">
            <v>1RE1NCP1290CJ</v>
          </cell>
          <cell r="B1224" t="str">
            <v>SMT</v>
          </cell>
          <cell r="C1224">
            <v>1</v>
          </cell>
          <cell r="D1224">
            <v>474</v>
          </cell>
        </row>
        <row r="1225">
          <cell r="A1225" t="str">
            <v>1RH1NCP1290CJ</v>
          </cell>
          <cell r="B1225" t="str">
            <v>SMT</v>
          </cell>
          <cell r="C1225">
            <v>1</v>
          </cell>
          <cell r="D1225">
            <v>6</v>
          </cell>
          <cell r="E1225">
            <v>2210</v>
          </cell>
          <cell r="F1225" t="str">
            <v>VC01</v>
          </cell>
          <cell r="G1225" t="str">
            <v>Auto</v>
          </cell>
          <cell r="H1225">
            <v>311</v>
          </cell>
          <cell r="I1225">
            <v>2210</v>
          </cell>
          <cell r="J1225">
            <v>2310</v>
          </cell>
          <cell r="K1225" t="str">
            <v>VC01</v>
          </cell>
        </row>
        <row r="1226">
          <cell r="A1226" t="str">
            <v>1AP1NCP1290CJ</v>
          </cell>
          <cell r="B1226" t="str">
            <v>DIP</v>
          </cell>
          <cell r="C1226">
            <v>1</v>
          </cell>
          <cell r="D1226" t="e">
            <v>#N/A</v>
          </cell>
          <cell r="E1226">
            <v>2210</v>
          </cell>
          <cell r="F1226" t="str">
            <v>VC01</v>
          </cell>
          <cell r="G1226" t="str">
            <v>Auto</v>
          </cell>
          <cell r="H1226">
            <v>311</v>
          </cell>
          <cell r="I1226">
            <v>2210</v>
          </cell>
          <cell r="J1226">
            <v>2310</v>
          </cell>
          <cell r="K1226" t="str">
            <v>VC01</v>
          </cell>
        </row>
        <row r="1227">
          <cell r="A1227" t="str">
            <v>1RE1NS0180AL</v>
          </cell>
          <cell r="B1227" t="str">
            <v>SMT</v>
          </cell>
          <cell r="C1227">
            <v>1</v>
          </cell>
          <cell r="D1227">
            <v>198</v>
          </cell>
        </row>
        <row r="1228">
          <cell r="A1228" t="str">
            <v>1RE2NS0180AL</v>
          </cell>
          <cell r="B1228" t="str">
            <v>SMT</v>
          </cell>
          <cell r="C1228">
            <v>1</v>
          </cell>
          <cell r="D1228">
            <v>251</v>
          </cell>
        </row>
        <row r="1229">
          <cell r="A1229" t="str">
            <v>1RH1NS0180AL</v>
          </cell>
          <cell r="B1229" t="str">
            <v>SMT</v>
          </cell>
          <cell r="C1229">
            <v>1</v>
          </cell>
          <cell r="D1229">
            <v>24</v>
          </cell>
          <cell r="E1229">
            <v>2210</v>
          </cell>
          <cell r="F1229" t="str">
            <v>VC01</v>
          </cell>
          <cell r="G1229" t="str">
            <v>Auto</v>
          </cell>
          <cell r="H1229">
            <v>311</v>
          </cell>
          <cell r="I1229">
            <v>2210</v>
          </cell>
          <cell r="J1229">
            <v>2310</v>
          </cell>
          <cell r="K1229" t="str">
            <v>VC01</v>
          </cell>
        </row>
        <row r="1230">
          <cell r="A1230" t="str">
            <v>1AP1NS0180AL</v>
          </cell>
          <cell r="B1230" t="str">
            <v>DIP</v>
          </cell>
          <cell r="C1230">
            <v>1</v>
          </cell>
          <cell r="D1230" t="e">
            <v>#N/A</v>
          </cell>
          <cell r="E1230">
            <v>2210</v>
          </cell>
          <cell r="F1230" t="str">
            <v>VC01</v>
          </cell>
          <cell r="G1230" t="str">
            <v>Auto</v>
          </cell>
          <cell r="H1230">
            <v>311</v>
          </cell>
          <cell r="I1230">
            <v>2210</v>
          </cell>
          <cell r="J1230">
            <v>2310</v>
          </cell>
          <cell r="K1230" t="str">
            <v>VC01</v>
          </cell>
        </row>
        <row r="1231">
          <cell r="A1231" t="str">
            <v>1RE1NS5162</v>
          </cell>
          <cell r="B1231" t="str">
            <v>SMT</v>
          </cell>
          <cell r="C1231">
            <v>1</v>
          </cell>
          <cell r="D1231">
            <v>1</v>
          </cell>
        </row>
        <row r="1232">
          <cell r="A1232" t="str">
            <v>1RE2NS5162</v>
          </cell>
          <cell r="B1232" t="str">
            <v>SMT</v>
          </cell>
          <cell r="C1232">
            <v>1</v>
          </cell>
          <cell r="D1232">
            <v>182</v>
          </cell>
        </row>
        <row r="1233">
          <cell r="A1233" t="str">
            <v>1RH1NS5162</v>
          </cell>
          <cell r="B1233" t="str">
            <v>SMT</v>
          </cell>
          <cell r="C1233">
            <v>1</v>
          </cell>
          <cell r="D1233">
            <v>12</v>
          </cell>
          <cell r="E1233">
            <v>2210</v>
          </cell>
          <cell r="F1233" t="str">
            <v>VC01</v>
          </cell>
          <cell r="G1233" t="str">
            <v>Auto</v>
          </cell>
          <cell r="H1233">
            <v>311</v>
          </cell>
          <cell r="I1233">
            <v>2210</v>
          </cell>
          <cell r="J1233">
            <v>2310</v>
          </cell>
          <cell r="K1233" t="str">
            <v>VC01</v>
          </cell>
        </row>
        <row r="1234">
          <cell r="A1234" t="str">
            <v>1AP1NS5162</v>
          </cell>
          <cell r="B1234" t="str">
            <v>DIP</v>
          </cell>
          <cell r="C1234">
            <v>1</v>
          </cell>
          <cell r="D1234" t="e">
            <v>#N/A</v>
          </cell>
          <cell r="E1234">
            <v>2210</v>
          </cell>
          <cell r="F1234" t="str">
            <v>VC01</v>
          </cell>
          <cell r="G1234" t="str">
            <v>Auto</v>
          </cell>
          <cell r="H1234">
            <v>311</v>
          </cell>
          <cell r="I1234">
            <v>2210</v>
          </cell>
          <cell r="J1234">
            <v>2310</v>
          </cell>
          <cell r="K1234" t="str">
            <v>VC01</v>
          </cell>
        </row>
        <row r="1235">
          <cell r="A1235" t="str">
            <v>1VI1NS5172</v>
          </cell>
          <cell r="B1235" t="str">
            <v>SMT</v>
          </cell>
          <cell r="C1235">
            <v>1</v>
          </cell>
          <cell r="D1235" t="e">
            <v>#N/A</v>
          </cell>
        </row>
        <row r="1236">
          <cell r="A1236" t="str">
            <v>1VI2NS5172</v>
          </cell>
          <cell r="B1236" t="str">
            <v>SMT</v>
          </cell>
          <cell r="C1236">
            <v>1</v>
          </cell>
          <cell r="D1236" t="e">
            <v>#N/A</v>
          </cell>
        </row>
        <row r="1237">
          <cell r="A1237" t="str">
            <v>1RE1NS5172</v>
          </cell>
          <cell r="B1237" t="str">
            <v>SMT</v>
          </cell>
          <cell r="C1237">
            <v>1</v>
          </cell>
          <cell r="D1237">
            <v>537</v>
          </cell>
        </row>
        <row r="1238">
          <cell r="A1238" t="str">
            <v>1RE2NS5172</v>
          </cell>
          <cell r="B1238" t="str">
            <v>SMT</v>
          </cell>
          <cell r="C1238">
            <v>1</v>
          </cell>
          <cell r="D1238">
            <v>375</v>
          </cell>
        </row>
        <row r="1239">
          <cell r="A1239" t="str">
            <v>1RH1NS5172</v>
          </cell>
          <cell r="B1239" t="str">
            <v>SMT</v>
          </cell>
          <cell r="C1239">
            <v>1</v>
          </cell>
          <cell r="D1239">
            <v>32</v>
          </cell>
          <cell r="E1239">
            <v>2210</v>
          </cell>
          <cell r="F1239" t="str">
            <v>VC01</v>
          </cell>
          <cell r="G1239" t="str">
            <v>Auto</v>
          </cell>
          <cell r="H1239">
            <v>311</v>
          </cell>
          <cell r="I1239">
            <v>2210</v>
          </cell>
          <cell r="J1239">
            <v>2310</v>
          </cell>
          <cell r="K1239" t="str">
            <v>VC01</v>
          </cell>
        </row>
        <row r="1240">
          <cell r="A1240" t="str">
            <v>1AP1NS5172</v>
          </cell>
          <cell r="B1240" t="str">
            <v>DIP</v>
          </cell>
          <cell r="C1240">
            <v>1</v>
          </cell>
          <cell r="D1240" t="e">
            <v>#N/A</v>
          </cell>
          <cell r="E1240">
            <v>2210</v>
          </cell>
          <cell r="F1240" t="str">
            <v>VC01</v>
          </cell>
          <cell r="G1240" t="str">
            <v>Auto</v>
          </cell>
          <cell r="H1240">
            <v>311</v>
          </cell>
          <cell r="I1240">
            <v>2210</v>
          </cell>
          <cell r="J1240">
            <v>2310</v>
          </cell>
          <cell r="K1240" t="str">
            <v>VC01</v>
          </cell>
        </row>
        <row r="1241">
          <cell r="A1241" t="str">
            <v>1AP1PNLPTDSKD23ZA</v>
          </cell>
          <cell r="B1241" t="str">
            <v>DIP</v>
          </cell>
          <cell r="C1241">
            <v>1</v>
          </cell>
          <cell r="D1241" t="e">
            <v>#N/A</v>
          </cell>
          <cell r="E1241">
            <v>2210</v>
          </cell>
          <cell r="F1241" t="str">
            <v>VC01</v>
          </cell>
          <cell r="G1241" t="str">
            <v>Auto</v>
          </cell>
          <cell r="H1241">
            <v>311</v>
          </cell>
          <cell r="I1241">
            <v>2210</v>
          </cell>
          <cell r="J1241">
            <v>2310</v>
          </cell>
          <cell r="K1241" t="str">
            <v>VC01</v>
          </cell>
        </row>
        <row r="1242">
          <cell r="A1242" t="str">
            <v>1RE1PSLP1279ZA</v>
          </cell>
          <cell r="B1242" t="str">
            <v>SMT</v>
          </cell>
          <cell r="C1242">
            <v>1</v>
          </cell>
          <cell r="D1242">
            <v>143</v>
          </cell>
        </row>
        <row r="1243">
          <cell r="A1243" t="str">
            <v>1RE2PSLP1279ZA</v>
          </cell>
          <cell r="B1243" t="str">
            <v>SMT</v>
          </cell>
          <cell r="C1243">
            <v>1</v>
          </cell>
          <cell r="D1243">
            <v>63</v>
          </cell>
          <cell r="E1243">
            <v>2210</v>
          </cell>
          <cell r="F1243" t="str">
            <v>VC01</v>
          </cell>
          <cell r="G1243" t="str">
            <v>Auto</v>
          </cell>
          <cell r="H1243">
            <v>311</v>
          </cell>
          <cell r="I1243">
            <v>2210</v>
          </cell>
          <cell r="J1243">
            <v>2310</v>
          </cell>
          <cell r="K1243" t="str">
            <v>VC01</v>
          </cell>
        </row>
        <row r="1244">
          <cell r="A1244" t="str">
            <v>1AP1PSLP1279ZA</v>
          </cell>
          <cell r="B1244" t="str">
            <v>DIP</v>
          </cell>
          <cell r="C1244">
            <v>1</v>
          </cell>
          <cell r="D1244" t="e">
            <v>#N/A</v>
          </cell>
          <cell r="E1244">
            <v>2210</v>
          </cell>
          <cell r="F1244" t="str">
            <v>VC01</v>
          </cell>
          <cell r="G1244" t="str">
            <v>Auto</v>
          </cell>
          <cell r="H1244">
            <v>311</v>
          </cell>
          <cell r="I1244">
            <v>2210</v>
          </cell>
          <cell r="J1244">
            <v>2310</v>
          </cell>
          <cell r="K1244" t="str">
            <v>VC01</v>
          </cell>
        </row>
        <row r="1245">
          <cell r="A1245" t="str">
            <v>1VI1PSLP1583ZA</v>
          </cell>
          <cell r="B1245" t="str">
            <v>SMT</v>
          </cell>
          <cell r="C1245">
            <v>1</v>
          </cell>
          <cell r="D1245" t="e">
            <v>#N/A</v>
          </cell>
        </row>
        <row r="1246">
          <cell r="A1246" t="str">
            <v>1VJ1PSLP1583ZA</v>
          </cell>
          <cell r="B1246" t="str">
            <v>SMT</v>
          </cell>
          <cell r="C1246">
            <v>1</v>
          </cell>
          <cell r="D1246" t="e">
            <v>#N/A</v>
          </cell>
        </row>
        <row r="1247">
          <cell r="A1247" t="str">
            <v>1RE1PSLP1583ZA</v>
          </cell>
          <cell r="B1247" t="str">
            <v>SMT</v>
          </cell>
          <cell r="C1247">
            <v>1</v>
          </cell>
          <cell r="D1247">
            <v>532</v>
          </cell>
        </row>
        <row r="1248">
          <cell r="A1248" t="str">
            <v>1RE2PSLP1583ZA</v>
          </cell>
          <cell r="B1248" t="str">
            <v>SMT</v>
          </cell>
          <cell r="C1248">
            <v>1</v>
          </cell>
          <cell r="D1248">
            <v>531</v>
          </cell>
          <cell r="E1248">
            <v>2210</v>
          </cell>
          <cell r="F1248" t="str">
            <v>VC01</v>
          </cell>
          <cell r="G1248" t="str">
            <v>Auto</v>
          </cell>
          <cell r="H1248">
            <v>311</v>
          </cell>
          <cell r="I1248">
            <v>2210</v>
          </cell>
          <cell r="J1248">
            <v>2220</v>
          </cell>
          <cell r="K1248" t="str">
            <v>VC01</v>
          </cell>
        </row>
        <row r="1249">
          <cell r="A1249" t="str">
            <v>1AP1PSLP1583ZA</v>
          </cell>
          <cell r="B1249" t="str">
            <v>DIP</v>
          </cell>
          <cell r="C1249">
            <v>1</v>
          </cell>
          <cell r="D1249" t="e">
            <v>#N/A</v>
          </cell>
          <cell r="E1249">
            <v>2210</v>
          </cell>
          <cell r="F1249" t="str">
            <v>VC01</v>
          </cell>
          <cell r="G1249" t="str">
            <v>Auto</v>
          </cell>
          <cell r="H1249">
            <v>311</v>
          </cell>
          <cell r="I1249">
            <v>2210</v>
          </cell>
          <cell r="J1249">
            <v>2220</v>
          </cell>
          <cell r="K1249" t="str">
            <v>VC01</v>
          </cell>
        </row>
        <row r="1250">
          <cell r="A1250" t="str">
            <v>1RE1PSLP1637ZA</v>
          </cell>
          <cell r="B1250" t="str">
            <v>SMT</v>
          </cell>
          <cell r="C1250">
            <v>1</v>
          </cell>
          <cell r="D1250">
            <v>628</v>
          </cell>
        </row>
        <row r="1251">
          <cell r="A1251" t="str">
            <v>1RE2PSLP1637ZA</v>
          </cell>
          <cell r="B1251" t="str">
            <v>SMT</v>
          </cell>
          <cell r="C1251">
            <v>1</v>
          </cell>
          <cell r="D1251">
            <v>768</v>
          </cell>
        </row>
        <row r="1252">
          <cell r="A1252" t="str">
            <v>1RH1PSLP1637ZA</v>
          </cell>
          <cell r="B1252" t="str">
            <v>SMT</v>
          </cell>
          <cell r="C1252">
            <v>1</v>
          </cell>
          <cell r="D1252">
            <v>34</v>
          </cell>
          <cell r="E1252">
            <v>2210</v>
          </cell>
          <cell r="F1252" t="str">
            <v>VC01</v>
          </cell>
          <cell r="G1252" t="str">
            <v>Auto</v>
          </cell>
          <cell r="H1252">
            <v>311</v>
          </cell>
          <cell r="I1252">
            <v>2210</v>
          </cell>
          <cell r="J1252">
            <v>2220</v>
          </cell>
          <cell r="K1252" t="str">
            <v>VC01</v>
          </cell>
        </row>
        <row r="1253">
          <cell r="A1253" t="str">
            <v>1AP1PSLP1637ZA</v>
          </cell>
          <cell r="B1253" t="str">
            <v>DIP</v>
          </cell>
          <cell r="C1253">
            <v>1</v>
          </cell>
          <cell r="D1253" t="e">
            <v>#N/A</v>
          </cell>
          <cell r="E1253">
            <v>2210</v>
          </cell>
          <cell r="F1253" t="str">
            <v>VC01</v>
          </cell>
          <cell r="G1253" t="str">
            <v>Auto</v>
          </cell>
          <cell r="H1253">
            <v>311</v>
          </cell>
          <cell r="I1253">
            <v>2210</v>
          </cell>
          <cell r="J1253">
            <v>2220</v>
          </cell>
          <cell r="K1253" t="str">
            <v>VC01</v>
          </cell>
        </row>
        <row r="1254">
          <cell r="A1254" t="str">
            <v>1VJ1TDA0171XJSX</v>
          </cell>
          <cell r="B1254" t="str">
            <v>SMT</v>
          </cell>
          <cell r="C1254">
            <v>1</v>
          </cell>
          <cell r="D1254" t="e">
            <v>#N/A</v>
          </cell>
        </row>
        <row r="1255">
          <cell r="A1255" t="str">
            <v>1RE1TDA0171XJSX</v>
          </cell>
          <cell r="B1255" t="str">
            <v>SMT</v>
          </cell>
          <cell r="C1255">
            <v>1</v>
          </cell>
          <cell r="D1255">
            <v>400</v>
          </cell>
        </row>
        <row r="1256">
          <cell r="A1256" t="str">
            <v>1RE2TDA0171XJSX</v>
          </cell>
          <cell r="B1256" t="str">
            <v>SMT</v>
          </cell>
          <cell r="C1256">
            <v>1</v>
          </cell>
          <cell r="D1256">
            <v>317</v>
          </cell>
        </row>
        <row r="1257">
          <cell r="A1257" t="str">
            <v>1RH1TDA0171XJSX</v>
          </cell>
          <cell r="B1257" t="str">
            <v>SMT</v>
          </cell>
          <cell r="C1257">
            <v>1</v>
          </cell>
          <cell r="D1257">
            <v>33</v>
          </cell>
          <cell r="E1257">
            <v>2210</v>
          </cell>
          <cell r="F1257" t="str">
            <v>VC01</v>
          </cell>
          <cell r="G1257" t="str">
            <v>Auto</v>
          </cell>
          <cell r="H1257">
            <v>311</v>
          </cell>
          <cell r="I1257">
            <v>2210</v>
          </cell>
          <cell r="J1257">
            <v>2310</v>
          </cell>
          <cell r="K1257" t="str">
            <v>VC01</v>
          </cell>
        </row>
        <row r="1258">
          <cell r="A1258" t="str">
            <v>1AP1TDA0171XJSX</v>
          </cell>
          <cell r="B1258" t="str">
            <v>DIP</v>
          </cell>
          <cell r="C1258">
            <v>1</v>
          </cell>
          <cell r="D1258" t="e">
            <v>#N/A</v>
          </cell>
          <cell r="E1258">
            <v>2210</v>
          </cell>
          <cell r="F1258" t="str">
            <v>VC01</v>
          </cell>
          <cell r="G1258" t="str">
            <v>Auto</v>
          </cell>
          <cell r="H1258">
            <v>311</v>
          </cell>
          <cell r="I1258">
            <v>2210</v>
          </cell>
          <cell r="J1258">
            <v>2310</v>
          </cell>
          <cell r="K1258" t="str">
            <v>VC01</v>
          </cell>
        </row>
        <row r="1259">
          <cell r="A1259" t="str">
            <v>1VJ1TDA0177CXV4</v>
          </cell>
          <cell r="B1259" t="str">
            <v>SMT</v>
          </cell>
          <cell r="C1259">
            <v>1</v>
          </cell>
          <cell r="D1259" t="e">
            <v>#N/A</v>
          </cell>
        </row>
        <row r="1260">
          <cell r="A1260" t="str">
            <v>1RE1TDA0177CXV4</v>
          </cell>
          <cell r="B1260" t="str">
            <v>SMT</v>
          </cell>
          <cell r="C1260">
            <v>1</v>
          </cell>
          <cell r="D1260">
            <v>239</v>
          </cell>
        </row>
        <row r="1261">
          <cell r="A1261" t="str">
            <v>1RE2TDA0177CXV4</v>
          </cell>
          <cell r="B1261" t="str">
            <v>SMT</v>
          </cell>
          <cell r="C1261">
            <v>1</v>
          </cell>
          <cell r="D1261">
            <v>455</v>
          </cell>
        </row>
        <row r="1262">
          <cell r="A1262" t="str">
            <v>1RH1TDA0177CXV4</v>
          </cell>
          <cell r="B1262" t="str">
            <v>SMT</v>
          </cell>
          <cell r="C1262">
            <v>1</v>
          </cell>
          <cell r="D1262">
            <v>101</v>
          </cell>
          <cell r="E1262">
            <v>2210</v>
          </cell>
          <cell r="F1262" t="str">
            <v>VC01</v>
          </cell>
          <cell r="G1262" t="str">
            <v>Auto</v>
          </cell>
          <cell r="H1262">
            <v>311</v>
          </cell>
          <cell r="I1262">
            <v>2210</v>
          </cell>
          <cell r="J1262">
            <v>2310</v>
          </cell>
          <cell r="K1262" t="str">
            <v>VC01</v>
          </cell>
        </row>
        <row r="1263">
          <cell r="A1263" t="str">
            <v>1AP1TDA0177CXV4</v>
          </cell>
          <cell r="B1263" t="str">
            <v>DIP</v>
          </cell>
          <cell r="C1263">
            <v>1</v>
          </cell>
          <cell r="D1263" t="e">
            <v>#N/A</v>
          </cell>
          <cell r="E1263">
            <v>2210</v>
          </cell>
          <cell r="F1263" t="str">
            <v>VC01</v>
          </cell>
          <cell r="G1263" t="str">
            <v>Auto</v>
          </cell>
          <cell r="H1263">
            <v>311</v>
          </cell>
          <cell r="I1263">
            <v>2210</v>
          </cell>
          <cell r="J1263">
            <v>2310</v>
          </cell>
          <cell r="K1263" t="str">
            <v>VC01</v>
          </cell>
        </row>
        <row r="1264">
          <cell r="A1264" t="str">
            <v>1RE1TDA0181ALV4</v>
          </cell>
          <cell r="B1264" t="str">
            <v>SMT</v>
          </cell>
          <cell r="C1264">
            <v>1</v>
          </cell>
          <cell r="D1264">
            <v>911</v>
          </cell>
        </row>
        <row r="1265">
          <cell r="A1265" t="str">
            <v>1RE2TDA0181ALV4</v>
          </cell>
          <cell r="B1265" t="str">
            <v>SMT</v>
          </cell>
          <cell r="C1265">
            <v>1</v>
          </cell>
          <cell r="D1265">
            <v>461</v>
          </cell>
          <cell r="E1265">
            <v>2210</v>
          </cell>
          <cell r="F1265" t="str">
            <v>VC01</v>
          </cell>
          <cell r="G1265" t="str">
            <v>Auto</v>
          </cell>
          <cell r="H1265">
            <v>311</v>
          </cell>
          <cell r="I1265">
            <v>2210</v>
          </cell>
          <cell r="J1265">
            <v>2310</v>
          </cell>
          <cell r="K1265" t="str">
            <v>VC01</v>
          </cell>
        </row>
        <row r="1266">
          <cell r="A1266" t="str">
            <v>1AP1TDA0181ALV4</v>
          </cell>
          <cell r="B1266" t="str">
            <v>DIP</v>
          </cell>
          <cell r="C1266">
            <v>1</v>
          </cell>
          <cell r="D1266" t="e">
            <v>#N/A</v>
          </cell>
          <cell r="E1266">
            <v>2210</v>
          </cell>
          <cell r="F1266" t="str">
            <v>VC01</v>
          </cell>
          <cell r="G1266" t="str">
            <v>Auto</v>
          </cell>
          <cell r="H1266">
            <v>311</v>
          </cell>
          <cell r="I1266">
            <v>2210</v>
          </cell>
          <cell r="J1266">
            <v>2310</v>
          </cell>
          <cell r="K1266" t="str">
            <v>VC01</v>
          </cell>
        </row>
        <row r="1267">
          <cell r="A1267" t="str">
            <v>1RE1TDA0193XV4</v>
          </cell>
          <cell r="B1267" t="str">
            <v>SMT</v>
          </cell>
          <cell r="C1267">
            <v>1</v>
          </cell>
          <cell r="D1267">
            <v>189</v>
          </cell>
        </row>
        <row r="1268">
          <cell r="A1268" t="str">
            <v>1RE2TDA0193XV4</v>
          </cell>
          <cell r="B1268" t="str">
            <v>SMT</v>
          </cell>
          <cell r="C1268">
            <v>1</v>
          </cell>
          <cell r="D1268">
            <v>87</v>
          </cell>
          <cell r="E1268">
            <v>2210</v>
          </cell>
          <cell r="F1268" t="str">
            <v>VC01</v>
          </cell>
          <cell r="G1268" t="str">
            <v>Auto</v>
          </cell>
          <cell r="H1268">
            <v>311</v>
          </cell>
          <cell r="I1268">
            <v>2210</v>
          </cell>
          <cell r="J1268">
            <v>2310</v>
          </cell>
          <cell r="K1268" t="str">
            <v>VC01</v>
          </cell>
        </row>
        <row r="1269">
          <cell r="A1269" t="str">
            <v>1AP1TDA0193XV4</v>
          </cell>
          <cell r="B1269" t="str">
            <v>DIP</v>
          </cell>
          <cell r="C1269">
            <v>1</v>
          </cell>
          <cell r="D1269" t="e">
            <v>#N/A</v>
          </cell>
          <cell r="E1269">
            <v>2210</v>
          </cell>
          <cell r="F1269" t="str">
            <v>VC01</v>
          </cell>
          <cell r="G1269" t="str">
            <v>Auto</v>
          </cell>
          <cell r="H1269">
            <v>311</v>
          </cell>
          <cell r="I1269">
            <v>2210</v>
          </cell>
          <cell r="J1269">
            <v>2310</v>
          </cell>
          <cell r="K1269" t="str">
            <v>VC01</v>
          </cell>
        </row>
        <row r="1270">
          <cell r="A1270" t="str">
            <v>1VJ1TDA0410CNV4</v>
          </cell>
          <cell r="B1270" t="str">
            <v>SMT</v>
          </cell>
          <cell r="C1270">
            <v>1</v>
          </cell>
          <cell r="D1270" t="e">
            <v>#N/A</v>
          </cell>
        </row>
        <row r="1271">
          <cell r="A1271" t="str">
            <v>1RE1TDA0410CNV4</v>
          </cell>
          <cell r="B1271" t="str">
            <v>SMT</v>
          </cell>
          <cell r="C1271">
            <v>1</v>
          </cell>
          <cell r="D1271">
            <v>205</v>
          </cell>
        </row>
        <row r="1272">
          <cell r="A1272" t="str">
            <v>1RE2TDA0410CNV4</v>
          </cell>
          <cell r="B1272" t="str">
            <v>SMT</v>
          </cell>
          <cell r="C1272">
            <v>1</v>
          </cell>
          <cell r="D1272">
            <v>305</v>
          </cell>
          <cell r="E1272">
            <v>2210</v>
          </cell>
          <cell r="F1272" t="str">
            <v>VC01</v>
          </cell>
          <cell r="G1272" t="str">
            <v>Auto</v>
          </cell>
          <cell r="H1272">
            <v>311</v>
          </cell>
          <cell r="I1272">
            <v>2210</v>
          </cell>
          <cell r="J1272">
            <v>2310</v>
          </cell>
          <cell r="K1272" t="str">
            <v>VC01</v>
          </cell>
        </row>
        <row r="1273">
          <cell r="A1273" t="str">
            <v>1AP1TDA0410CNV4</v>
          </cell>
          <cell r="B1273" t="str">
            <v>DIP</v>
          </cell>
          <cell r="C1273">
            <v>1</v>
          </cell>
          <cell r="D1273" t="e">
            <v>#N/A</v>
          </cell>
          <cell r="E1273">
            <v>2210</v>
          </cell>
          <cell r="F1273" t="str">
            <v>VC01</v>
          </cell>
          <cell r="G1273" t="str">
            <v>Auto</v>
          </cell>
          <cell r="H1273">
            <v>311</v>
          </cell>
          <cell r="I1273">
            <v>2210</v>
          </cell>
          <cell r="J1273">
            <v>2310</v>
          </cell>
          <cell r="K1273" t="str">
            <v>VC01</v>
          </cell>
        </row>
        <row r="1274">
          <cell r="A1274" t="str">
            <v>1VJ1TDA0490CNV4</v>
          </cell>
          <cell r="B1274" t="str">
            <v>SMT</v>
          </cell>
          <cell r="C1274">
            <v>1</v>
          </cell>
          <cell r="D1274" t="e">
            <v>#N/A</v>
          </cell>
        </row>
        <row r="1275">
          <cell r="A1275" t="str">
            <v>1VJ2TDA0490CNV4</v>
          </cell>
          <cell r="B1275" t="str">
            <v>SMT</v>
          </cell>
          <cell r="C1275">
            <v>1</v>
          </cell>
          <cell r="D1275" t="e">
            <v>#N/A</v>
          </cell>
        </row>
        <row r="1276">
          <cell r="A1276" t="str">
            <v>1RE1TDA0490CNV4</v>
          </cell>
          <cell r="B1276" t="str">
            <v>SMT</v>
          </cell>
          <cell r="C1276">
            <v>1</v>
          </cell>
          <cell r="D1276">
            <v>256</v>
          </cell>
        </row>
        <row r="1277">
          <cell r="A1277" t="str">
            <v>1RE2TDA0490CNV4</v>
          </cell>
          <cell r="B1277" t="str">
            <v>SMT</v>
          </cell>
          <cell r="C1277">
            <v>1</v>
          </cell>
          <cell r="D1277">
            <v>443</v>
          </cell>
          <cell r="E1277">
            <v>2210</v>
          </cell>
          <cell r="F1277" t="str">
            <v>VC01</v>
          </cell>
          <cell r="G1277" t="str">
            <v>Auto</v>
          </cell>
          <cell r="H1277">
            <v>311</v>
          </cell>
          <cell r="I1277">
            <v>2210</v>
          </cell>
          <cell r="J1277">
            <v>2310</v>
          </cell>
          <cell r="K1277" t="str">
            <v>VC01</v>
          </cell>
        </row>
        <row r="1278">
          <cell r="A1278" t="str">
            <v>1AP1TDA0490CNV4</v>
          </cell>
          <cell r="B1278" t="str">
            <v>DIP</v>
          </cell>
          <cell r="C1278">
            <v>1</v>
          </cell>
          <cell r="D1278" t="e">
            <v>#N/A</v>
          </cell>
          <cell r="E1278">
            <v>2210</v>
          </cell>
          <cell r="F1278" t="str">
            <v>VC01</v>
          </cell>
          <cell r="G1278" t="str">
            <v>Auto</v>
          </cell>
          <cell r="H1278">
            <v>311</v>
          </cell>
          <cell r="I1278">
            <v>2210</v>
          </cell>
          <cell r="J1278">
            <v>2310</v>
          </cell>
          <cell r="K1278" t="str">
            <v>VC01</v>
          </cell>
        </row>
        <row r="1279">
          <cell r="A1279" t="str">
            <v>PNLB1799ZC-LV</v>
          </cell>
          <cell r="B1279" t="str">
            <v>SMT</v>
          </cell>
          <cell r="C1279">
            <v>1</v>
          </cell>
          <cell r="D1279" t="e">
            <v>#N/A</v>
          </cell>
        </row>
        <row r="1280">
          <cell r="A1280" t="str">
            <v>1RE1TDA1186X</v>
          </cell>
          <cell r="B1280" t="str">
            <v>SMT</v>
          </cell>
          <cell r="C1280">
            <v>1</v>
          </cell>
          <cell r="D1280">
            <v>461</v>
          </cell>
        </row>
        <row r="1281">
          <cell r="A1281" t="str">
            <v>1RE2TDA1186X</v>
          </cell>
          <cell r="B1281" t="str">
            <v>SMT</v>
          </cell>
          <cell r="C1281">
            <v>1</v>
          </cell>
          <cell r="D1281">
            <v>235</v>
          </cell>
          <cell r="E1281">
            <v>2210</v>
          </cell>
          <cell r="F1281" t="str">
            <v>VC01</v>
          </cell>
          <cell r="G1281" t="str">
            <v>Auto</v>
          </cell>
          <cell r="H1281">
            <v>311</v>
          </cell>
          <cell r="I1281">
            <v>2210</v>
          </cell>
          <cell r="J1281">
            <v>2310</v>
          </cell>
          <cell r="K1281" t="str">
            <v>VC01</v>
          </cell>
        </row>
        <row r="1282">
          <cell r="A1282" t="str">
            <v>1AP1TDA1186X</v>
          </cell>
          <cell r="B1282" t="str">
            <v>DIP</v>
          </cell>
          <cell r="C1282">
            <v>1</v>
          </cell>
          <cell r="D1282" t="e">
            <v>#N/A</v>
          </cell>
          <cell r="E1282">
            <v>2210</v>
          </cell>
          <cell r="F1282" t="str">
            <v>VC01</v>
          </cell>
          <cell r="G1282" t="str">
            <v>Auto</v>
          </cell>
          <cell r="H1282">
            <v>311</v>
          </cell>
          <cell r="I1282">
            <v>2210</v>
          </cell>
          <cell r="J1282">
            <v>2310</v>
          </cell>
          <cell r="K1282" t="str">
            <v>VC01</v>
          </cell>
        </row>
        <row r="1283">
          <cell r="A1283" t="str">
            <v>1VJ1TDA5450</v>
          </cell>
          <cell r="B1283" t="str">
            <v>SMT</v>
          </cell>
          <cell r="C1283">
            <v>1</v>
          </cell>
          <cell r="D1283" t="e">
            <v>#N/A</v>
          </cell>
        </row>
        <row r="1284">
          <cell r="A1284" t="str">
            <v>1RE1TDA5450</v>
          </cell>
          <cell r="B1284" t="str">
            <v>SMT</v>
          </cell>
          <cell r="C1284">
            <v>1</v>
          </cell>
          <cell r="D1284">
            <v>234</v>
          </cell>
        </row>
        <row r="1285">
          <cell r="A1285" t="str">
            <v>1RE2TDA5450</v>
          </cell>
          <cell r="B1285" t="str">
            <v>SMT</v>
          </cell>
          <cell r="C1285">
            <v>1</v>
          </cell>
          <cell r="D1285">
            <v>563</v>
          </cell>
          <cell r="E1285">
            <v>2210</v>
          </cell>
          <cell r="F1285" t="str">
            <v>VC01</v>
          </cell>
          <cell r="G1285" t="str">
            <v>Auto</v>
          </cell>
          <cell r="H1285">
            <v>311</v>
          </cell>
          <cell r="I1285">
            <v>2210</v>
          </cell>
          <cell r="J1285">
            <v>2310</v>
          </cell>
          <cell r="K1285" t="str">
            <v>VC01</v>
          </cell>
        </row>
        <row r="1286">
          <cell r="A1286" t="str">
            <v>1AP1TDA5450</v>
          </cell>
          <cell r="B1286" t="str">
            <v>DIP</v>
          </cell>
          <cell r="C1286">
            <v>1</v>
          </cell>
          <cell r="D1286" t="e">
            <v>#N/A</v>
          </cell>
          <cell r="E1286">
            <v>2210</v>
          </cell>
          <cell r="F1286" t="str">
            <v>VC01</v>
          </cell>
          <cell r="G1286" t="str">
            <v>Auto</v>
          </cell>
          <cell r="H1286">
            <v>311</v>
          </cell>
          <cell r="I1286">
            <v>2210</v>
          </cell>
          <cell r="J1286">
            <v>2310</v>
          </cell>
          <cell r="K1286" t="str">
            <v>VC01</v>
          </cell>
        </row>
        <row r="1287">
          <cell r="A1287" t="str">
            <v>1VJ1TDA6166XJV4</v>
          </cell>
          <cell r="B1287" t="str">
            <v>SMT</v>
          </cell>
          <cell r="C1287">
            <v>1</v>
          </cell>
          <cell r="D1287" t="e">
            <v>#N/A</v>
          </cell>
        </row>
        <row r="1288">
          <cell r="A1288" t="str">
            <v>1CM1TDA6166XJV4</v>
          </cell>
          <cell r="B1288" t="str">
            <v>SMT</v>
          </cell>
          <cell r="C1288">
            <v>1</v>
          </cell>
          <cell r="D1288">
            <v>168</v>
          </cell>
        </row>
        <row r="1289">
          <cell r="A1289" t="str">
            <v>1RE2TDA6166XJV4</v>
          </cell>
          <cell r="B1289" t="str">
            <v>SMT</v>
          </cell>
          <cell r="C1289">
            <v>1</v>
          </cell>
          <cell r="D1289">
            <v>186</v>
          </cell>
        </row>
        <row r="1290">
          <cell r="A1290" t="str">
            <v>1RH1TDA6166XJV4</v>
          </cell>
          <cell r="B1290" t="str">
            <v>SMT</v>
          </cell>
          <cell r="C1290">
            <v>1</v>
          </cell>
          <cell r="D1290">
            <v>1</v>
          </cell>
          <cell r="E1290">
            <v>2210</v>
          </cell>
          <cell r="F1290" t="str">
            <v>VC01</v>
          </cell>
          <cell r="G1290" t="str">
            <v>Auto</v>
          </cell>
          <cell r="H1290">
            <v>311</v>
          </cell>
          <cell r="I1290">
            <v>2210</v>
          </cell>
          <cell r="J1290">
            <v>2310</v>
          </cell>
          <cell r="K1290" t="str">
            <v>VC01</v>
          </cell>
        </row>
        <row r="1291">
          <cell r="A1291" t="str">
            <v>1AP1TDA6166XJV4</v>
          </cell>
          <cell r="B1291" t="str">
            <v>DIP</v>
          </cell>
          <cell r="C1291">
            <v>1</v>
          </cell>
          <cell r="D1291" t="e">
            <v>#N/A</v>
          </cell>
          <cell r="E1291">
            <v>2210</v>
          </cell>
          <cell r="F1291" t="str">
            <v>VC01</v>
          </cell>
          <cell r="G1291" t="str">
            <v>Auto</v>
          </cell>
          <cell r="H1291">
            <v>311</v>
          </cell>
          <cell r="I1291">
            <v>2210</v>
          </cell>
          <cell r="J1291">
            <v>2310</v>
          </cell>
          <cell r="K1291" t="str">
            <v>VC01</v>
          </cell>
        </row>
        <row r="1292">
          <cell r="A1292" t="str">
            <v>1VJ1TDA6181AGV4</v>
          </cell>
          <cell r="B1292" t="str">
            <v>SMT</v>
          </cell>
          <cell r="C1292">
            <v>1</v>
          </cell>
          <cell r="D1292" t="e">
            <v>#N/A</v>
          </cell>
        </row>
        <row r="1293">
          <cell r="A1293" t="str">
            <v>1RE1TDA6181AGV4</v>
          </cell>
          <cell r="B1293" t="str">
            <v>SMT</v>
          </cell>
          <cell r="C1293">
            <v>1</v>
          </cell>
          <cell r="D1293">
            <v>734</v>
          </cell>
        </row>
        <row r="1294">
          <cell r="A1294" t="str">
            <v>1RE2TDA6181AGV4</v>
          </cell>
          <cell r="B1294" t="str">
            <v>SMT</v>
          </cell>
          <cell r="C1294">
            <v>1</v>
          </cell>
          <cell r="D1294">
            <v>525</v>
          </cell>
          <cell r="E1294">
            <v>2210</v>
          </cell>
          <cell r="F1294" t="str">
            <v>VC01</v>
          </cell>
          <cell r="G1294" t="str">
            <v>Auto</v>
          </cell>
          <cell r="H1294">
            <v>311</v>
          </cell>
          <cell r="I1294">
            <v>2210</v>
          </cell>
          <cell r="J1294">
            <v>2310</v>
          </cell>
          <cell r="K1294" t="str">
            <v>VC01</v>
          </cell>
        </row>
        <row r="1295">
          <cell r="A1295" t="str">
            <v>1AP1TDA6181AGV4</v>
          </cell>
          <cell r="B1295" t="str">
            <v>DIP</v>
          </cell>
          <cell r="C1295">
            <v>1</v>
          </cell>
          <cell r="D1295" t="e">
            <v>#N/A</v>
          </cell>
          <cell r="E1295">
            <v>2210</v>
          </cell>
          <cell r="F1295" t="str">
            <v>VC01</v>
          </cell>
          <cell r="G1295" t="str">
            <v>Auto</v>
          </cell>
          <cell r="H1295">
            <v>311</v>
          </cell>
          <cell r="I1295">
            <v>2210</v>
          </cell>
          <cell r="J1295">
            <v>2310</v>
          </cell>
          <cell r="K1295" t="str">
            <v>VC01</v>
          </cell>
        </row>
        <row r="1296">
          <cell r="A1296" t="str">
            <v>1VJ1TDA6181CV4</v>
          </cell>
          <cell r="B1296" t="str">
            <v>SMT</v>
          </cell>
          <cell r="C1296">
            <v>1</v>
          </cell>
          <cell r="D1296" t="e">
            <v>#N/A</v>
          </cell>
        </row>
        <row r="1297">
          <cell r="A1297" t="str">
            <v>1RE1TDA6181CV4</v>
          </cell>
          <cell r="B1297" t="str">
            <v>SMT</v>
          </cell>
          <cell r="C1297">
            <v>1</v>
          </cell>
          <cell r="D1297">
            <v>749</v>
          </cell>
        </row>
        <row r="1298">
          <cell r="A1298" t="str">
            <v>1RE2TDA6181CV4</v>
          </cell>
          <cell r="B1298" t="str">
            <v>SMT</v>
          </cell>
          <cell r="C1298">
            <v>1</v>
          </cell>
          <cell r="D1298">
            <v>508</v>
          </cell>
        </row>
        <row r="1299">
          <cell r="A1299" t="str">
            <v>1RH1TDA6181CV4</v>
          </cell>
          <cell r="B1299" t="str">
            <v>SMT</v>
          </cell>
          <cell r="C1299">
            <v>1</v>
          </cell>
          <cell r="D1299">
            <v>16</v>
          </cell>
          <cell r="E1299">
            <v>2210</v>
          </cell>
          <cell r="F1299" t="str">
            <v>VC01</v>
          </cell>
          <cell r="G1299" t="str">
            <v>Auto</v>
          </cell>
          <cell r="H1299">
            <v>311</v>
          </cell>
          <cell r="I1299">
            <v>2210</v>
          </cell>
          <cell r="J1299">
            <v>2310</v>
          </cell>
          <cell r="K1299" t="str">
            <v>VC01</v>
          </cell>
        </row>
        <row r="1300">
          <cell r="A1300" t="str">
            <v>1AP1TDA6181CV4</v>
          </cell>
          <cell r="B1300" t="str">
            <v>DIP</v>
          </cell>
          <cell r="C1300">
            <v>1</v>
          </cell>
          <cell r="D1300" t="e">
            <v>#N/A</v>
          </cell>
          <cell r="E1300">
            <v>2210</v>
          </cell>
          <cell r="F1300" t="str">
            <v>VC01</v>
          </cell>
          <cell r="G1300" t="str">
            <v>Auto</v>
          </cell>
          <cell r="H1300">
            <v>311</v>
          </cell>
          <cell r="I1300">
            <v>2210</v>
          </cell>
          <cell r="J1300">
            <v>2310</v>
          </cell>
          <cell r="K1300" t="str">
            <v>VC01</v>
          </cell>
        </row>
        <row r="1301">
          <cell r="A1301" t="str">
            <v>1VJ1TDA6181NEV4</v>
          </cell>
          <cell r="B1301" t="str">
            <v>SMT</v>
          </cell>
          <cell r="C1301">
            <v>1</v>
          </cell>
          <cell r="D1301" t="e">
            <v>#N/A</v>
          </cell>
        </row>
        <row r="1302">
          <cell r="A1302" t="str">
            <v>1RE1TDA6181NEV4</v>
          </cell>
          <cell r="B1302" t="str">
            <v>SMT</v>
          </cell>
          <cell r="C1302">
            <v>1</v>
          </cell>
          <cell r="D1302">
            <v>734</v>
          </cell>
        </row>
        <row r="1303">
          <cell r="A1303" t="str">
            <v>1RE2TDA6181NEV4</v>
          </cell>
          <cell r="B1303" t="str">
            <v>SMT</v>
          </cell>
          <cell r="C1303">
            <v>1</v>
          </cell>
          <cell r="D1303">
            <v>525</v>
          </cell>
          <cell r="E1303">
            <v>2210</v>
          </cell>
          <cell r="F1303" t="str">
            <v>VC01</v>
          </cell>
          <cell r="G1303" t="str">
            <v>Auto</v>
          </cell>
          <cell r="H1303">
            <v>311</v>
          </cell>
          <cell r="I1303">
            <v>2210</v>
          </cell>
          <cell r="J1303">
            <v>2310</v>
          </cell>
          <cell r="K1303" t="str">
            <v>VC01</v>
          </cell>
        </row>
        <row r="1304">
          <cell r="A1304" t="str">
            <v>1AP1TDA6181NEV4</v>
          </cell>
          <cell r="B1304" t="str">
            <v>DIP</v>
          </cell>
          <cell r="C1304">
            <v>1</v>
          </cell>
          <cell r="D1304" t="e">
            <v>#N/A</v>
          </cell>
          <cell r="E1304">
            <v>2210</v>
          </cell>
          <cell r="F1304" t="str">
            <v>VC01</v>
          </cell>
          <cell r="G1304" t="str">
            <v>Auto</v>
          </cell>
          <cell r="H1304">
            <v>311</v>
          </cell>
          <cell r="I1304">
            <v>2210</v>
          </cell>
          <cell r="J1304">
            <v>2310</v>
          </cell>
          <cell r="K1304" t="str">
            <v>VC01</v>
          </cell>
        </row>
        <row r="1305">
          <cell r="A1305" t="str">
            <v>1VJ1LPUDT121CERZA</v>
          </cell>
          <cell r="B1305" t="str">
            <v>SMT</v>
          </cell>
          <cell r="C1305">
            <v>1</v>
          </cell>
          <cell r="D1305" t="e">
            <v>#N/A</v>
          </cell>
        </row>
        <row r="1306">
          <cell r="A1306" t="str">
            <v>1RE1LPUDT121CERZA</v>
          </cell>
          <cell r="B1306" t="str">
            <v>SMT</v>
          </cell>
          <cell r="C1306">
            <v>1</v>
          </cell>
          <cell r="D1306">
            <v>25</v>
          </cell>
        </row>
        <row r="1307">
          <cell r="A1307" t="str">
            <v>1RE2LPUDT121CERZA</v>
          </cell>
          <cell r="B1307" t="str">
            <v>SMT</v>
          </cell>
          <cell r="C1307">
            <v>1</v>
          </cell>
          <cell r="D1307">
            <v>199</v>
          </cell>
          <cell r="E1307">
            <v>2210</v>
          </cell>
          <cell r="F1307" t="str">
            <v>VC01</v>
          </cell>
          <cell r="G1307" t="str">
            <v>Auto</v>
          </cell>
          <cell r="H1307">
            <v>311</v>
          </cell>
          <cell r="I1307">
            <v>2210</v>
          </cell>
          <cell r="J1307">
            <v>2220</v>
          </cell>
          <cell r="K1307" t="str">
            <v>VC01</v>
          </cell>
        </row>
        <row r="1308">
          <cell r="A1308" t="str">
            <v>1VJ1LPUDT121RURZA</v>
          </cell>
          <cell r="B1308" t="str">
            <v>SMT</v>
          </cell>
          <cell r="C1308">
            <v>1</v>
          </cell>
          <cell r="D1308" t="e">
            <v>#N/A</v>
          </cell>
        </row>
        <row r="1309">
          <cell r="A1309" t="str">
            <v>1RE1LPUDT121RURZA</v>
          </cell>
          <cell r="B1309" t="str">
            <v>SMT</v>
          </cell>
          <cell r="C1309">
            <v>1</v>
          </cell>
          <cell r="D1309">
            <v>25</v>
          </cell>
        </row>
        <row r="1310">
          <cell r="A1310" t="str">
            <v>1RE2LPUDT121RURZA</v>
          </cell>
          <cell r="B1310" t="str">
            <v>SMT</v>
          </cell>
          <cell r="C1310">
            <v>1</v>
          </cell>
          <cell r="D1310">
            <v>199</v>
          </cell>
          <cell r="E1310">
            <v>2210</v>
          </cell>
          <cell r="F1310" t="str">
            <v>VC01</v>
          </cell>
          <cell r="G1310" t="str">
            <v>Auto</v>
          </cell>
          <cell r="H1310">
            <v>311</v>
          </cell>
          <cell r="I1310">
            <v>2210</v>
          </cell>
          <cell r="J1310">
            <v>2220</v>
          </cell>
          <cell r="K1310" t="str">
            <v>VC01</v>
          </cell>
        </row>
        <row r="1311">
          <cell r="A1311" t="str">
            <v>1RE1PNLP2356ZA</v>
          </cell>
          <cell r="B1311" t="str">
            <v>SMT</v>
          </cell>
          <cell r="C1311">
            <v>1</v>
          </cell>
          <cell r="D1311">
            <v>46</v>
          </cell>
        </row>
        <row r="1312">
          <cell r="A1312" t="str">
            <v>1RE2PNLP2356ZA</v>
          </cell>
          <cell r="B1312" t="str">
            <v>SMT</v>
          </cell>
          <cell r="C1312">
            <v>1</v>
          </cell>
          <cell r="D1312">
            <v>262</v>
          </cell>
          <cell r="E1312">
            <v>2210</v>
          </cell>
          <cell r="F1312" t="str">
            <v>VC01</v>
          </cell>
          <cell r="G1312" t="str">
            <v>Auto</v>
          </cell>
          <cell r="H1312">
            <v>311</v>
          </cell>
          <cell r="I1312">
            <v>2210</v>
          </cell>
          <cell r="J1312">
            <v>2220</v>
          </cell>
          <cell r="K1312" t="str">
            <v>VC01</v>
          </cell>
        </row>
        <row r="1313">
          <cell r="A1313" t="str">
            <v>1VJ1TDA0192XJ</v>
          </cell>
          <cell r="B1313" t="str">
            <v>SMT</v>
          </cell>
          <cell r="C1313">
            <v>1</v>
          </cell>
          <cell r="D1313" t="e">
            <v>#N/A</v>
          </cell>
        </row>
        <row r="1314">
          <cell r="A1314" t="str">
            <v>1RE1TDA0192XJ</v>
          </cell>
          <cell r="B1314" t="str">
            <v>SMT</v>
          </cell>
          <cell r="C1314">
            <v>1</v>
          </cell>
          <cell r="D1314">
            <v>105</v>
          </cell>
        </row>
        <row r="1315">
          <cell r="A1315" t="str">
            <v>1RE2TDA0192XJ</v>
          </cell>
          <cell r="B1315" t="str">
            <v>SMT</v>
          </cell>
          <cell r="C1315">
            <v>1</v>
          </cell>
          <cell r="D1315">
            <v>118</v>
          </cell>
          <cell r="E1315">
            <v>2210</v>
          </cell>
          <cell r="F1315" t="str">
            <v>VC01</v>
          </cell>
          <cell r="G1315" t="str">
            <v>Auto</v>
          </cell>
          <cell r="H1315">
            <v>311</v>
          </cell>
          <cell r="I1315">
            <v>2210</v>
          </cell>
          <cell r="J1315">
            <v>2310</v>
          </cell>
          <cell r="K1315" t="str">
            <v>VC01</v>
          </cell>
        </row>
        <row r="1316">
          <cell r="A1316" t="str">
            <v>1VJ1TDA0194XJ</v>
          </cell>
          <cell r="B1316" t="str">
            <v>SMT</v>
          </cell>
          <cell r="C1316">
            <v>1</v>
          </cell>
          <cell r="D1316" t="e">
            <v>#N/A</v>
          </cell>
        </row>
        <row r="1317">
          <cell r="A1317" t="str">
            <v>1RE1TDA0194XJ</v>
          </cell>
          <cell r="B1317" t="str">
            <v>SMT</v>
          </cell>
          <cell r="C1317">
            <v>1</v>
          </cell>
          <cell r="D1317">
            <v>189</v>
          </cell>
        </row>
        <row r="1318">
          <cell r="A1318" t="str">
            <v>1RE2TDA0194XJ</v>
          </cell>
          <cell r="B1318" t="str">
            <v>SMT</v>
          </cell>
          <cell r="C1318">
            <v>1</v>
          </cell>
          <cell r="D1318">
            <v>328</v>
          </cell>
          <cell r="E1318">
            <v>2210</v>
          </cell>
          <cell r="F1318" t="str">
            <v>VC01</v>
          </cell>
          <cell r="G1318" t="str">
            <v>Auto</v>
          </cell>
          <cell r="H1318">
            <v>311</v>
          </cell>
          <cell r="I1318">
            <v>2210</v>
          </cell>
          <cell r="J1318">
            <v>2310</v>
          </cell>
          <cell r="K1318" t="str">
            <v>VC01</v>
          </cell>
        </row>
        <row r="1319">
          <cell r="A1319" t="str">
            <v>1VJ1TDA5194</v>
          </cell>
          <cell r="B1319" t="str">
            <v>SMT</v>
          </cell>
          <cell r="C1319">
            <v>1</v>
          </cell>
          <cell r="D1319" t="e">
            <v>#N/A</v>
          </cell>
        </row>
        <row r="1320">
          <cell r="A1320" t="str">
            <v>1RE1TDA5194</v>
          </cell>
          <cell r="B1320" t="str">
            <v>SMT</v>
          </cell>
          <cell r="C1320">
            <v>1</v>
          </cell>
          <cell r="D1320">
            <v>88</v>
          </cell>
        </row>
        <row r="1321">
          <cell r="A1321" t="str">
            <v>1RE2TDA5194</v>
          </cell>
          <cell r="B1321" t="str">
            <v>SMT</v>
          </cell>
          <cell r="C1321">
            <v>1</v>
          </cell>
          <cell r="D1321">
            <v>130</v>
          </cell>
          <cell r="E1321">
            <v>2210</v>
          </cell>
          <cell r="F1321" t="str">
            <v>VC01</v>
          </cell>
          <cell r="G1321" t="str">
            <v>Auto</v>
          </cell>
          <cell r="H1321">
            <v>311</v>
          </cell>
          <cell r="I1321">
            <v>2210</v>
          </cell>
          <cell r="J1321">
            <v>2310</v>
          </cell>
          <cell r="K1321" t="str">
            <v>VC01</v>
          </cell>
        </row>
        <row r="1322">
          <cell r="A1322" t="str">
            <v>2AP1PNLPTDSKD23ZA</v>
          </cell>
          <cell r="B1322" t="str">
            <v>DIP</v>
          </cell>
          <cell r="C1322">
            <v>1</v>
          </cell>
          <cell r="D1322" t="e">
            <v>#N/A</v>
          </cell>
          <cell r="E1322">
            <v>2210</v>
          </cell>
          <cell r="F1322" t="str">
            <v>VC01</v>
          </cell>
          <cell r="G1322" t="str">
            <v>Auto</v>
          </cell>
          <cell r="H1322">
            <v>311</v>
          </cell>
          <cell r="I1322">
            <v>2210</v>
          </cell>
          <cell r="J1322">
            <v>2310</v>
          </cell>
          <cell r="K1322" t="str">
            <v>VC01</v>
          </cell>
        </row>
        <row r="1323">
          <cell r="A1323" t="str">
            <v>2RE1TDA6166XJV4</v>
          </cell>
          <cell r="B1323" t="str">
            <v>SMT</v>
          </cell>
          <cell r="C1323">
            <v>1</v>
          </cell>
          <cell r="D1323">
            <v>87</v>
          </cell>
          <cell r="E1323">
            <v>2210</v>
          </cell>
          <cell r="F1323" t="str">
            <v>VC01</v>
          </cell>
          <cell r="G1323" t="str">
            <v>Auto</v>
          </cell>
          <cell r="H1323">
            <v>311</v>
          </cell>
          <cell r="I1323">
            <v>2210</v>
          </cell>
          <cell r="J1323">
            <v>2310</v>
          </cell>
          <cell r="K1323" t="str">
            <v>VC01</v>
          </cell>
        </row>
        <row r="1324">
          <cell r="A1324" t="str">
            <v>PNLB2610ZA-GW</v>
          </cell>
          <cell r="B1324" t="str">
            <v>SMT</v>
          </cell>
          <cell r="C1324">
            <v>1</v>
          </cell>
          <cell r="D1324" t="e">
            <v>#N/A</v>
          </cell>
        </row>
        <row r="1325">
          <cell r="A1325" t="str">
            <v>1RE1LPS2087J1BMZA</v>
          </cell>
          <cell r="B1325" t="str">
            <v>SMT</v>
          </cell>
          <cell r="C1325">
            <v>1</v>
          </cell>
          <cell r="D1325">
            <v>7</v>
          </cell>
        </row>
        <row r="1326">
          <cell r="A1326" t="str">
            <v>1RE2LPS2087J1BMZA</v>
          </cell>
          <cell r="B1326" t="str">
            <v>SMT</v>
          </cell>
          <cell r="C1326">
            <v>1</v>
          </cell>
          <cell r="D1326">
            <v>5</v>
          </cell>
          <cell r="E1326">
            <v>2210</v>
          </cell>
          <cell r="F1326" t="str">
            <v>VC01</v>
          </cell>
          <cell r="G1326" t="str">
            <v>Auto</v>
          </cell>
          <cell r="H1326">
            <v>311</v>
          </cell>
          <cell r="I1326">
            <v>2210</v>
          </cell>
          <cell r="J1326">
            <v>2250</v>
          </cell>
          <cell r="K1326" t="str">
            <v>VC01</v>
          </cell>
        </row>
        <row r="1327">
          <cell r="A1327" t="str">
            <v>1AP1LPS2087J1BMZA</v>
          </cell>
          <cell r="B1327" t="str">
            <v>DIP</v>
          </cell>
          <cell r="C1327">
            <v>1</v>
          </cell>
          <cell r="D1327" t="e">
            <v>#N/A</v>
          </cell>
          <cell r="E1327">
            <v>2210</v>
          </cell>
          <cell r="F1327" t="str">
            <v>VC01</v>
          </cell>
          <cell r="G1327" t="str">
            <v>Auto</v>
          </cell>
          <cell r="H1327">
            <v>311</v>
          </cell>
          <cell r="I1327">
            <v>2210</v>
          </cell>
          <cell r="J1327">
            <v>2250</v>
          </cell>
          <cell r="K1327" t="str">
            <v>VC01</v>
          </cell>
        </row>
        <row r="1328">
          <cell r="A1328" t="str">
            <v>1RE1F232V4</v>
          </cell>
          <cell r="B1328" t="str">
            <v>SMT</v>
          </cell>
          <cell r="C1328">
            <v>1</v>
          </cell>
          <cell r="D1328">
            <v>68</v>
          </cell>
        </row>
        <row r="1329">
          <cell r="A1329" t="str">
            <v>1RE2F232V4</v>
          </cell>
          <cell r="B1329" t="str">
            <v>SMT</v>
          </cell>
          <cell r="C1329">
            <v>1</v>
          </cell>
          <cell r="D1329">
            <v>130</v>
          </cell>
        </row>
        <row r="1330">
          <cell r="A1330" t="str">
            <v>1RH1F232V4</v>
          </cell>
          <cell r="B1330" t="str">
            <v>SMT</v>
          </cell>
          <cell r="C1330">
            <v>1</v>
          </cell>
          <cell r="D1330">
            <v>20</v>
          </cell>
          <cell r="E1330">
            <v>2210</v>
          </cell>
          <cell r="F1330" t="str">
            <v>VC01</v>
          </cell>
          <cell r="G1330" t="str">
            <v>Auto</v>
          </cell>
          <cell r="H1330">
            <v>311</v>
          </cell>
          <cell r="I1330">
            <v>2210</v>
          </cell>
          <cell r="J1330">
            <v>2310</v>
          </cell>
          <cell r="K1330" t="str">
            <v>VC01</v>
          </cell>
        </row>
        <row r="1331">
          <cell r="A1331" t="str">
            <v>1AP1F232V4</v>
          </cell>
          <cell r="B1331" t="str">
            <v>DIP</v>
          </cell>
          <cell r="C1331">
            <v>1</v>
          </cell>
          <cell r="D1331" t="e">
            <v>#N/A</v>
          </cell>
          <cell r="E1331">
            <v>2210</v>
          </cell>
          <cell r="F1331" t="str">
            <v>VC01</v>
          </cell>
          <cell r="G1331" t="str">
            <v>Auto</v>
          </cell>
          <cell r="H1331">
            <v>311</v>
          </cell>
          <cell r="I1331">
            <v>2210</v>
          </cell>
          <cell r="J1331">
            <v>2310</v>
          </cell>
          <cell r="K1331" t="str">
            <v>VC01</v>
          </cell>
        </row>
        <row r="1332">
          <cell r="A1332" t="str">
            <v>1VJ1F233</v>
          </cell>
          <cell r="B1332" t="str">
            <v>SMT</v>
          </cell>
          <cell r="C1332">
            <v>1</v>
          </cell>
          <cell r="D1332" t="e">
            <v>#N/A</v>
          </cell>
        </row>
        <row r="1333">
          <cell r="A1333" t="str">
            <v>1RE1F233</v>
          </cell>
          <cell r="B1333" t="str">
            <v>SMT</v>
          </cell>
          <cell r="C1333">
            <v>1</v>
          </cell>
          <cell r="D1333">
            <v>188</v>
          </cell>
        </row>
        <row r="1334">
          <cell r="A1334" t="str">
            <v>1RE2F233</v>
          </cell>
          <cell r="B1334" t="str">
            <v>SMT</v>
          </cell>
          <cell r="C1334">
            <v>1</v>
          </cell>
          <cell r="D1334">
            <v>614</v>
          </cell>
        </row>
        <row r="1335">
          <cell r="A1335" t="str">
            <v>1RH1F233</v>
          </cell>
          <cell r="B1335" t="str">
            <v>SMT</v>
          </cell>
          <cell r="C1335">
            <v>1</v>
          </cell>
          <cell r="D1335">
            <v>8</v>
          </cell>
          <cell r="E1335">
            <v>2210</v>
          </cell>
          <cell r="F1335" t="str">
            <v>VC01</v>
          </cell>
          <cell r="G1335" t="str">
            <v>Auto</v>
          </cell>
          <cell r="H1335">
            <v>311</v>
          </cell>
          <cell r="I1335">
            <v>2210</v>
          </cell>
          <cell r="J1335">
            <v>2310</v>
          </cell>
          <cell r="K1335" t="str">
            <v>VC01</v>
          </cell>
        </row>
        <row r="1336">
          <cell r="A1336" t="str">
            <v>1AP1F233</v>
          </cell>
          <cell r="B1336" t="str">
            <v>DIP</v>
          </cell>
          <cell r="C1336">
            <v>1</v>
          </cell>
          <cell r="D1336" t="e">
            <v>#N/A</v>
          </cell>
          <cell r="E1336">
            <v>2210</v>
          </cell>
          <cell r="F1336" t="str">
            <v>VC01</v>
          </cell>
          <cell r="G1336" t="str">
            <v>Auto</v>
          </cell>
          <cell r="H1336">
            <v>311</v>
          </cell>
          <cell r="I1336">
            <v>2210</v>
          </cell>
          <cell r="J1336">
            <v>2310</v>
          </cell>
          <cell r="K1336" t="str">
            <v>VC01</v>
          </cell>
        </row>
        <row r="1337">
          <cell r="A1337" t="str">
            <v>1VI1LPUDS124HZA</v>
          </cell>
          <cell r="B1337" t="str">
            <v>SMT</v>
          </cell>
          <cell r="C1337">
            <v>1</v>
          </cell>
          <cell r="D1337" t="e">
            <v>#N/A</v>
          </cell>
        </row>
        <row r="1338">
          <cell r="A1338" t="str">
            <v>1RE1LPUDS124HZA</v>
          </cell>
          <cell r="B1338" t="str">
            <v>SMT</v>
          </cell>
          <cell r="C1338">
            <v>1</v>
          </cell>
          <cell r="D1338">
            <v>188</v>
          </cell>
        </row>
        <row r="1339">
          <cell r="A1339" t="str">
            <v>1RE2LPUDS124HZA</v>
          </cell>
          <cell r="B1339" t="str">
            <v>SMT</v>
          </cell>
          <cell r="C1339">
            <v>1</v>
          </cell>
          <cell r="D1339">
            <v>221</v>
          </cell>
          <cell r="E1339">
            <v>2210</v>
          </cell>
          <cell r="F1339" t="str">
            <v>VC01</v>
          </cell>
          <cell r="G1339" t="str">
            <v>Auto</v>
          </cell>
          <cell r="H1339">
            <v>311</v>
          </cell>
          <cell r="I1339">
            <v>2210</v>
          </cell>
          <cell r="J1339">
            <v>2220</v>
          </cell>
          <cell r="K1339" t="str">
            <v>VC01</v>
          </cell>
        </row>
        <row r="1340">
          <cell r="A1340" t="str">
            <v>1AP1LPUDS124HZA</v>
          </cell>
          <cell r="B1340" t="str">
            <v>DIP</v>
          </cell>
          <cell r="C1340">
            <v>1</v>
          </cell>
          <cell r="D1340" t="e">
            <v>#N/A</v>
          </cell>
          <cell r="E1340">
            <v>2210</v>
          </cell>
          <cell r="F1340" t="str">
            <v>VC01</v>
          </cell>
          <cell r="G1340" t="str">
            <v>Auto</v>
          </cell>
          <cell r="H1340">
            <v>311</v>
          </cell>
          <cell r="I1340">
            <v>2210</v>
          </cell>
          <cell r="J1340">
            <v>2220</v>
          </cell>
          <cell r="K1340" t="str">
            <v>VC01</v>
          </cell>
        </row>
        <row r="1341">
          <cell r="A1341" t="str">
            <v>1VI1LPUT248N1ZA</v>
          </cell>
          <cell r="B1341" t="str">
            <v>SMT</v>
          </cell>
          <cell r="C1341">
            <v>1</v>
          </cell>
          <cell r="D1341" t="e">
            <v>#N/A</v>
          </cell>
        </row>
        <row r="1342">
          <cell r="A1342" t="str">
            <v>1RE1LPUT248N1ZA</v>
          </cell>
          <cell r="B1342" t="str">
            <v>SMT</v>
          </cell>
          <cell r="C1342">
            <v>1</v>
          </cell>
          <cell r="D1342">
            <v>329</v>
          </cell>
        </row>
        <row r="1343">
          <cell r="A1343" t="str">
            <v>1RE2LPUT248N1ZA</v>
          </cell>
          <cell r="B1343" t="str">
            <v>SMT</v>
          </cell>
          <cell r="C1343">
            <v>1</v>
          </cell>
          <cell r="D1343">
            <v>335</v>
          </cell>
          <cell r="E1343">
            <v>2210</v>
          </cell>
          <cell r="F1343" t="str">
            <v>VC01</v>
          </cell>
          <cell r="G1343" t="str">
            <v>Auto</v>
          </cell>
          <cell r="H1343">
            <v>311</v>
          </cell>
          <cell r="I1343">
            <v>2210</v>
          </cell>
          <cell r="J1343">
            <v>2220</v>
          </cell>
          <cell r="K1343" t="str">
            <v>VC01</v>
          </cell>
        </row>
        <row r="1344">
          <cell r="A1344" t="str">
            <v>1AP1LPUT248N1ZA</v>
          </cell>
          <cell r="B1344" t="str">
            <v>DIP</v>
          </cell>
          <cell r="C1344">
            <v>1</v>
          </cell>
          <cell r="D1344" t="e">
            <v>#N/A</v>
          </cell>
          <cell r="E1344">
            <v>2210</v>
          </cell>
          <cell r="F1344" t="str">
            <v>VC01</v>
          </cell>
          <cell r="G1344" t="str">
            <v>Auto</v>
          </cell>
          <cell r="H1344">
            <v>311</v>
          </cell>
          <cell r="I1344">
            <v>2210</v>
          </cell>
          <cell r="J1344">
            <v>2220</v>
          </cell>
          <cell r="K1344" t="str">
            <v>VC01</v>
          </cell>
        </row>
        <row r="1345">
          <cell r="A1345" t="str">
            <v>1RE1NCP1180C</v>
          </cell>
          <cell r="B1345" t="str">
            <v>SMT</v>
          </cell>
          <cell r="C1345">
            <v>1</v>
          </cell>
          <cell r="D1345">
            <v>224</v>
          </cell>
        </row>
        <row r="1346">
          <cell r="A1346" t="str">
            <v>1RE2NCP1180C</v>
          </cell>
          <cell r="B1346" t="str">
            <v>SMT</v>
          </cell>
          <cell r="C1346">
            <v>1</v>
          </cell>
          <cell r="D1346">
            <v>315</v>
          </cell>
        </row>
        <row r="1347">
          <cell r="A1347" t="str">
            <v>1RH1NCP1180C</v>
          </cell>
          <cell r="B1347" t="str">
            <v>SMT</v>
          </cell>
          <cell r="C1347">
            <v>1</v>
          </cell>
          <cell r="D1347">
            <v>25</v>
          </cell>
          <cell r="E1347">
            <v>2210</v>
          </cell>
          <cell r="F1347" t="str">
            <v>VC01</v>
          </cell>
          <cell r="G1347" t="str">
            <v>Auto</v>
          </cell>
          <cell r="H1347">
            <v>311</v>
          </cell>
          <cell r="I1347">
            <v>2210</v>
          </cell>
          <cell r="J1347">
            <v>2310</v>
          </cell>
          <cell r="K1347" t="str">
            <v>VC01</v>
          </cell>
        </row>
        <row r="1348">
          <cell r="A1348" t="str">
            <v>1AP1NCP1180C</v>
          </cell>
          <cell r="B1348" t="str">
            <v>DIP</v>
          </cell>
          <cell r="C1348">
            <v>1</v>
          </cell>
          <cell r="D1348" t="e">
            <v>#N/A</v>
          </cell>
          <cell r="E1348">
            <v>2210</v>
          </cell>
          <cell r="F1348" t="str">
            <v>VC01</v>
          </cell>
          <cell r="G1348" t="str">
            <v>Auto</v>
          </cell>
          <cell r="H1348">
            <v>311</v>
          </cell>
          <cell r="I1348">
            <v>2210</v>
          </cell>
          <cell r="J1348">
            <v>2310</v>
          </cell>
          <cell r="K1348" t="str">
            <v>VC01</v>
          </cell>
        </row>
        <row r="1349">
          <cell r="A1349" t="str">
            <v>1VI1NS5171CN</v>
          </cell>
          <cell r="B1349" t="str">
            <v>SMT</v>
          </cell>
          <cell r="C1349">
            <v>1</v>
          </cell>
          <cell r="D1349" t="e">
            <v>#N/A</v>
          </cell>
        </row>
        <row r="1350">
          <cell r="A1350" t="str">
            <v>1VI2NS5171CN</v>
          </cell>
          <cell r="B1350" t="str">
            <v>SMT</v>
          </cell>
          <cell r="C1350">
            <v>1</v>
          </cell>
          <cell r="D1350" t="e">
            <v>#N/A</v>
          </cell>
        </row>
        <row r="1351">
          <cell r="A1351" t="str">
            <v>1RE1NS5171CN</v>
          </cell>
          <cell r="B1351" t="str">
            <v>SMT</v>
          </cell>
          <cell r="C1351">
            <v>1</v>
          </cell>
          <cell r="D1351">
            <v>321</v>
          </cell>
        </row>
        <row r="1352">
          <cell r="A1352" t="str">
            <v>1RE2NS5171CN</v>
          </cell>
          <cell r="B1352" t="str">
            <v>SMT</v>
          </cell>
          <cell r="C1352">
            <v>1</v>
          </cell>
          <cell r="D1352">
            <v>229</v>
          </cell>
        </row>
        <row r="1353">
          <cell r="A1353" t="str">
            <v>1RH1NS5171CN</v>
          </cell>
          <cell r="B1353" t="str">
            <v>SMT</v>
          </cell>
          <cell r="C1353">
            <v>1</v>
          </cell>
          <cell r="D1353">
            <v>16</v>
          </cell>
          <cell r="E1353">
            <v>2210</v>
          </cell>
          <cell r="F1353" t="str">
            <v>VC01</v>
          </cell>
          <cell r="G1353" t="str">
            <v>Auto</v>
          </cell>
          <cell r="H1353">
            <v>311</v>
          </cell>
          <cell r="I1353">
            <v>2210</v>
          </cell>
          <cell r="J1353">
            <v>2310</v>
          </cell>
          <cell r="K1353" t="str">
            <v>VC01</v>
          </cell>
        </row>
        <row r="1354">
          <cell r="A1354" t="str">
            <v>1AP1NS5171CN</v>
          </cell>
          <cell r="B1354" t="str">
            <v>DIP</v>
          </cell>
          <cell r="C1354">
            <v>1</v>
          </cell>
          <cell r="D1354" t="e">
            <v>#N/A</v>
          </cell>
          <cell r="E1354">
            <v>2210</v>
          </cell>
          <cell r="F1354" t="str">
            <v>VC01</v>
          </cell>
          <cell r="G1354" t="str">
            <v>Auto</v>
          </cell>
          <cell r="H1354">
            <v>311</v>
          </cell>
          <cell r="I1354">
            <v>2210</v>
          </cell>
          <cell r="J1354">
            <v>2310</v>
          </cell>
          <cell r="K1354" t="str">
            <v>VC01</v>
          </cell>
        </row>
        <row r="1355">
          <cell r="A1355" t="str">
            <v>1RE1TDA0161V4</v>
          </cell>
          <cell r="B1355" t="str">
            <v>SMT</v>
          </cell>
          <cell r="C1355">
            <v>1</v>
          </cell>
          <cell r="D1355">
            <v>196</v>
          </cell>
        </row>
        <row r="1356">
          <cell r="A1356" t="str">
            <v>1RE2TDA0161V4</v>
          </cell>
          <cell r="B1356" t="str">
            <v>SMT</v>
          </cell>
          <cell r="C1356">
            <v>1</v>
          </cell>
          <cell r="D1356">
            <v>67</v>
          </cell>
          <cell r="E1356">
            <v>2210</v>
          </cell>
          <cell r="F1356" t="str">
            <v>VC01</v>
          </cell>
          <cell r="G1356" t="str">
            <v>Auto</v>
          </cell>
          <cell r="H1356">
            <v>311</v>
          </cell>
          <cell r="I1356">
            <v>2210</v>
          </cell>
          <cell r="J1356">
            <v>2310</v>
          </cell>
          <cell r="K1356" t="str">
            <v>VC01</v>
          </cell>
        </row>
        <row r="1357">
          <cell r="A1357" t="str">
            <v>1AP1TDA0161V4</v>
          </cell>
          <cell r="B1357" t="str">
            <v>DIP</v>
          </cell>
          <cell r="C1357">
            <v>1</v>
          </cell>
          <cell r="D1357" t="e">
            <v>#N/A</v>
          </cell>
          <cell r="E1357">
            <v>2210</v>
          </cell>
          <cell r="F1357" t="str">
            <v>VC01</v>
          </cell>
          <cell r="G1357" t="str">
            <v>Auto</v>
          </cell>
          <cell r="H1357">
            <v>311</v>
          </cell>
          <cell r="I1357">
            <v>2210</v>
          </cell>
          <cell r="J1357">
            <v>2310</v>
          </cell>
          <cell r="K1357" t="str">
            <v>VC01</v>
          </cell>
        </row>
        <row r="1358">
          <cell r="A1358" t="str">
            <v>1RE1TDA0164V4</v>
          </cell>
          <cell r="B1358" t="str">
            <v>SMT</v>
          </cell>
          <cell r="C1358">
            <v>1</v>
          </cell>
          <cell r="D1358">
            <v>74</v>
          </cell>
          <cell r="E1358">
            <v>2210</v>
          </cell>
          <cell r="F1358" t="str">
            <v>VC01</v>
          </cell>
          <cell r="G1358" t="str">
            <v>Auto</v>
          </cell>
          <cell r="H1358">
            <v>311</v>
          </cell>
          <cell r="I1358">
            <v>2210</v>
          </cell>
          <cell r="J1358">
            <v>2310</v>
          </cell>
          <cell r="K1358" t="str">
            <v>VC01</v>
          </cell>
        </row>
        <row r="1359">
          <cell r="A1359" t="str">
            <v>1AP1TDA0164V4</v>
          </cell>
          <cell r="B1359" t="str">
            <v>DIP</v>
          </cell>
          <cell r="C1359">
            <v>1</v>
          </cell>
          <cell r="D1359" t="e">
            <v>#N/A</v>
          </cell>
          <cell r="E1359">
            <v>2210</v>
          </cell>
          <cell r="F1359" t="str">
            <v>VC01</v>
          </cell>
          <cell r="G1359" t="str">
            <v>Auto</v>
          </cell>
          <cell r="H1359">
            <v>311</v>
          </cell>
          <cell r="I1359">
            <v>2210</v>
          </cell>
          <cell r="J1359">
            <v>2310</v>
          </cell>
          <cell r="K1359" t="str">
            <v>VC01</v>
          </cell>
        </row>
        <row r="1360">
          <cell r="A1360" t="str">
            <v>1RE1TDA0174V4</v>
          </cell>
          <cell r="B1360" t="str">
            <v>SMT</v>
          </cell>
          <cell r="C1360">
            <v>1</v>
          </cell>
          <cell r="D1360">
            <v>197</v>
          </cell>
        </row>
        <row r="1361">
          <cell r="A1361" t="str">
            <v>1RE2TDA0174V4</v>
          </cell>
          <cell r="B1361" t="str">
            <v>SMT</v>
          </cell>
          <cell r="C1361">
            <v>1</v>
          </cell>
          <cell r="D1361">
            <v>381</v>
          </cell>
        </row>
        <row r="1362">
          <cell r="A1362" t="str">
            <v>1RH1TDA0174V4</v>
          </cell>
          <cell r="B1362" t="str">
            <v>SMT</v>
          </cell>
          <cell r="C1362">
            <v>1</v>
          </cell>
          <cell r="D1362">
            <v>101</v>
          </cell>
          <cell r="E1362">
            <v>2210</v>
          </cell>
          <cell r="F1362" t="str">
            <v>VC01</v>
          </cell>
          <cell r="G1362" t="str">
            <v>Auto</v>
          </cell>
          <cell r="H1362">
            <v>311</v>
          </cell>
          <cell r="I1362">
            <v>2210</v>
          </cell>
          <cell r="J1362">
            <v>2310</v>
          </cell>
          <cell r="K1362" t="str">
            <v>VC01</v>
          </cell>
        </row>
        <row r="1363">
          <cell r="A1363" t="str">
            <v>1AP1TDA0174V4</v>
          </cell>
          <cell r="B1363" t="str">
            <v>DIP</v>
          </cell>
          <cell r="C1363">
            <v>1</v>
          </cell>
          <cell r="D1363" t="e">
            <v>#N/A</v>
          </cell>
          <cell r="E1363">
            <v>2210</v>
          </cell>
          <cell r="F1363" t="str">
            <v>VC01</v>
          </cell>
          <cell r="G1363" t="str">
            <v>Auto</v>
          </cell>
          <cell r="H1363">
            <v>311</v>
          </cell>
          <cell r="I1363">
            <v>2210</v>
          </cell>
          <cell r="J1363">
            <v>2310</v>
          </cell>
          <cell r="K1363" t="str">
            <v>VC01</v>
          </cell>
        </row>
        <row r="1364">
          <cell r="A1364" t="str">
            <v>1RE1TDA0175XV4</v>
          </cell>
          <cell r="B1364" t="str">
            <v>SMT</v>
          </cell>
          <cell r="C1364">
            <v>1</v>
          </cell>
          <cell r="D1364">
            <v>280</v>
          </cell>
        </row>
        <row r="1365">
          <cell r="A1365" t="str">
            <v>1RE2TDA0175XV4</v>
          </cell>
          <cell r="B1365" t="str">
            <v>SMT</v>
          </cell>
          <cell r="C1365">
            <v>1</v>
          </cell>
          <cell r="D1365">
            <v>509</v>
          </cell>
        </row>
        <row r="1366">
          <cell r="A1366" t="str">
            <v>1RH1TDA0175XV4</v>
          </cell>
          <cell r="B1366" t="str">
            <v>SMT</v>
          </cell>
          <cell r="C1366">
            <v>1</v>
          </cell>
          <cell r="D1366">
            <v>117</v>
          </cell>
          <cell r="E1366">
            <v>2210</v>
          </cell>
          <cell r="F1366" t="str">
            <v>VC01</v>
          </cell>
          <cell r="G1366" t="str">
            <v>Auto</v>
          </cell>
          <cell r="H1366">
            <v>311</v>
          </cell>
          <cell r="I1366">
            <v>2210</v>
          </cell>
          <cell r="J1366">
            <v>2310</v>
          </cell>
          <cell r="K1366" t="str">
            <v>VC01</v>
          </cell>
        </row>
        <row r="1367">
          <cell r="A1367" t="str">
            <v>1AP1TDA0175XV4</v>
          </cell>
          <cell r="B1367" t="str">
            <v>DIP</v>
          </cell>
          <cell r="C1367">
            <v>1</v>
          </cell>
          <cell r="D1367" t="e">
            <v>#N/A</v>
          </cell>
          <cell r="E1367">
            <v>2210</v>
          </cell>
          <cell r="F1367" t="str">
            <v>VC01</v>
          </cell>
          <cell r="G1367" t="str">
            <v>Auto</v>
          </cell>
          <cell r="H1367">
            <v>311</v>
          </cell>
          <cell r="I1367">
            <v>2210</v>
          </cell>
          <cell r="J1367">
            <v>2310</v>
          </cell>
          <cell r="K1367" t="str">
            <v>VC01</v>
          </cell>
        </row>
        <row r="1368">
          <cell r="A1368" t="str">
            <v>1VI1TDA0184CNV4</v>
          </cell>
          <cell r="B1368" t="str">
            <v>SMT</v>
          </cell>
          <cell r="C1368">
            <v>1</v>
          </cell>
          <cell r="D1368" t="e">
            <v>#N/A</v>
          </cell>
        </row>
        <row r="1369">
          <cell r="A1369" t="str">
            <v>1RE1TDA0184CNV4</v>
          </cell>
          <cell r="B1369" t="str">
            <v>SMT</v>
          </cell>
          <cell r="C1369">
            <v>1</v>
          </cell>
          <cell r="D1369">
            <v>502</v>
          </cell>
        </row>
        <row r="1370">
          <cell r="A1370" t="str">
            <v>1RE2TDA0184CNV4</v>
          </cell>
          <cell r="B1370" t="str">
            <v>SMT</v>
          </cell>
          <cell r="C1370">
            <v>1</v>
          </cell>
          <cell r="D1370">
            <v>498</v>
          </cell>
        </row>
        <row r="1371">
          <cell r="A1371" t="str">
            <v>1RH1TDA0184CNV4</v>
          </cell>
          <cell r="B1371" t="str">
            <v>SMT</v>
          </cell>
          <cell r="C1371">
            <v>1</v>
          </cell>
          <cell r="D1371">
            <v>37</v>
          </cell>
          <cell r="E1371">
            <v>2210</v>
          </cell>
          <cell r="F1371" t="str">
            <v>VC01</v>
          </cell>
          <cell r="G1371" t="str">
            <v>Auto</v>
          </cell>
          <cell r="H1371">
            <v>311</v>
          </cell>
          <cell r="I1371">
            <v>2210</v>
          </cell>
          <cell r="J1371">
            <v>2310</v>
          </cell>
          <cell r="K1371" t="str">
            <v>VC01</v>
          </cell>
        </row>
        <row r="1372">
          <cell r="A1372" t="str">
            <v>1AP1TDA0184CNV4</v>
          </cell>
          <cell r="B1372" t="str">
            <v>DIP</v>
          </cell>
          <cell r="C1372">
            <v>1</v>
          </cell>
          <cell r="D1372" t="e">
            <v>#N/A</v>
          </cell>
          <cell r="E1372">
            <v>2210</v>
          </cell>
          <cell r="F1372" t="str">
            <v>VC01</v>
          </cell>
          <cell r="G1372" t="str">
            <v>Auto</v>
          </cell>
          <cell r="H1372">
            <v>311</v>
          </cell>
          <cell r="I1372">
            <v>2210</v>
          </cell>
          <cell r="J1372">
            <v>2310</v>
          </cell>
          <cell r="K1372" t="str">
            <v>VC01</v>
          </cell>
        </row>
        <row r="1373">
          <cell r="A1373" t="str">
            <v>1VJ1TDA0490XJV4</v>
          </cell>
          <cell r="B1373" t="str">
            <v>SMT</v>
          </cell>
          <cell r="C1373">
            <v>1</v>
          </cell>
          <cell r="D1373" t="e">
            <v>#N/A</v>
          </cell>
        </row>
        <row r="1374">
          <cell r="A1374" t="str">
            <v>1VJ2TDA0490XJV4</v>
          </cell>
          <cell r="B1374" t="str">
            <v>SMT</v>
          </cell>
          <cell r="C1374">
            <v>1</v>
          </cell>
          <cell r="D1374" t="e">
            <v>#N/A</v>
          </cell>
        </row>
        <row r="1375">
          <cell r="A1375" t="str">
            <v>1RE1TDA0490XJV4</v>
          </cell>
          <cell r="B1375" t="str">
            <v>SMT</v>
          </cell>
          <cell r="C1375">
            <v>1</v>
          </cell>
          <cell r="D1375">
            <v>256</v>
          </cell>
        </row>
        <row r="1376">
          <cell r="A1376" t="str">
            <v>1RE2TDA0490XJV4</v>
          </cell>
          <cell r="B1376" t="str">
            <v>SMT</v>
          </cell>
          <cell r="C1376">
            <v>1</v>
          </cell>
          <cell r="D1376">
            <v>443</v>
          </cell>
          <cell r="E1376">
            <v>2210</v>
          </cell>
          <cell r="F1376" t="str">
            <v>VC01</v>
          </cell>
          <cell r="G1376" t="str">
            <v>Auto</v>
          </cell>
          <cell r="H1376">
            <v>311</v>
          </cell>
          <cell r="I1376">
            <v>2210</v>
          </cell>
          <cell r="J1376">
            <v>2310</v>
          </cell>
          <cell r="K1376" t="str">
            <v>VC01</v>
          </cell>
        </row>
        <row r="1377">
          <cell r="A1377" t="str">
            <v>1AP1TDA0490XJV4</v>
          </cell>
          <cell r="B1377" t="str">
            <v>DIP</v>
          </cell>
          <cell r="C1377">
            <v>1</v>
          </cell>
          <cell r="D1377" t="e">
            <v>#N/A</v>
          </cell>
          <cell r="E1377">
            <v>2210</v>
          </cell>
          <cell r="F1377" t="str">
            <v>VC01</v>
          </cell>
          <cell r="G1377" t="str">
            <v>Auto</v>
          </cell>
          <cell r="H1377">
            <v>311</v>
          </cell>
          <cell r="I1377">
            <v>2210</v>
          </cell>
          <cell r="J1377">
            <v>2310</v>
          </cell>
          <cell r="K1377" t="str">
            <v>VC01</v>
          </cell>
        </row>
        <row r="1378">
          <cell r="A1378" t="str">
            <v>1CM1TDA3171XJV4</v>
          </cell>
          <cell r="B1378" t="str">
            <v>SMT</v>
          </cell>
          <cell r="C1378">
            <v>1</v>
          </cell>
          <cell r="D1378">
            <v>107</v>
          </cell>
        </row>
        <row r="1379">
          <cell r="A1379" t="str">
            <v>1RE2TDA3171XJV4</v>
          </cell>
          <cell r="B1379" t="str">
            <v>SMT</v>
          </cell>
          <cell r="C1379">
            <v>1</v>
          </cell>
          <cell r="D1379">
            <v>175</v>
          </cell>
        </row>
        <row r="1380">
          <cell r="A1380" t="str">
            <v>1RH1TDA3171XJV4</v>
          </cell>
          <cell r="B1380" t="str">
            <v>SMT</v>
          </cell>
          <cell r="C1380">
            <v>1</v>
          </cell>
          <cell r="D1380">
            <v>13</v>
          </cell>
          <cell r="E1380">
            <v>2210</v>
          </cell>
          <cell r="F1380" t="str">
            <v>VC01</v>
          </cell>
          <cell r="G1380" t="str">
            <v>Auto</v>
          </cell>
          <cell r="H1380">
            <v>311</v>
          </cell>
          <cell r="I1380">
            <v>2210</v>
          </cell>
          <cell r="J1380">
            <v>2310</v>
          </cell>
          <cell r="K1380" t="str">
            <v>VC01</v>
          </cell>
        </row>
        <row r="1381">
          <cell r="A1381" t="str">
            <v>1AP1TDA3171XJV4</v>
          </cell>
          <cell r="B1381" t="str">
            <v>DIP</v>
          </cell>
          <cell r="C1381">
            <v>1</v>
          </cell>
          <cell r="D1381" t="e">
            <v>#N/A</v>
          </cell>
          <cell r="E1381">
            <v>2210</v>
          </cell>
          <cell r="F1381" t="str">
            <v>VC01</v>
          </cell>
          <cell r="G1381" t="str">
            <v>Auto</v>
          </cell>
          <cell r="H1381">
            <v>311</v>
          </cell>
          <cell r="I1381">
            <v>2210</v>
          </cell>
          <cell r="J1381">
            <v>2310</v>
          </cell>
          <cell r="K1381" t="str">
            <v>VC01</v>
          </cell>
        </row>
        <row r="1382">
          <cell r="A1382" t="str">
            <v>1CM1TDA3172NEV4</v>
          </cell>
          <cell r="B1382" t="str">
            <v>SMT</v>
          </cell>
          <cell r="C1382">
            <v>1</v>
          </cell>
          <cell r="D1382">
            <v>263</v>
          </cell>
        </row>
        <row r="1383">
          <cell r="A1383" t="str">
            <v>1RE2TDA3172NEV4</v>
          </cell>
          <cell r="B1383" t="str">
            <v>SMT</v>
          </cell>
          <cell r="C1383">
            <v>1</v>
          </cell>
          <cell r="D1383">
            <v>394</v>
          </cell>
        </row>
        <row r="1384">
          <cell r="A1384" t="str">
            <v>1RH1TDA3172NEV4</v>
          </cell>
          <cell r="B1384" t="str">
            <v>SMT</v>
          </cell>
          <cell r="C1384">
            <v>1</v>
          </cell>
          <cell r="D1384">
            <v>59</v>
          </cell>
          <cell r="E1384">
            <v>2210</v>
          </cell>
          <cell r="F1384" t="str">
            <v>VC01</v>
          </cell>
          <cell r="G1384" t="str">
            <v>Auto</v>
          </cell>
          <cell r="H1384">
            <v>311</v>
          </cell>
          <cell r="I1384">
            <v>2210</v>
          </cell>
          <cell r="J1384">
            <v>2310</v>
          </cell>
          <cell r="K1384" t="str">
            <v>VC01</v>
          </cell>
        </row>
        <row r="1385">
          <cell r="A1385" t="str">
            <v>1AP1TDA3172NEV4</v>
          </cell>
          <cell r="B1385" t="str">
            <v>DIP</v>
          </cell>
          <cell r="C1385">
            <v>1</v>
          </cell>
          <cell r="D1385" t="e">
            <v>#N/A</v>
          </cell>
          <cell r="E1385">
            <v>2210</v>
          </cell>
          <cell r="F1385" t="str">
            <v>VC01</v>
          </cell>
          <cell r="G1385" t="str">
            <v>Auto</v>
          </cell>
          <cell r="H1385">
            <v>311</v>
          </cell>
          <cell r="I1385">
            <v>2210</v>
          </cell>
          <cell r="J1385">
            <v>2310</v>
          </cell>
          <cell r="K1385" t="str">
            <v>VC01</v>
          </cell>
        </row>
        <row r="1386">
          <cell r="A1386" t="str">
            <v>1VJ1LPTCA385RURZA</v>
          </cell>
          <cell r="B1386" t="str">
            <v>SMT</v>
          </cell>
          <cell r="C1386">
            <v>1</v>
          </cell>
          <cell r="D1386" t="e">
            <v>#N/A</v>
          </cell>
        </row>
        <row r="1387">
          <cell r="A1387" t="str">
            <v>1RE1LPTCA385RURZA</v>
          </cell>
          <cell r="B1387" t="str">
            <v>SMT</v>
          </cell>
          <cell r="C1387">
            <v>1</v>
          </cell>
          <cell r="D1387">
            <v>22</v>
          </cell>
        </row>
        <row r="1388">
          <cell r="A1388" t="str">
            <v>1RE2LPTCA385RURZA</v>
          </cell>
          <cell r="B1388" t="str">
            <v>SMT</v>
          </cell>
          <cell r="C1388">
            <v>1</v>
          </cell>
          <cell r="D1388">
            <v>162</v>
          </cell>
          <cell r="E1388">
            <v>2210</v>
          </cell>
          <cell r="F1388" t="str">
            <v>VC01</v>
          </cell>
          <cell r="G1388" t="str">
            <v>Auto</v>
          </cell>
          <cell r="H1388">
            <v>311</v>
          </cell>
          <cell r="I1388">
            <v>2210</v>
          </cell>
          <cell r="J1388">
            <v>2220</v>
          </cell>
          <cell r="K1388" t="str">
            <v>VC01</v>
          </cell>
        </row>
        <row r="1389">
          <cell r="A1389" t="str">
            <v>1VJ1TDA0191XV4</v>
          </cell>
          <cell r="B1389" t="str">
            <v>SMT</v>
          </cell>
          <cell r="C1389">
            <v>1</v>
          </cell>
          <cell r="D1389" t="e">
            <v>#N/A</v>
          </cell>
        </row>
        <row r="1390">
          <cell r="A1390" t="str">
            <v>1RE1TDA0191XV4</v>
          </cell>
          <cell r="B1390" t="str">
            <v>SMT</v>
          </cell>
          <cell r="C1390">
            <v>1</v>
          </cell>
          <cell r="D1390">
            <v>168</v>
          </cell>
        </row>
        <row r="1391">
          <cell r="A1391" t="str">
            <v>1RE2TDA0191XV4</v>
          </cell>
          <cell r="B1391" t="str">
            <v>SMT</v>
          </cell>
          <cell r="C1391">
            <v>1</v>
          </cell>
          <cell r="D1391">
            <v>160</v>
          </cell>
          <cell r="E1391">
            <v>2210</v>
          </cell>
          <cell r="F1391" t="str">
            <v>VC01</v>
          </cell>
          <cell r="G1391" t="str">
            <v>Auto</v>
          </cell>
          <cell r="H1391">
            <v>311</v>
          </cell>
          <cell r="I1391">
            <v>2210</v>
          </cell>
          <cell r="J1391">
            <v>2310</v>
          </cell>
          <cell r="K1391" t="str">
            <v>VC01</v>
          </cell>
        </row>
        <row r="1392">
          <cell r="A1392" t="str">
            <v>1RE1TDA0196V4</v>
          </cell>
          <cell r="B1392" t="str">
            <v>SMT</v>
          </cell>
          <cell r="C1392">
            <v>1</v>
          </cell>
          <cell r="D1392">
            <v>30</v>
          </cell>
        </row>
        <row r="1393">
          <cell r="A1393" t="str">
            <v>1RE2TDA0196V4</v>
          </cell>
          <cell r="B1393" t="str">
            <v>SMT</v>
          </cell>
          <cell r="C1393">
            <v>1</v>
          </cell>
          <cell r="D1393">
            <v>50</v>
          </cell>
          <cell r="E1393">
            <v>2210</v>
          </cell>
          <cell r="F1393" t="str">
            <v>VC01</v>
          </cell>
          <cell r="G1393" t="str">
            <v>Auto</v>
          </cell>
          <cell r="H1393">
            <v>311</v>
          </cell>
          <cell r="I1393">
            <v>2210</v>
          </cell>
          <cell r="J1393">
            <v>2310</v>
          </cell>
          <cell r="K1393" t="str">
            <v>VC01</v>
          </cell>
        </row>
        <row r="1394">
          <cell r="A1394" t="str">
            <v>VBD921PBMVV4</v>
          </cell>
          <cell r="B1394" t="str">
            <v>SMT</v>
          </cell>
          <cell r="C1394">
            <v>1</v>
          </cell>
          <cell r="D1394">
            <v>271</v>
          </cell>
        </row>
        <row r="1395">
          <cell r="A1395" t="str">
            <v>VBD921PBTVV4</v>
          </cell>
          <cell r="B1395" t="str">
            <v>SMT</v>
          </cell>
          <cell r="C1395">
            <v>1</v>
          </cell>
          <cell r="D1395">
            <v>273</v>
          </cell>
          <cell r="E1395">
            <v>2210</v>
          </cell>
          <cell r="F1395" t="str">
            <v>VC01</v>
          </cell>
          <cell r="G1395" t="str">
            <v>Auto</v>
          </cell>
          <cell r="H1395">
            <v>311</v>
          </cell>
          <cell r="I1395">
            <v>2210</v>
          </cell>
          <cell r="J1395">
            <v>2310</v>
          </cell>
          <cell r="K1395" t="str">
            <v>VC01</v>
          </cell>
        </row>
        <row r="1396">
          <cell r="A1396" t="str">
            <v>VBD921PBV4</v>
          </cell>
          <cell r="B1396" t="str">
            <v>SMT</v>
          </cell>
          <cell r="C1396">
            <v>1</v>
          </cell>
          <cell r="D1396" t="e">
            <v>#N/A</v>
          </cell>
        </row>
        <row r="1397">
          <cell r="A1397" t="str">
            <v>1VJ1NS0130CN</v>
          </cell>
          <cell r="B1397" t="str">
            <v>SMT</v>
          </cell>
          <cell r="C1397">
            <v>1</v>
          </cell>
          <cell r="D1397" t="e">
            <v>#N/A</v>
          </cell>
        </row>
        <row r="1398">
          <cell r="A1398" t="str">
            <v>1RE1NS0130CN</v>
          </cell>
          <cell r="B1398" t="str">
            <v>SMT</v>
          </cell>
          <cell r="C1398">
            <v>1</v>
          </cell>
          <cell r="D1398">
            <v>51</v>
          </cell>
        </row>
        <row r="1399">
          <cell r="A1399" t="str">
            <v>1RE2NS0130CN</v>
          </cell>
          <cell r="B1399" t="str">
            <v>SMT</v>
          </cell>
          <cell r="C1399">
            <v>1</v>
          </cell>
          <cell r="D1399">
            <v>511</v>
          </cell>
          <cell r="E1399">
            <v>2210</v>
          </cell>
          <cell r="F1399" t="str">
            <v>VC01</v>
          </cell>
          <cell r="G1399" t="str">
            <v>Auto</v>
          </cell>
          <cell r="H1399">
            <v>311</v>
          </cell>
          <cell r="I1399">
            <v>2210</v>
          </cell>
          <cell r="J1399">
            <v>2310</v>
          </cell>
          <cell r="K1399" t="str">
            <v>VC01</v>
          </cell>
        </row>
        <row r="1400">
          <cell r="A1400" t="str">
            <v>1AP1NS0130CN</v>
          </cell>
          <cell r="B1400" t="str">
            <v>DIP</v>
          </cell>
          <cell r="C1400">
            <v>1</v>
          </cell>
          <cell r="D1400" t="e">
            <v>#N/A</v>
          </cell>
          <cell r="E1400">
            <v>2210</v>
          </cell>
          <cell r="F1400" t="str">
            <v>VC01</v>
          </cell>
          <cell r="G1400" t="str">
            <v>Auto</v>
          </cell>
          <cell r="H1400">
            <v>311</v>
          </cell>
          <cell r="I1400">
            <v>2210</v>
          </cell>
          <cell r="J1400">
            <v>2310</v>
          </cell>
          <cell r="K1400" t="str">
            <v>VC01</v>
          </cell>
        </row>
        <row r="1401">
          <cell r="A1401" t="str">
            <v>1VJ1LP2600ZA</v>
          </cell>
          <cell r="B1401" t="str">
            <v>SMT</v>
          </cell>
          <cell r="C1401">
            <v>1</v>
          </cell>
          <cell r="D1401" t="e">
            <v>#N/A</v>
          </cell>
        </row>
        <row r="1402">
          <cell r="A1402" t="str">
            <v>1VJ2LP2600ZA</v>
          </cell>
          <cell r="B1402" t="str">
            <v>SMT</v>
          </cell>
          <cell r="C1402">
            <v>1</v>
          </cell>
          <cell r="D1402" t="e">
            <v>#N/A</v>
          </cell>
        </row>
        <row r="1403">
          <cell r="A1403" t="str">
            <v>1RE1LP2600ZA</v>
          </cell>
          <cell r="B1403" t="str">
            <v>SMT</v>
          </cell>
          <cell r="C1403">
            <v>1</v>
          </cell>
          <cell r="D1403">
            <v>216</v>
          </cell>
        </row>
        <row r="1404">
          <cell r="A1404" t="str">
            <v>1RE2LP2600ZA</v>
          </cell>
          <cell r="B1404" t="str">
            <v>SMT</v>
          </cell>
          <cell r="C1404">
            <v>1</v>
          </cell>
          <cell r="D1404">
            <v>335</v>
          </cell>
        </row>
        <row r="1405">
          <cell r="A1405" t="str">
            <v>1RH1LP2600ZA</v>
          </cell>
          <cell r="B1405" t="str">
            <v>SMT</v>
          </cell>
          <cell r="C1405">
            <v>1</v>
          </cell>
          <cell r="D1405">
            <v>2</v>
          </cell>
          <cell r="E1405">
            <v>2210</v>
          </cell>
          <cell r="F1405" t="str">
            <v>VC01</v>
          </cell>
          <cell r="G1405" t="str">
            <v>Auto</v>
          </cell>
          <cell r="H1405">
            <v>311</v>
          </cell>
          <cell r="I1405">
            <v>2210</v>
          </cell>
          <cell r="J1405">
            <v>2220</v>
          </cell>
          <cell r="K1405" t="str">
            <v>VC01</v>
          </cell>
        </row>
        <row r="1406">
          <cell r="A1406" t="str">
            <v>1AP1LP2600ZA</v>
          </cell>
          <cell r="B1406" t="str">
            <v>DIP</v>
          </cell>
          <cell r="C1406">
            <v>1</v>
          </cell>
          <cell r="D1406" t="e">
            <v>#N/A</v>
          </cell>
          <cell r="E1406">
            <v>2210</v>
          </cell>
          <cell r="F1406" t="str">
            <v>VC01</v>
          </cell>
          <cell r="G1406" t="str">
            <v>Auto</v>
          </cell>
          <cell r="H1406">
            <v>311</v>
          </cell>
          <cell r="I1406">
            <v>2210</v>
          </cell>
          <cell r="J1406">
            <v>2220</v>
          </cell>
          <cell r="K1406" t="str">
            <v>VC01</v>
          </cell>
        </row>
        <row r="1407">
          <cell r="A1407" t="str">
            <v>1VI1LPMB2130LAMZA</v>
          </cell>
          <cell r="B1407" t="str">
            <v>SMT</v>
          </cell>
          <cell r="C1407">
            <v>1</v>
          </cell>
          <cell r="D1407" t="e">
            <v>#N/A</v>
          </cell>
        </row>
        <row r="1408">
          <cell r="A1408" t="str">
            <v>1RE1LPMB2130LAMZA</v>
          </cell>
          <cell r="B1408" t="str">
            <v>SMT</v>
          </cell>
          <cell r="C1408">
            <v>1</v>
          </cell>
          <cell r="D1408">
            <v>262</v>
          </cell>
        </row>
        <row r="1409">
          <cell r="A1409" t="str">
            <v>1RE2LPMB2130LAMZA</v>
          </cell>
          <cell r="B1409" t="str">
            <v>SMT</v>
          </cell>
          <cell r="C1409">
            <v>1</v>
          </cell>
          <cell r="D1409">
            <v>351</v>
          </cell>
        </row>
        <row r="1410">
          <cell r="A1410" t="str">
            <v>1RH1LPMB2130LAMZA</v>
          </cell>
          <cell r="B1410" t="str">
            <v>SMT</v>
          </cell>
          <cell r="C1410">
            <v>1</v>
          </cell>
          <cell r="D1410">
            <v>8</v>
          </cell>
          <cell r="E1410">
            <v>2210</v>
          </cell>
          <cell r="F1410" t="str">
            <v>VC01</v>
          </cell>
          <cell r="G1410" t="str">
            <v>Auto</v>
          </cell>
          <cell r="H1410">
            <v>311</v>
          </cell>
          <cell r="I1410">
            <v>2210</v>
          </cell>
          <cell r="J1410">
            <v>2260</v>
          </cell>
          <cell r="K1410" t="str">
            <v>VC01</v>
          </cell>
        </row>
        <row r="1411">
          <cell r="A1411" t="str">
            <v>1AP1LPMB2130LAMZA</v>
          </cell>
          <cell r="B1411" t="str">
            <v>DIP</v>
          </cell>
          <cell r="C1411">
            <v>1</v>
          </cell>
          <cell r="D1411" t="e">
            <v>#N/A</v>
          </cell>
          <cell r="E1411">
            <v>2210</v>
          </cell>
          <cell r="F1411" t="str">
            <v>VC01</v>
          </cell>
          <cell r="G1411" t="str">
            <v>Auto</v>
          </cell>
          <cell r="H1411">
            <v>311</v>
          </cell>
          <cell r="I1411">
            <v>2210</v>
          </cell>
          <cell r="J1411">
            <v>2260</v>
          </cell>
          <cell r="K1411" t="str">
            <v>VC01</v>
          </cell>
        </row>
        <row r="1412">
          <cell r="A1412" t="str">
            <v>1VI1LPMB2130SXMZA</v>
          </cell>
          <cell r="B1412" t="str">
            <v>SMT</v>
          </cell>
          <cell r="C1412">
            <v>1</v>
          </cell>
          <cell r="D1412" t="e">
            <v>#N/A</v>
          </cell>
        </row>
        <row r="1413">
          <cell r="A1413" t="str">
            <v>1RE1LPMB2130SXMZA</v>
          </cell>
          <cell r="B1413" t="str">
            <v>SMT</v>
          </cell>
          <cell r="C1413">
            <v>1</v>
          </cell>
          <cell r="D1413">
            <v>262</v>
          </cell>
        </row>
        <row r="1414">
          <cell r="A1414" t="str">
            <v>1RE2LPMB2130SXMZA</v>
          </cell>
          <cell r="B1414" t="str">
            <v>SMT</v>
          </cell>
          <cell r="C1414">
            <v>1</v>
          </cell>
          <cell r="D1414">
            <v>351</v>
          </cell>
        </row>
        <row r="1415">
          <cell r="A1415" t="str">
            <v>1RH1LPMB2130SXMZA</v>
          </cell>
          <cell r="B1415" t="str">
            <v>SMT</v>
          </cell>
          <cell r="C1415">
            <v>1</v>
          </cell>
          <cell r="D1415">
            <v>7</v>
          </cell>
          <cell r="E1415">
            <v>2210</v>
          </cell>
          <cell r="F1415" t="str">
            <v>VC01</v>
          </cell>
          <cell r="G1415" t="str">
            <v>Auto</v>
          </cell>
          <cell r="H1415">
            <v>311</v>
          </cell>
          <cell r="I1415">
            <v>2210</v>
          </cell>
          <cell r="J1415">
            <v>2260</v>
          </cell>
          <cell r="K1415" t="str">
            <v>VC01</v>
          </cell>
        </row>
        <row r="1416">
          <cell r="A1416" t="str">
            <v>1AP1LPMB2130SXMZA</v>
          </cell>
          <cell r="B1416" t="str">
            <v>DIP</v>
          </cell>
          <cell r="C1416">
            <v>1</v>
          </cell>
          <cell r="D1416" t="e">
            <v>#N/A</v>
          </cell>
          <cell r="E1416">
            <v>2210</v>
          </cell>
          <cell r="F1416" t="str">
            <v>VC01</v>
          </cell>
          <cell r="G1416" t="str">
            <v>Auto</v>
          </cell>
          <cell r="H1416">
            <v>311</v>
          </cell>
          <cell r="I1416">
            <v>2210</v>
          </cell>
          <cell r="J1416">
            <v>2260</v>
          </cell>
          <cell r="K1416" t="str">
            <v>VC01</v>
          </cell>
        </row>
        <row r="1417">
          <cell r="A1417" t="str">
            <v>1RE1NCP1172XJ</v>
          </cell>
          <cell r="B1417" t="str">
            <v>SMT</v>
          </cell>
          <cell r="C1417">
            <v>1</v>
          </cell>
          <cell r="D1417">
            <v>538</v>
          </cell>
        </row>
        <row r="1418">
          <cell r="A1418" t="str">
            <v>1RE2NCP1172XJ</v>
          </cell>
          <cell r="B1418" t="str">
            <v>SMT</v>
          </cell>
          <cell r="C1418">
            <v>1</v>
          </cell>
          <cell r="D1418">
            <v>566</v>
          </cell>
        </row>
        <row r="1419">
          <cell r="A1419" t="str">
            <v>1RH1NCP1172XJ</v>
          </cell>
          <cell r="B1419" t="str">
            <v>SMT</v>
          </cell>
          <cell r="C1419">
            <v>1</v>
          </cell>
          <cell r="D1419">
            <v>37</v>
          </cell>
          <cell r="E1419">
            <v>2210</v>
          </cell>
          <cell r="F1419" t="str">
            <v>VC01</v>
          </cell>
          <cell r="G1419" t="str">
            <v>Auto</v>
          </cell>
          <cell r="H1419">
            <v>311</v>
          </cell>
          <cell r="I1419">
            <v>2210</v>
          </cell>
          <cell r="J1419">
            <v>2310</v>
          </cell>
          <cell r="K1419" t="str">
            <v>VC01</v>
          </cell>
        </row>
        <row r="1420">
          <cell r="A1420" t="str">
            <v>1AP1NCP1172XJ</v>
          </cell>
          <cell r="B1420" t="str">
            <v>DIP</v>
          </cell>
          <cell r="C1420">
            <v>1</v>
          </cell>
          <cell r="D1420" t="e">
            <v>#N/A</v>
          </cell>
          <cell r="E1420">
            <v>2210</v>
          </cell>
          <cell r="F1420" t="str">
            <v>VC01</v>
          </cell>
          <cell r="G1420" t="str">
            <v>Auto</v>
          </cell>
          <cell r="H1420">
            <v>311</v>
          </cell>
          <cell r="I1420">
            <v>2210</v>
          </cell>
          <cell r="J1420">
            <v>2310</v>
          </cell>
          <cell r="K1420" t="str">
            <v>VC01</v>
          </cell>
        </row>
        <row r="1421">
          <cell r="A1421" t="str">
            <v>1RE1NCP1173</v>
          </cell>
          <cell r="B1421" t="str">
            <v>SMT</v>
          </cell>
          <cell r="C1421">
            <v>1</v>
          </cell>
          <cell r="D1421">
            <v>492</v>
          </cell>
        </row>
        <row r="1422">
          <cell r="A1422" t="str">
            <v>1RE2NCP1173</v>
          </cell>
          <cell r="B1422" t="str">
            <v>SMT</v>
          </cell>
          <cell r="C1422">
            <v>1</v>
          </cell>
          <cell r="D1422">
            <v>360</v>
          </cell>
        </row>
        <row r="1423">
          <cell r="A1423" t="str">
            <v>1RH1NCP1173</v>
          </cell>
          <cell r="B1423" t="str">
            <v>SMT</v>
          </cell>
          <cell r="C1423">
            <v>1</v>
          </cell>
          <cell r="D1423">
            <v>51</v>
          </cell>
          <cell r="E1423">
            <v>2210</v>
          </cell>
          <cell r="F1423" t="str">
            <v>VC01</v>
          </cell>
          <cell r="G1423" t="str">
            <v>Auto</v>
          </cell>
          <cell r="H1423">
            <v>311</v>
          </cell>
          <cell r="I1423">
            <v>2210</v>
          </cell>
          <cell r="J1423">
            <v>2310</v>
          </cell>
          <cell r="K1423" t="str">
            <v>VC01</v>
          </cell>
        </row>
        <row r="1424">
          <cell r="A1424" t="str">
            <v>1AP1NCP1173</v>
          </cell>
          <cell r="B1424" t="str">
            <v>DIP</v>
          </cell>
          <cell r="C1424">
            <v>1</v>
          </cell>
          <cell r="D1424" t="e">
            <v>#N/A</v>
          </cell>
          <cell r="E1424">
            <v>2210</v>
          </cell>
          <cell r="F1424" t="str">
            <v>VC01</v>
          </cell>
          <cell r="G1424" t="str">
            <v>Auto</v>
          </cell>
          <cell r="H1424">
            <v>311</v>
          </cell>
          <cell r="I1424">
            <v>2210</v>
          </cell>
          <cell r="J1424">
            <v>2310</v>
          </cell>
          <cell r="K1424" t="str">
            <v>VC01</v>
          </cell>
        </row>
        <row r="1425">
          <cell r="A1425" t="str">
            <v>1VJ1NCP1190</v>
          </cell>
          <cell r="B1425" t="str">
            <v>SMT</v>
          </cell>
          <cell r="C1425">
            <v>1</v>
          </cell>
          <cell r="D1425" t="e">
            <v>#N/A</v>
          </cell>
        </row>
        <row r="1426">
          <cell r="A1426" t="str">
            <v>1CM1NCP1190</v>
          </cell>
          <cell r="B1426" t="str">
            <v>SMT</v>
          </cell>
          <cell r="C1426">
            <v>1</v>
          </cell>
          <cell r="D1426">
            <v>177</v>
          </cell>
        </row>
        <row r="1427">
          <cell r="A1427" t="str">
            <v>1RE2NCP1190</v>
          </cell>
          <cell r="B1427" t="str">
            <v>SMT</v>
          </cell>
          <cell r="C1427">
            <v>1</v>
          </cell>
          <cell r="D1427">
            <v>207</v>
          </cell>
        </row>
        <row r="1428">
          <cell r="A1428" t="str">
            <v>1RH1NCP1190</v>
          </cell>
          <cell r="B1428" t="str">
            <v>SMT</v>
          </cell>
          <cell r="C1428">
            <v>1</v>
          </cell>
          <cell r="D1428">
            <v>1</v>
          </cell>
          <cell r="E1428">
            <v>2210</v>
          </cell>
          <cell r="F1428" t="str">
            <v>VC01</v>
          </cell>
          <cell r="G1428" t="str">
            <v>Auto</v>
          </cell>
          <cell r="H1428">
            <v>311</v>
          </cell>
          <cell r="I1428">
            <v>2210</v>
          </cell>
          <cell r="J1428">
            <v>2310</v>
          </cell>
          <cell r="K1428" t="str">
            <v>VC01</v>
          </cell>
        </row>
        <row r="1429">
          <cell r="A1429" t="str">
            <v>1AP1NCP1190</v>
          </cell>
          <cell r="B1429" t="str">
            <v>DIP</v>
          </cell>
          <cell r="C1429">
            <v>1</v>
          </cell>
          <cell r="D1429" t="e">
            <v>#N/A</v>
          </cell>
          <cell r="E1429">
            <v>2210</v>
          </cell>
          <cell r="F1429" t="str">
            <v>VC01</v>
          </cell>
          <cell r="G1429" t="str">
            <v>Auto</v>
          </cell>
          <cell r="H1429">
            <v>311</v>
          </cell>
          <cell r="I1429">
            <v>2210</v>
          </cell>
          <cell r="J1429">
            <v>2310</v>
          </cell>
          <cell r="K1429" t="str">
            <v>VC01</v>
          </cell>
        </row>
        <row r="1430">
          <cell r="A1430" t="str">
            <v>1RE1NS5162CN</v>
          </cell>
          <cell r="B1430" t="str">
            <v>SMT</v>
          </cell>
          <cell r="C1430">
            <v>1</v>
          </cell>
          <cell r="D1430">
            <v>1</v>
          </cell>
        </row>
        <row r="1431">
          <cell r="A1431" t="str">
            <v>1RE2NS5162CN</v>
          </cell>
          <cell r="B1431" t="str">
            <v>SMT</v>
          </cell>
          <cell r="C1431">
            <v>1</v>
          </cell>
          <cell r="D1431">
            <v>182</v>
          </cell>
        </row>
        <row r="1432">
          <cell r="A1432" t="str">
            <v>1RH1NS5162CN</v>
          </cell>
          <cell r="B1432" t="str">
            <v>SMT</v>
          </cell>
          <cell r="C1432">
            <v>1</v>
          </cell>
          <cell r="D1432">
            <v>12</v>
          </cell>
          <cell r="E1432">
            <v>2210</v>
          </cell>
          <cell r="F1432" t="str">
            <v>VC01</v>
          </cell>
          <cell r="G1432" t="str">
            <v>Auto</v>
          </cell>
          <cell r="H1432">
            <v>311</v>
          </cell>
          <cell r="I1432">
            <v>2210</v>
          </cell>
          <cell r="J1432">
            <v>2310</v>
          </cell>
          <cell r="K1432" t="str">
            <v>VC01</v>
          </cell>
        </row>
        <row r="1433">
          <cell r="A1433" t="str">
            <v>1AP1NS5162CN</v>
          </cell>
          <cell r="B1433" t="str">
            <v>DIP</v>
          </cell>
          <cell r="C1433">
            <v>1</v>
          </cell>
          <cell r="D1433" t="e">
            <v>#N/A</v>
          </cell>
          <cell r="E1433">
            <v>2210</v>
          </cell>
          <cell r="F1433" t="str">
            <v>VC01</v>
          </cell>
          <cell r="G1433" t="str">
            <v>Auto</v>
          </cell>
          <cell r="H1433">
            <v>311</v>
          </cell>
          <cell r="I1433">
            <v>2210</v>
          </cell>
          <cell r="J1433">
            <v>2310</v>
          </cell>
          <cell r="K1433" t="str">
            <v>VC01</v>
          </cell>
        </row>
        <row r="1434">
          <cell r="A1434" t="str">
            <v>1VJ1PSLP1258ZAL4</v>
          </cell>
          <cell r="B1434" t="str">
            <v>SMT</v>
          </cell>
          <cell r="C1434">
            <v>1</v>
          </cell>
          <cell r="D1434" t="e">
            <v>#N/A</v>
          </cell>
        </row>
        <row r="1435">
          <cell r="A1435" t="str">
            <v>1CM1PSLP1258ZAL4</v>
          </cell>
          <cell r="B1435" t="str">
            <v>SMT</v>
          </cell>
          <cell r="C1435">
            <v>1</v>
          </cell>
          <cell r="D1435">
            <v>599</v>
          </cell>
        </row>
        <row r="1436">
          <cell r="A1436" t="str">
            <v>1RE2PSLP1258ZAL4</v>
          </cell>
          <cell r="B1436" t="str">
            <v>SMT</v>
          </cell>
          <cell r="C1436">
            <v>1</v>
          </cell>
          <cell r="D1436">
            <v>901</v>
          </cell>
        </row>
        <row r="1437">
          <cell r="A1437" t="str">
            <v>1RH1PSLP1258ZAL4</v>
          </cell>
          <cell r="B1437" t="str">
            <v>SMT</v>
          </cell>
          <cell r="C1437">
            <v>1</v>
          </cell>
          <cell r="D1437">
            <v>90</v>
          </cell>
          <cell r="E1437">
            <v>2210</v>
          </cell>
          <cell r="F1437" t="str">
            <v>VC01</v>
          </cell>
          <cell r="G1437" t="str">
            <v>Auto</v>
          </cell>
          <cell r="H1437">
            <v>311</v>
          </cell>
          <cell r="I1437">
            <v>2210</v>
          </cell>
          <cell r="J1437">
            <v>2310</v>
          </cell>
          <cell r="K1437" t="str">
            <v>VC01</v>
          </cell>
        </row>
        <row r="1438">
          <cell r="A1438" t="str">
            <v>1AP1PSLP1258ZAL4</v>
          </cell>
          <cell r="B1438" t="str">
            <v>DIP</v>
          </cell>
          <cell r="C1438">
            <v>1</v>
          </cell>
          <cell r="D1438" t="e">
            <v>#N/A</v>
          </cell>
          <cell r="E1438">
            <v>2210</v>
          </cell>
          <cell r="F1438" t="str">
            <v>VC01</v>
          </cell>
          <cell r="G1438" t="str">
            <v>Auto</v>
          </cell>
          <cell r="H1438">
            <v>311</v>
          </cell>
          <cell r="I1438">
            <v>2210</v>
          </cell>
          <cell r="J1438">
            <v>2310</v>
          </cell>
          <cell r="K1438" t="str">
            <v>VC01</v>
          </cell>
        </row>
        <row r="1439">
          <cell r="A1439" t="str">
            <v>1CM1PSLP1475ZA</v>
          </cell>
          <cell r="B1439" t="str">
            <v>SMT</v>
          </cell>
          <cell r="C1439">
            <v>1</v>
          </cell>
          <cell r="D1439">
            <v>12</v>
          </cell>
          <cell r="E1439">
            <v>2210</v>
          </cell>
          <cell r="F1439" t="str">
            <v>VC01</v>
          </cell>
          <cell r="G1439" t="str">
            <v>Auto</v>
          </cell>
          <cell r="H1439">
            <v>311</v>
          </cell>
          <cell r="I1439">
            <v>2210</v>
          </cell>
          <cell r="J1439">
            <v>2310</v>
          </cell>
          <cell r="K1439" t="str">
            <v>VC01</v>
          </cell>
        </row>
        <row r="1440">
          <cell r="A1440" t="str">
            <v>1AP1PSLP1475ZA</v>
          </cell>
          <cell r="B1440" t="str">
            <v>DIP</v>
          </cell>
          <cell r="C1440">
            <v>1</v>
          </cell>
          <cell r="D1440" t="e">
            <v>#N/A</v>
          </cell>
          <cell r="E1440">
            <v>2210</v>
          </cell>
          <cell r="F1440" t="str">
            <v>VC01</v>
          </cell>
          <cell r="G1440" t="str">
            <v>Auto</v>
          </cell>
          <cell r="H1440">
            <v>311</v>
          </cell>
          <cell r="I1440">
            <v>2210</v>
          </cell>
          <cell r="J1440">
            <v>2310</v>
          </cell>
          <cell r="K1440" t="str">
            <v>VC01</v>
          </cell>
        </row>
        <row r="1441">
          <cell r="A1441" t="str">
            <v>1VJ1PSLP1570ZA</v>
          </cell>
          <cell r="B1441" t="str">
            <v>SMT</v>
          </cell>
          <cell r="C1441">
            <v>1</v>
          </cell>
          <cell r="D1441" t="e">
            <v>#N/A</v>
          </cell>
        </row>
        <row r="1442">
          <cell r="A1442" t="str">
            <v>1VJ2PSLP1570ZA</v>
          </cell>
          <cell r="B1442" t="str">
            <v>SMT</v>
          </cell>
          <cell r="C1442">
            <v>1</v>
          </cell>
          <cell r="D1442" t="e">
            <v>#N/A</v>
          </cell>
        </row>
        <row r="1443">
          <cell r="A1443" t="str">
            <v>1RE1PSLP1570ZA</v>
          </cell>
          <cell r="B1443" t="str">
            <v>SMT</v>
          </cell>
          <cell r="C1443">
            <v>1</v>
          </cell>
          <cell r="D1443">
            <v>471</v>
          </cell>
        </row>
        <row r="1444">
          <cell r="A1444" t="str">
            <v>1RE2PSLP1570ZA</v>
          </cell>
          <cell r="B1444" t="str">
            <v>SMT</v>
          </cell>
          <cell r="C1444">
            <v>1</v>
          </cell>
          <cell r="D1444">
            <v>668</v>
          </cell>
          <cell r="E1444">
            <v>2210</v>
          </cell>
          <cell r="F1444" t="str">
            <v>VC01</v>
          </cell>
          <cell r="G1444" t="str">
            <v>Auto</v>
          </cell>
          <cell r="H1444">
            <v>311</v>
          </cell>
          <cell r="I1444">
            <v>2210</v>
          </cell>
          <cell r="J1444">
            <v>2220</v>
          </cell>
          <cell r="K1444" t="str">
            <v>VC01</v>
          </cell>
        </row>
        <row r="1445">
          <cell r="A1445" t="str">
            <v>1AP1PSLP1570ZA</v>
          </cell>
          <cell r="B1445" t="str">
            <v>DIP</v>
          </cell>
          <cell r="C1445">
            <v>1</v>
          </cell>
          <cell r="D1445" t="e">
            <v>#N/A</v>
          </cell>
          <cell r="E1445">
            <v>2210</v>
          </cell>
          <cell r="F1445" t="str">
            <v>VC01</v>
          </cell>
          <cell r="G1445" t="str">
            <v>Auto</v>
          </cell>
          <cell r="H1445">
            <v>311</v>
          </cell>
          <cell r="I1445">
            <v>2210</v>
          </cell>
          <cell r="J1445">
            <v>2220</v>
          </cell>
          <cell r="K1445" t="str">
            <v>VC01</v>
          </cell>
        </row>
        <row r="1446">
          <cell r="A1446" t="str">
            <v>1RE1TDA0180CXV4</v>
          </cell>
          <cell r="B1446" t="str">
            <v>SMT</v>
          </cell>
          <cell r="C1446">
            <v>1</v>
          </cell>
          <cell r="D1446">
            <v>440</v>
          </cell>
        </row>
        <row r="1447">
          <cell r="A1447" t="str">
            <v>1RH1TDA0180CXV4</v>
          </cell>
          <cell r="B1447" t="str">
            <v>SMT</v>
          </cell>
          <cell r="C1447">
            <v>1</v>
          </cell>
          <cell r="D1447">
            <v>41</v>
          </cell>
        </row>
        <row r="1448">
          <cell r="A1448" t="str">
            <v>1CM1TDA0180CXV4</v>
          </cell>
          <cell r="B1448" t="str">
            <v>SMT</v>
          </cell>
          <cell r="C1448">
            <v>1</v>
          </cell>
          <cell r="D1448">
            <v>282</v>
          </cell>
          <cell r="E1448">
            <v>2210</v>
          </cell>
          <cell r="F1448" t="str">
            <v>VC01</v>
          </cell>
          <cell r="G1448" t="str">
            <v>Auto</v>
          </cell>
          <cell r="H1448">
            <v>311</v>
          </cell>
          <cell r="I1448">
            <v>2210</v>
          </cell>
          <cell r="J1448">
            <v>2310</v>
          </cell>
          <cell r="K1448" t="str">
            <v>VC01</v>
          </cell>
        </row>
        <row r="1449">
          <cell r="A1449" t="str">
            <v>1AP1TDA0180CXV4</v>
          </cell>
          <cell r="B1449" t="str">
            <v>DIP</v>
          </cell>
          <cell r="C1449">
            <v>1</v>
          </cell>
          <cell r="D1449" t="e">
            <v>#N/A</v>
          </cell>
          <cell r="E1449">
            <v>2210</v>
          </cell>
          <cell r="F1449" t="str">
            <v>VC01</v>
          </cell>
          <cell r="G1449" t="str">
            <v>Auto</v>
          </cell>
          <cell r="H1449">
            <v>311</v>
          </cell>
          <cell r="I1449">
            <v>2210</v>
          </cell>
          <cell r="J1449">
            <v>2310</v>
          </cell>
          <cell r="K1449" t="str">
            <v>VC01</v>
          </cell>
        </row>
        <row r="1450">
          <cell r="A1450" t="str">
            <v>1RE1TDA0181CV4</v>
          </cell>
          <cell r="B1450" t="str">
            <v>SMT</v>
          </cell>
          <cell r="C1450">
            <v>1</v>
          </cell>
          <cell r="D1450">
            <v>894</v>
          </cell>
        </row>
        <row r="1451">
          <cell r="A1451" t="str">
            <v>1RE2TDA0181CV4</v>
          </cell>
          <cell r="B1451" t="str">
            <v>SMT</v>
          </cell>
          <cell r="C1451">
            <v>1</v>
          </cell>
          <cell r="D1451">
            <v>428</v>
          </cell>
        </row>
        <row r="1452">
          <cell r="A1452" t="str">
            <v>1RH1TDA0181CV4</v>
          </cell>
          <cell r="B1452" t="str">
            <v>SMT</v>
          </cell>
          <cell r="C1452">
            <v>1</v>
          </cell>
          <cell r="D1452">
            <v>14</v>
          </cell>
          <cell r="E1452">
            <v>2210</v>
          </cell>
          <cell r="F1452" t="str">
            <v>VC01</v>
          </cell>
          <cell r="G1452" t="str">
            <v>Auto</v>
          </cell>
          <cell r="H1452">
            <v>311</v>
          </cell>
          <cell r="I1452">
            <v>2210</v>
          </cell>
          <cell r="J1452">
            <v>2310</v>
          </cell>
          <cell r="K1452" t="str">
            <v>VC01</v>
          </cell>
        </row>
        <row r="1453">
          <cell r="A1453" t="str">
            <v>1AP1TDA0181CV4</v>
          </cell>
          <cell r="B1453" t="str">
            <v>DIP</v>
          </cell>
          <cell r="C1453">
            <v>1</v>
          </cell>
          <cell r="D1453" t="e">
            <v>#N/A</v>
          </cell>
          <cell r="E1453">
            <v>2210</v>
          </cell>
          <cell r="F1453" t="str">
            <v>VC01</v>
          </cell>
          <cell r="G1453" t="str">
            <v>Auto</v>
          </cell>
          <cell r="H1453">
            <v>311</v>
          </cell>
          <cell r="I1453">
            <v>2210</v>
          </cell>
          <cell r="J1453">
            <v>2310</v>
          </cell>
          <cell r="K1453" t="str">
            <v>VC01</v>
          </cell>
        </row>
        <row r="1454">
          <cell r="A1454" t="str">
            <v>1VJ1TDA0190XJSX</v>
          </cell>
          <cell r="B1454" t="str">
            <v>SMT</v>
          </cell>
          <cell r="C1454">
            <v>1</v>
          </cell>
          <cell r="D1454" t="e">
            <v>#N/A</v>
          </cell>
        </row>
        <row r="1455">
          <cell r="A1455" t="str">
            <v>1CM1TDA0190XJSX</v>
          </cell>
          <cell r="B1455" t="str">
            <v>SMT</v>
          </cell>
          <cell r="C1455">
            <v>1</v>
          </cell>
          <cell r="D1455">
            <v>176</v>
          </cell>
        </row>
        <row r="1456">
          <cell r="A1456" t="str">
            <v>1RE2TDA0190XJSX</v>
          </cell>
          <cell r="B1456" t="str">
            <v>SMT</v>
          </cell>
          <cell r="C1456">
            <v>1</v>
          </cell>
          <cell r="D1456">
            <v>207</v>
          </cell>
        </row>
        <row r="1457">
          <cell r="A1457" t="str">
            <v>1RH1TDA0190XJSX</v>
          </cell>
          <cell r="B1457" t="str">
            <v>SMT</v>
          </cell>
          <cell r="C1457">
            <v>1</v>
          </cell>
          <cell r="D1457">
            <v>1</v>
          </cell>
          <cell r="E1457">
            <v>2210</v>
          </cell>
          <cell r="F1457" t="str">
            <v>VC01</v>
          </cell>
          <cell r="G1457" t="str">
            <v>Auto</v>
          </cell>
          <cell r="H1457">
            <v>311</v>
          </cell>
          <cell r="I1457">
            <v>2210</v>
          </cell>
          <cell r="J1457">
            <v>2310</v>
          </cell>
          <cell r="K1457" t="str">
            <v>VC01</v>
          </cell>
        </row>
        <row r="1458">
          <cell r="A1458" t="str">
            <v>1AP1TDA0190XJSX</v>
          </cell>
          <cell r="B1458" t="str">
            <v>DIP</v>
          </cell>
          <cell r="C1458">
            <v>1</v>
          </cell>
          <cell r="D1458" t="e">
            <v>#N/A</v>
          </cell>
          <cell r="E1458">
            <v>2210</v>
          </cell>
          <cell r="F1458" t="str">
            <v>VC01</v>
          </cell>
          <cell r="G1458" t="str">
            <v>Auto</v>
          </cell>
          <cell r="H1458">
            <v>311</v>
          </cell>
          <cell r="I1458">
            <v>2210</v>
          </cell>
          <cell r="J1458">
            <v>2310</v>
          </cell>
          <cell r="K1458" t="str">
            <v>VC01</v>
          </cell>
        </row>
        <row r="1459">
          <cell r="A1459" t="str">
            <v>1RE1TDA0193CNV4</v>
          </cell>
          <cell r="B1459" t="str">
            <v>SMT</v>
          </cell>
          <cell r="C1459">
            <v>1</v>
          </cell>
          <cell r="D1459">
            <v>189</v>
          </cell>
        </row>
        <row r="1460">
          <cell r="A1460" t="str">
            <v>1RE2TDA0193CNV4</v>
          </cell>
          <cell r="B1460" t="str">
            <v>SMT</v>
          </cell>
          <cell r="C1460">
            <v>1</v>
          </cell>
          <cell r="D1460">
            <v>87</v>
          </cell>
          <cell r="E1460">
            <v>2210</v>
          </cell>
          <cell r="F1460" t="str">
            <v>VC01</v>
          </cell>
          <cell r="G1460" t="str">
            <v>Auto</v>
          </cell>
          <cell r="H1460">
            <v>311</v>
          </cell>
          <cell r="I1460">
            <v>2210</v>
          </cell>
          <cell r="J1460">
            <v>2310</v>
          </cell>
          <cell r="K1460" t="str">
            <v>VC01</v>
          </cell>
        </row>
        <row r="1461">
          <cell r="A1461" t="str">
            <v>1AP1TDA0193CNV4</v>
          </cell>
          <cell r="B1461" t="str">
            <v>DIP</v>
          </cell>
          <cell r="C1461">
            <v>1</v>
          </cell>
          <cell r="D1461" t="e">
            <v>#N/A</v>
          </cell>
          <cell r="E1461">
            <v>2210</v>
          </cell>
          <cell r="F1461" t="str">
            <v>VC01</v>
          </cell>
          <cell r="G1461" t="str">
            <v>Auto</v>
          </cell>
          <cell r="H1461">
            <v>311</v>
          </cell>
          <cell r="I1461">
            <v>2210</v>
          </cell>
          <cell r="J1461">
            <v>2310</v>
          </cell>
          <cell r="K1461" t="str">
            <v>VC01</v>
          </cell>
        </row>
        <row r="1462">
          <cell r="A1462" t="str">
            <v>1RE1TDA0193XJSX</v>
          </cell>
          <cell r="B1462" t="str">
            <v>SMT</v>
          </cell>
          <cell r="C1462">
            <v>1</v>
          </cell>
          <cell r="D1462">
            <v>189</v>
          </cell>
        </row>
        <row r="1463">
          <cell r="A1463" t="str">
            <v>1RE2TDA0193XJSX</v>
          </cell>
          <cell r="B1463" t="str">
            <v>SMT</v>
          </cell>
          <cell r="C1463">
            <v>1</v>
          </cell>
          <cell r="D1463">
            <v>87</v>
          </cell>
          <cell r="E1463">
            <v>2210</v>
          </cell>
          <cell r="F1463" t="str">
            <v>VC01</v>
          </cell>
          <cell r="G1463" t="str">
            <v>Auto</v>
          </cell>
          <cell r="H1463">
            <v>311</v>
          </cell>
          <cell r="I1463">
            <v>2210</v>
          </cell>
          <cell r="J1463">
            <v>2310</v>
          </cell>
          <cell r="K1463" t="str">
            <v>VC01</v>
          </cell>
        </row>
        <row r="1464">
          <cell r="A1464" t="str">
            <v>1AP1TDA0193XJSX</v>
          </cell>
          <cell r="B1464" t="str">
            <v>DIP</v>
          </cell>
          <cell r="C1464">
            <v>1</v>
          </cell>
          <cell r="D1464" t="e">
            <v>#N/A</v>
          </cell>
          <cell r="E1464">
            <v>2210</v>
          </cell>
          <cell r="F1464" t="str">
            <v>VC01</v>
          </cell>
          <cell r="G1464" t="str">
            <v>Auto</v>
          </cell>
          <cell r="H1464">
            <v>311</v>
          </cell>
          <cell r="I1464">
            <v>2210</v>
          </cell>
          <cell r="J1464">
            <v>2310</v>
          </cell>
          <cell r="K1464" t="str">
            <v>VC01</v>
          </cell>
        </row>
        <row r="1465">
          <cell r="A1465" t="str">
            <v>1RE1TDA5161V4</v>
          </cell>
          <cell r="B1465" t="str">
            <v>SMT</v>
          </cell>
          <cell r="C1465">
            <v>1</v>
          </cell>
          <cell r="D1465">
            <v>147</v>
          </cell>
        </row>
        <row r="1466">
          <cell r="A1466" t="str">
            <v>1RE2TDA5161V4</v>
          </cell>
          <cell r="B1466" t="str">
            <v>SMT</v>
          </cell>
          <cell r="C1466">
            <v>1</v>
          </cell>
          <cell r="D1466">
            <v>89</v>
          </cell>
          <cell r="E1466">
            <v>2210</v>
          </cell>
          <cell r="F1466" t="str">
            <v>VC01</v>
          </cell>
          <cell r="G1466" t="str">
            <v>Auto</v>
          </cell>
          <cell r="H1466">
            <v>311</v>
          </cell>
          <cell r="I1466">
            <v>2210</v>
          </cell>
          <cell r="J1466">
            <v>2310</v>
          </cell>
          <cell r="K1466" t="str">
            <v>VC01</v>
          </cell>
        </row>
        <row r="1467">
          <cell r="A1467" t="str">
            <v>1AP1TDA5161V4</v>
          </cell>
          <cell r="B1467" t="str">
            <v>DIP</v>
          </cell>
          <cell r="C1467">
            <v>1</v>
          </cell>
          <cell r="D1467" t="e">
            <v>#N/A</v>
          </cell>
          <cell r="E1467">
            <v>2210</v>
          </cell>
          <cell r="F1467" t="str">
            <v>VC01</v>
          </cell>
          <cell r="G1467" t="str">
            <v>Auto</v>
          </cell>
          <cell r="H1467">
            <v>311</v>
          </cell>
          <cell r="I1467">
            <v>2210</v>
          </cell>
          <cell r="J1467">
            <v>2310</v>
          </cell>
          <cell r="K1467" t="str">
            <v>VC01</v>
          </cell>
        </row>
        <row r="1468">
          <cell r="A1468" t="str">
            <v>1RE1TVM296CV4</v>
          </cell>
          <cell r="B1468" t="str">
            <v>SMT</v>
          </cell>
          <cell r="C1468">
            <v>1</v>
          </cell>
          <cell r="D1468">
            <v>96</v>
          </cell>
        </row>
        <row r="1469">
          <cell r="A1469" t="str">
            <v>1RH1TVM296CV4</v>
          </cell>
          <cell r="B1469" t="str">
            <v>SMT</v>
          </cell>
          <cell r="C1469">
            <v>1</v>
          </cell>
          <cell r="D1469">
            <v>6</v>
          </cell>
          <cell r="E1469">
            <v>2210</v>
          </cell>
          <cell r="F1469" t="str">
            <v>VC01</v>
          </cell>
          <cell r="G1469" t="str">
            <v>Auto</v>
          </cell>
          <cell r="H1469">
            <v>311</v>
          </cell>
          <cell r="I1469">
            <v>2210</v>
          </cell>
          <cell r="J1469">
            <v>2310</v>
          </cell>
          <cell r="K1469" t="str">
            <v>VC01</v>
          </cell>
        </row>
        <row r="1470">
          <cell r="A1470" t="str">
            <v>1AP1TVM296CV4</v>
          </cell>
          <cell r="B1470" t="str">
            <v>DIP</v>
          </cell>
          <cell r="C1470">
            <v>1</v>
          </cell>
          <cell r="D1470" t="e">
            <v>#N/A</v>
          </cell>
          <cell r="E1470">
            <v>2210</v>
          </cell>
          <cell r="F1470" t="str">
            <v>VC01</v>
          </cell>
          <cell r="G1470" t="str">
            <v>Auto</v>
          </cell>
          <cell r="H1470">
            <v>311</v>
          </cell>
          <cell r="I1470">
            <v>2210</v>
          </cell>
          <cell r="J1470">
            <v>2310</v>
          </cell>
          <cell r="K1470" t="str">
            <v>VC01</v>
          </cell>
        </row>
        <row r="1471">
          <cell r="A1471" t="str">
            <v>1RE1LPWT126R1ZA</v>
          </cell>
          <cell r="B1471" t="str">
            <v>SMT</v>
          </cell>
          <cell r="C1471">
            <v>1</v>
          </cell>
          <cell r="D1471">
            <v>7</v>
          </cell>
        </row>
        <row r="1472">
          <cell r="A1472" t="str">
            <v>1RE2LPWT126R1ZA</v>
          </cell>
          <cell r="B1472" t="str">
            <v>SMT</v>
          </cell>
          <cell r="C1472">
            <v>1</v>
          </cell>
          <cell r="D1472">
            <v>140</v>
          </cell>
          <cell r="E1472">
            <v>2210</v>
          </cell>
          <cell r="F1472" t="str">
            <v>VC01</v>
          </cell>
          <cell r="G1472" t="str">
            <v>Auto</v>
          </cell>
          <cell r="H1472">
            <v>311</v>
          </cell>
          <cell r="I1472">
            <v>2210</v>
          </cell>
          <cell r="J1472">
            <v>2220</v>
          </cell>
          <cell r="K1472" t="str">
            <v>VC01</v>
          </cell>
        </row>
        <row r="1473">
          <cell r="A1473" t="str">
            <v>1RE1PSLP1552ZA</v>
          </cell>
          <cell r="B1473" t="str">
            <v>SMT</v>
          </cell>
          <cell r="C1473">
            <v>1</v>
          </cell>
          <cell r="D1473">
            <v>33</v>
          </cell>
        </row>
        <row r="1474">
          <cell r="A1474" t="str">
            <v>1RE2PSLP1552ZA</v>
          </cell>
          <cell r="B1474" t="str">
            <v>SMT</v>
          </cell>
          <cell r="C1474">
            <v>1</v>
          </cell>
          <cell r="D1474">
            <v>183</v>
          </cell>
          <cell r="E1474">
            <v>2210</v>
          </cell>
          <cell r="F1474" t="str">
            <v>VC01</v>
          </cell>
          <cell r="G1474" t="str">
            <v>Auto</v>
          </cell>
          <cell r="H1474">
            <v>311</v>
          </cell>
          <cell r="I1474">
            <v>2210</v>
          </cell>
          <cell r="J1474">
            <v>2220</v>
          </cell>
          <cell r="K1474" t="str">
            <v>VC01</v>
          </cell>
        </row>
        <row r="1475">
          <cell r="A1475" t="str">
            <v>1RE1PSLP1561ZA</v>
          </cell>
          <cell r="B1475" t="str">
            <v>SMT</v>
          </cell>
          <cell r="C1475">
            <v>1</v>
          </cell>
          <cell r="D1475">
            <v>82</v>
          </cell>
        </row>
        <row r="1476">
          <cell r="A1476" t="str">
            <v>1RE2PSLP1561ZA</v>
          </cell>
          <cell r="B1476" t="str">
            <v>SMT</v>
          </cell>
          <cell r="C1476">
            <v>1</v>
          </cell>
          <cell r="D1476">
            <v>1</v>
          </cell>
          <cell r="E1476">
            <v>2210</v>
          </cell>
          <cell r="F1476" t="str">
            <v>VC01</v>
          </cell>
        </row>
        <row r="1477">
          <cell r="A1477" t="str">
            <v>1VJ1TDA0191XJV4SX</v>
          </cell>
          <cell r="B1477" t="str">
            <v>SMT</v>
          </cell>
          <cell r="C1477">
            <v>1</v>
          </cell>
          <cell r="D1477" t="e">
            <v>#N/A</v>
          </cell>
        </row>
        <row r="1478">
          <cell r="A1478" t="str">
            <v>1RE1TDA0191XJV4SX</v>
          </cell>
          <cell r="B1478" t="str">
            <v>SMT</v>
          </cell>
          <cell r="C1478">
            <v>1</v>
          </cell>
          <cell r="D1478">
            <v>167</v>
          </cell>
        </row>
        <row r="1479">
          <cell r="A1479" t="str">
            <v>1RE2TDA0191XJV4SX</v>
          </cell>
          <cell r="B1479" t="str">
            <v>SMT</v>
          </cell>
          <cell r="C1479">
            <v>1</v>
          </cell>
          <cell r="D1479">
            <v>161</v>
          </cell>
          <cell r="E1479">
            <v>2210</v>
          </cell>
          <cell r="F1479" t="str">
            <v>VC01</v>
          </cell>
          <cell r="G1479" t="str">
            <v>Auto</v>
          </cell>
          <cell r="H1479">
            <v>311</v>
          </cell>
          <cell r="I1479">
            <v>2210</v>
          </cell>
          <cell r="J1479">
            <v>2310</v>
          </cell>
          <cell r="K1479" t="str">
            <v>VC01</v>
          </cell>
        </row>
        <row r="1480">
          <cell r="A1480" t="str">
            <v>2RE1PSLP1568ZA</v>
          </cell>
          <cell r="B1480" t="str">
            <v>SMT</v>
          </cell>
          <cell r="C1480">
            <v>1</v>
          </cell>
          <cell r="D1480">
            <v>67</v>
          </cell>
          <cell r="E1480">
            <v>2210</v>
          </cell>
          <cell r="F1480" t="str">
            <v>VC01</v>
          </cell>
          <cell r="G1480" t="str">
            <v>Auto</v>
          </cell>
          <cell r="H1480">
            <v>311</v>
          </cell>
          <cell r="I1480">
            <v>2210</v>
          </cell>
          <cell r="J1480">
            <v>2310</v>
          </cell>
          <cell r="K1480" t="str">
            <v>VC01</v>
          </cell>
        </row>
        <row r="1481">
          <cell r="A1481" t="str">
            <v>2AP1PSLP1568ZA</v>
          </cell>
          <cell r="B1481" t="str">
            <v>DIP</v>
          </cell>
          <cell r="C1481">
            <v>1</v>
          </cell>
          <cell r="D1481" t="e">
            <v>#N/A</v>
          </cell>
          <cell r="E1481">
            <v>2210</v>
          </cell>
          <cell r="F1481" t="str">
            <v>VC01</v>
          </cell>
          <cell r="G1481" t="str">
            <v>Auto</v>
          </cell>
          <cell r="H1481">
            <v>311</v>
          </cell>
          <cell r="I1481">
            <v>2210</v>
          </cell>
          <cell r="J1481">
            <v>2310</v>
          </cell>
          <cell r="K1481" t="str">
            <v>VC01</v>
          </cell>
        </row>
        <row r="1482">
          <cell r="A1482" t="str">
            <v>VBD950PB1V4</v>
          </cell>
          <cell r="B1482" t="str">
            <v>DIP</v>
          </cell>
          <cell r="C1482">
            <v>1</v>
          </cell>
          <cell r="D1482">
            <v>73</v>
          </cell>
          <cell r="E1482">
            <v>2210</v>
          </cell>
          <cell r="F1482" t="str">
            <v>VC01</v>
          </cell>
          <cell r="G1482" t="str">
            <v>Auto</v>
          </cell>
          <cell r="H1482">
            <v>311</v>
          </cell>
          <cell r="I1482">
            <v>2210</v>
          </cell>
          <cell r="J1482">
            <v>2220</v>
          </cell>
          <cell r="K1482" t="str">
            <v>VC01</v>
          </cell>
        </row>
        <row r="1483">
          <cell r="A1483" t="str">
            <v>1RE1NCP1171XJ</v>
          </cell>
          <cell r="B1483" t="str">
            <v>SMT</v>
          </cell>
          <cell r="C1483">
            <v>1</v>
          </cell>
          <cell r="D1483">
            <v>334</v>
          </cell>
        </row>
        <row r="1484">
          <cell r="A1484" t="str">
            <v>1RE2NCP1171XJ</v>
          </cell>
          <cell r="B1484" t="str">
            <v>SMT</v>
          </cell>
          <cell r="C1484">
            <v>1</v>
          </cell>
          <cell r="D1484">
            <v>331</v>
          </cell>
        </row>
        <row r="1485">
          <cell r="A1485" t="str">
            <v>1RH1NCP1171XJ</v>
          </cell>
          <cell r="B1485" t="str">
            <v>SMT</v>
          </cell>
          <cell r="C1485">
            <v>1</v>
          </cell>
          <cell r="D1485">
            <v>28</v>
          </cell>
          <cell r="E1485">
            <v>2210</v>
          </cell>
          <cell r="F1485" t="str">
            <v>VC01</v>
          </cell>
          <cell r="G1485" t="str">
            <v>Auto</v>
          </cell>
          <cell r="H1485">
            <v>311</v>
          </cell>
          <cell r="I1485">
            <v>2210</v>
          </cell>
          <cell r="J1485">
            <v>2310</v>
          </cell>
          <cell r="K1485" t="str">
            <v>VC01</v>
          </cell>
        </row>
        <row r="1486">
          <cell r="A1486" t="str">
            <v>1AP1NCP1171XJ</v>
          </cell>
          <cell r="B1486" t="str">
            <v>DIP</v>
          </cell>
          <cell r="C1486">
            <v>1</v>
          </cell>
          <cell r="D1486" t="e">
            <v>#N/A</v>
          </cell>
          <cell r="E1486">
            <v>2210</v>
          </cell>
          <cell r="F1486" t="str">
            <v>VC01</v>
          </cell>
          <cell r="G1486" t="str">
            <v>Auto</v>
          </cell>
          <cell r="H1486">
            <v>311</v>
          </cell>
          <cell r="I1486">
            <v>2210</v>
          </cell>
          <cell r="J1486">
            <v>2310</v>
          </cell>
          <cell r="K1486" t="str">
            <v>VC01</v>
          </cell>
        </row>
        <row r="1487">
          <cell r="A1487" t="str">
            <v>1VI1TDA0143CEV4</v>
          </cell>
          <cell r="B1487" t="str">
            <v>SMT</v>
          </cell>
          <cell r="C1487">
            <v>1</v>
          </cell>
          <cell r="D1487" t="e">
            <v>#N/A</v>
          </cell>
        </row>
        <row r="1488">
          <cell r="A1488" t="str">
            <v>1VI2TDA0143CEV4</v>
          </cell>
          <cell r="B1488" t="str">
            <v>SMT</v>
          </cell>
          <cell r="C1488">
            <v>1</v>
          </cell>
          <cell r="D1488" t="e">
            <v>#N/A</v>
          </cell>
        </row>
        <row r="1489">
          <cell r="A1489" t="str">
            <v>1RE1TDA0143CEV4</v>
          </cell>
          <cell r="B1489" t="str">
            <v>SMT</v>
          </cell>
          <cell r="C1489">
            <v>1</v>
          </cell>
          <cell r="D1489">
            <v>382</v>
          </cell>
        </row>
        <row r="1490">
          <cell r="A1490" t="str">
            <v>1RE2TDA0143CEV4</v>
          </cell>
          <cell r="B1490" t="str">
            <v>SMT</v>
          </cell>
          <cell r="C1490">
            <v>1</v>
          </cell>
          <cell r="D1490">
            <v>481</v>
          </cell>
        </row>
        <row r="1491">
          <cell r="A1491" t="str">
            <v>1RH1TDA0143CEV4</v>
          </cell>
          <cell r="B1491" t="str">
            <v>SMT</v>
          </cell>
          <cell r="C1491">
            <v>1</v>
          </cell>
          <cell r="D1491">
            <v>9</v>
          </cell>
          <cell r="E1491">
            <v>2210</v>
          </cell>
          <cell r="F1491" t="str">
            <v>VC01</v>
          </cell>
          <cell r="G1491" t="str">
            <v>Auto</v>
          </cell>
          <cell r="H1491">
            <v>311</v>
          </cell>
          <cell r="I1491">
            <v>2210</v>
          </cell>
          <cell r="J1491">
            <v>2310</v>
          </cell>
          <cell r="K1491" t="str">
            <v>VC01</v>
          </cell>
        </row>
        <row r="1492">
          <cell r="A1492" t="str">
            <v>1AP1TDA0143CEV4</v>
          </cell>
          <cell r="B1492" t="str">
            <v>DIP</v>
          </cell>
          <cell r="C1492">
            <v>1</v>
          </cell>
          <cell r="D1492" t="e">
            <v>#N/A</v>
          </cell>
          <cell r="E1492">
            <v>2210</v>
          </cell>
          <cell r="F1492" t="str">
            <v>VC01</v>
          </cell>
          <cell r="G1492" t="str">
            <v>Auto</v>
          </cell>
          <cell r="H1492">
            <v>311</v>
          </cell>
          <cell r="I1492">
            <v>2210</v>
          </cell>
          <cell r="J1492">
            <v>2310</v>
          </cell>
          <cell r="K1492" t="str">
            <v>VC01</v>
          </cell>
        </row>
        <row r="1493">
          <cell r="A1493" t="str">
            <v>1VJ1TDA0484XV4</v>
          </cell>
          <cell r="B1493" t="str">
            <v>SMT</v>
          </cell>
          <cell r="C1493">
            <v>1</v>
          </cell>
          <cell r="D1493" t="e">
            <v>#N/A</v>
          </cell>
        </row>
        <row r="1494">
          <cell r="A1494" t="str">
            <v>1VJ2TDA0484XV4</v>
          </cell>
          <cell r="B1494" t="str">
            <v>SMT</v>
          </cell>
          <cell r="C1494">
            <v>1</v>
          </cell>
          <cell r="D1494" t="e">
            <v>#N/A</v>
          </cell>
        </row>
        <row r="1495">
          <cell r="A1495" t="str">
            <v>1RE1TDA0484XV4</v>
          </cell>
          <cell r="B1495" t="str">
            <v>SMT</v>
          </cell>
          <cell r="C1495">
            <v>1</v>
          </cell>
          <cell r="D1495">
            <v>244</v>
          </cell>
        </row>
        <row r="1496">
          <cell r="A1496" t="str">
            <v>1RE2TDA0484XV4</v>
          </cell>
          <cell r="B1496" t="str">
            <v>SMT</v>
          </cell>
          <cell r="C1496">
            <v>1</v>
          </cell>
          <cell r="D1496">
            <v>434</v>
          </cell>
          <cell r="E1496">
            <v>2210</v>
          </cell>
          <cell r="F1496" t="str">
            <v>VC01</v>
          </cell>
          <cell r="G1496" t="str">
            <v>Auto</v>
          </cell>
          <cell r="H1496">
            <v>311</v>
          </cell>
          <cell r="I1496">
            <v>2210</v>
          </cell>
          <cell r="J1496">
            <v>2310</v>
          </cell>
          <cell r="K1496" t="str">
            <v>VC01</v>
          </cell>
        </row>
        <row r="1497">
          <cell r="A1497" t="str">
            <v>1AP1TDA0484XV4</v>
          </cell>
          <cell r="B1497" t="str">
            <v>DIP</v>
          </cell>
          <cell r="C1497">
            <v>1</v>
          </cell>
          <cell r="D1497" t="e">
            <v>#N/A</v>
          </cell>
          <cell r="E1497">
            <v>2210</v>
          </cell>
          <cell r="F1497" t="str">
            <v>VC01</v>
          </cell>
          <cell r="G1497" t="str">
            <v>Auto</v>
          </cell>
          <cell r="H1497">
            <v>311</v>
          </cell>
          <cell r="I1497">
            <v>2210</v>
          </cell>
          <cell r="J1497">
            <v>2310</v>
          </cell>
          <cell r="K1497" t="str">
            <v>VC01</v>
          </cell>
        </row>
        <row r="1498">
          <cell r="A1498" t="str">
            <v>1RE1NS0112XSX</v>
          </cell>
          <cell r="B1498" t="str">
            <v>SMT</v>
          </cell>
          <cell r="C1498">
            <v>1</v>
          </cell>
          <cell r="D1498">
            <v>207</v>
          </cell>
        </row>
        <row r="1499">
          <cell r="A1499" t="str">
            <v>1RE2NS0112XSX</v>
          </cell>
          <cell r="B1499" t="str">
            <v>SMT</v>
          </cell>
          <cell r="C1499">
            <v>1</v>
          </cell>
          <cell r="D1499">
            <v>290</v>
          </cell>
          <cell r="E1499">
            <v>2210</v>
          </cell>
          <cell r="F1499" t="str">
            <v>VC01</v>
          </cell>
          <cell r="G1499" t="str">
            <v>Auto</v>
          </cell>
          <cell r="H1499">
            <v>311</v>
          </cell>
          <cell r="I1499">
            <v>2210</v>
          </cell>
          <cell r="J1499">
            <v>2310</v>
          </cell>
          <cell r="K1499" t="str">
            <v>VC01</v>
          </cell>
        </row>
        <row r="1500">
          <cell r="A1500" t="str">
            <v>1RE1TDA3196XJV4</v>
          </cell>
          <cell r="B1500" t="str">
            <v>SMT</v>
          </cell>
          <cell r="C1500">
            <v>1</v>
          </cell>
          <cell r="D1500">
            <v>74</v>
          </cell>
        </row>
        <row r="1501">
          <cell r="A1501" t="str">
            <v>1RE2TDA3196XJV4</v>
          </cell>
          <cell r="B1501" t="str">
            <v>SMT</v>
          </cell>
          <cell r="C1501">
            <v>1</v>
          </cell>
          <cell r="D1501">
            <v>24</v>
          </cell>
          <cell r="E1501">
            <v>2210</v>
          </cell>
          <cell r="F1501" t="str">
            <v>VC01</v>
          </cell>
          <cell r="G1501" t="str">
            <v>Auto</v>
          </cell>
          <cell r="H1501">
            <v>311</v>
          </cell>
          <cell r="I1501">
            <v>2210</v>
          </cell>
          <cell r="J1501">
            <v>2310</v>
          </cell>
          <cell r="K1501" t="str">
            <v>VC01</v>
          </cell>
        </row>
        <row r="1502">
          <cell r="A1502" t="str">
            <v>1RE1TDA6111XV4</v>
          </cell>
          <cell r="B1502" t="str">
            <v>SMT</v>
          </cell>
          <cell r="C1502">
            <v>1</v>
          </cell>
          <cell r="D1502">
            <v>32</v>
          </cell>
        </row>
        <row r="1503">
          <cell r="A1503" t="str">
            <v>1RE2TDA6111XV4</v>
          </cell>
          <cell r="B1503" t="str">
            <v>SMT</v>
          </cell>
          <cell r="C1503">
            <v>1</v>
          </cell>
          <cell r="D1503">
            <v>65</v>
          </cell>
          <cell r="E1503">
            <v>2210</v>
          </cell>
          <cell r="F1503" t="str">
            <v>VC01</v>
          </cell>
          <cell r="G1503" t="str">
            <v>Auto</v>
          </cell>
          <cell r="H1503">
            <v>311</v>
          </cell>
          <cell r="I1503">
            <v>2210</v>
          </cell>
          <cell r="J1503">
            <v>2310</v>
          </cell>
          <cell r="K1503" t="str">
            <v>VC01</v>
          </cell>
        </row>
        <row r="1504">
          <cell r="A1504" t="str">
            <v>2RE1PSLP1232ZAL4</v>
          </cell>
          <cell r="B1504" t="str">
            <v>SMT</v>
          </cell>
          <cell r="C1504">
            <v>1</v>
          </cell>
          <cell r="D1504">
            <v>67</v>
          </cell>
          <cell r="E1504">
            <v>2210</v>
          </cell>
          <cell r="F1504" t="str">
            <v>VC01</v>
          </cell>
          <cell r="G1504" t="str">
            <v>Auto</v>
          </cell>
          <cell r="H1504">
            <v>311</v>
          </cell>
          <cell r="I1504">
            <v>2210</v>
          </cell>
          <cell r="J1504">
            <v>2310</v>
          </cell>
          <cell r="K1504" t="str">
            <v>VC01</v>
          </cell>
        </row>
        <row r="1505">
          <cell r="A1505" t="str">
            <v>2AP1PSLP1232ZAL4</v>
          </cell>
          <cell r="B1505" t="str">
            <v>DIP</v>
          </cell>
          <cell r="C1505">
            <v>1</v>
          </cell>
          <cell r="D1505" t="e">
            <v>#N/A</v>
          </cell>
          <cell r="E1505">
            <v>2210</v>
          </cell>
          <cell r="F1505" t="str">
            <v>VC01</v>
          </cell>
          <cell r="G1505" t="str">
            <v>Auto</v>
          </cell>
          <cell r="H1505">
            <v>311</v>
          </cell>
          <cell r="I1505">
            <v>2210</v>
          </cell>
          <cell r="J1505">
            <v>2310</v>
          </cell>
          <cell r="K1505" t="str">
            <v>VC01</v>
          </cell>
        </row>
        <row r="1506">
          <cell r="A1506" t="str">
            <v>2RE1TDA0484XV4</v>
          </cell>
          <cell r="B1506" t="str">
            <v>SMT</v>
          </cell>
          <cell r="C1506">
            <v>1</v>
          </cell>
          <cell r="D1506">
            <v>36</v>
          </cell>
        </row>
        <row r="1507">
          <cell r="A1507" t="str">
            <v>2RE2TDA0484XV4</v>
          </cell>
          <cell r="B1507" t="str">
            <v>SMT</v>
          </cell>
          <cell r="C1507">
            <v>1</v>
          </cell>
          <cell r="D1507">
            <v>27</v>
          </cell>
          <cell r="E1507">
            <v>2210</v>
          </cell>
          <cell r="F1507" t="str">
            <v>VC01</v>
          </cell>
          <cell r="G1507" t="str">
            <v>Auto</v>
          </cell>
          <cell r="H1507">
            <v>311</v>
          </cell>
          <cell r="I1507">
            <v>2210</v>
          </cell>
          <cell r="J1507">
            <v>2310</v>
          </cell>
          <cell r="K1507" t="str">
            <v>VC01</v>
          </cell>
        </row>
        <row r="1508">
          <cell r="A1508" t="str">
            <v>2AP1TDA0484XV4</v>
          </cell>
          <cell r="B1508" t="str">
            <v>DIP</v>
          </cell>
          <cell r="C1508">
            <v>1</v>
          </cell>
          <cell r="D1508" t="e">
            <v>#N/A</v>
          </cell>
          <cell r="E1508">
            <v>2210</v>
          </cell>
          <cell r="F1508" t="str">
            <v>VC01</v>
          </cell>
          <cell r="G1508" t="str">
            <v>Auto</v>
          </cell>
          <cell r="H1508">
            <v>311</v>
          </cell>
          <cell r="I1508">
            <v>2210</v>
          </cell>
          <cell r="J1508">
            <v>2310</v>
          </cell>
          <cell r="K1508" t="str">
            <v>VC01</v>
          </cell>
        </row>
        <row r="1509">
          <cell r="A1509" t="str">
            <v>1RE1PSLP1343ZA</v>
          </cell>
          <cell r="B1509" t="str">
            <v>SMT</v>
          </cell>
          <cell r="C1509">
            <v>1</v>
          </cell>
          <cell r="D1509">
            <v>178</v>
          </cell>
        </row>
        <row r="1510">
          <cell r="A1510" t="str">
            <v>1RE2PSLP1343ZA</v>
          </cell>
          <cell r="B1510" t="str">
            <v>SMT</v>
          </cell>
          <cell r="C1510">
            <v>1</v>
          </cell>
          <cell r="D1510">
            <v>195</v>
          </cell>
        </row>
        <row r="1511">
          <cell r="A1511" t="str">
            <v>1RH1PSLP1343ZA</v>
          </cell>
          <cell r="B1511" t="str">
            <v>SMT</v>
          </cell>
          <cell r="C1511">
            <v>1</v>
          </cell>
          <cell r="D1511">
            <v>13</v>
          </cell>
          <cell r="E1511">
            <v>2210</v>
          </cell>
          <cell r="F1511" t="str">
            <v>VC01</v>
          </cell>
          <cell r="G1511" t="str">
            <v>Auto</v>
          </cell>
          <cell r="H1511">
            <v>311</v>
          </cell>
          <cell r="I1511">
            <v>2210</v>
          </cell>
          <cell r="J1511">
            <v>2310</v>
          </cell>
          <cell r="K1511" t="str">
            <v>VC01</v>
          </cell>
        </row>
        <row r="1512">
          <cell r="A1512" t="str">
            <v>1AP1PSLP1343ZA</v>
          </cell>
          <cell r="B1512" t="str">
            <v>DIP</v>
          </cell>
          <cell r="C1512">
            <v>1</v>
          </cell>
          <cell r="D1512" t="e">
            <v>#N/A</v>
          </cell>
          <cell r="E1512">
            <v>2210</v>
          </cell>
          <cell r="F1512" t="str">
            <v>VC01</v>
          </cell>
          <cell r="G1512" t="str">
            <v>Auto</v>
          </cell>
          <cell r="H1512">
            <v>311</v>
          </cell>
          <cell r="I1512">
            <v>2210</v>
          </cell>
          <cell r="J1512">
            <v>2310</v>
          </cell>
          <cell r="K1512" t="str">
            <v>VC01</v>
          </cell>
        </row>
        <row r="1513">
          <cell r="A1513" t="str">
            <v>1VI1NS0132CN</v>
          </cell>
          <cell r="B1513" t="str">
            <v>SMT</v>
          </cell>
          <cell r="C1513">
            <v>1</v>
          </cell>
          <cell r="D1513" t="e">
            <v>#N/A</v>
          </cell>
        </row>
        <row r="1514">
          <cell r="A1514" t="str">
            <v>1VI2NS0132CN</v>
          </cell>
          <cell r="B1514" t="str">
            <v>SMT</v>
          </cell>
          <cell r="C1514">
            <v>1</v>
          </cell>
          <cell r="D1514" t="e">
            <v>#N/A</v>
          </cell>
        </row>
        <row r="1515">
          <cell r="A1515" t="str">
            <v>1RE1NS0132CN</v>
          </cell>
          <cell r="B1515" t="str">
            <v>SMT</v>
          </cell>
          <cell r="C1515">
            <v>1</v>
          </cell>
          <cell r="D1515">
            <v>685</v>
          </cell>
          <cell r="E1515">
            <v>2210</v>
          </cell>
          <cell r="F1515" t="str">
            <v>VC01</v>
          </cell>
          <cell r="G1515" t="str">
            <v>Auto</v>
          </cell>
          <cell r="H1515">
            <v>311</v>
          </cell>
          <cell r="I1515">
            <v>2210</v>
          </cell>
          <cell r="J1515">
            <v>2310</v>
          </cell>
          <cell r="K1515" t="str">
            <v>VC01</v>
          </cell>
        </row>
        <row r="1516">
          <cell r="A1516" t="str">
            <v>1AP1NS0132CN</v>
          </cell>
          <cell r="B1516" t="str">
            <v>DIP</v>
          </cell>
          <cell r="C1516">
            <v>1</v>
          </cell>
          <cell r="D1516" t="e">
            <v>#N/A</v>
          </cell>
          <cell r="E1516">
            <v>2210</v>
          </cell>
          <cell r="F1516" t="str">
            <v>VC01</v>
          </cell>
          <cell r="G1516" t="str">
            <v>Auto</v>
          </cell>
          <cell r="H1516">
            <v>311</v>
          </cell>
          <cell r="I1516">
            <v>2210</v>
          </cell>
          <cell r="J1516">
            <v>2310</v>
          </cell>
          <cell r="K1516" t="str">
            <v>VC01</v>
          </cell>
        </row>
        <row r="1517">
          <cell r="A1517" t="str">
            <v>1VJ1LP2584ZA</v>
          </cell>
          <cell r="B1517" t="str">
            <v>SMT</v>
          </cell>
          <cell r="C1517">
            <v>1</v>
          </cell>
          <cell r="D1517" t="e">
            <v>#N/A</v>
          </cell>
        </row>
        <row r="1518">
          <cell r="A1518" t="str">
            <v>1RE1LP2584ZA</v>
          </cell>
          <cell r="B1518" t="str">
            <v>SMT</v>
          </cell>
          <cell r="C1518">
            <v>1</v>
          </cell>
          <cell r="D1518">
            <v>553</v>
          </cell>
        </row>
        <row r="1519">
          <cell r="A1519" t="str">
            <v>1RE2LP2584ZA</v>
          </cell>
          <cell r="B1519" t="str">
            <v>SMT</v>
          </cell>
          <cell r="C1519">
            <v>1</v>
          </cell>
          <cell r="D1519">
            <v>638</v>
          </cell>
        </row>
        <row r="1520">
          <cell r="A1520" t="str">
            <v>1RH1LP2584ZA</v>
          </cell>
          <cell r="B1520" t="str">
            <v>SMT</v>
          </cell>
          <cell r="C1520">
            <v>1</v>
          </cell>
          <cell r="D1520">
            <v>15</v>
          </cell>
          <cell r="E1520">
            <v>2210</v>
          </cell>
          <cell r="F1520" t="str">
            <v>VC01</v>
          </cell>
          <cell r="G1520" t="str">
            <v>Auto</v>
          </cell>
          <cell r="H1520">
            <v>311</v>
          </cell>
          <cell r="I1520">
            <v>2210</v>
          </cell>
          <cell r="J1520">
            <v>2220</v>
          </cell>
          <cell r="K1520" t="str">
            <v>VC01</v>
          </cell>
        </row>
        <row r="1521">
          <cell r="A1521" t="str">
            <v>1AP1LP2584ZA</v>
          </cell>
          <cell r="B1521" t="str">
            <v>DIP</v>
          </cell>
          <cell r="C1521">
            <v>1</v>
          </cell>
          <cell r="D1521" t="e">
            <v>#N/A</v>
          </cell>
          <cell r="E1521">
            <v>2210</v>
          </cell>
          <cell r="F1521" t="str">
            <v>VC01</v>
          </cell>
          <cell r="G1521" t="str">
            <v>Auto</v>
          </cell>
          <cell r="H1521">
            <v>311</v>
          </cell>
          <cell r="I1521">
            <v>2210</v>
          </cell>
          <cell r="J1521">
            <v>2220</v>
          </cell>
          <cell r="K1521" t="str">
            <v>VC01</v>
          </cell>
        </row>
        <row r="1522">
          <cell r="A1522" t="str">
            <v>1VI1LPMB2170SXMZA</v>
          </cell>
          <cell r="B1522" t="str">
            <v>SMT</v>
          </cell>
          <cell r="C1522">
            <v>1</v>
          </cell>
          <cell r="D1522" t="e">
            <v>#N/A</v>
          </cell>
        </row>
        <row r="1523">
          <cell r="A1523" t="str">
            <v>1RE1LPMB2170SXMZA</v>
          </cell>
          <cell r="B1523" t="str">
            <v>SMT</v>
          </cell>
          <cell r="C1523">
            <v>1</v>
          </cell>
          <cell r="D1523">
            <v>262</v>
          </cell>
        </row>
        <row r="1524">
          <cell r="A1524" t="str">
            <v>1RE2LPMB2170SXMZA</v>
          </cell>
          <cell r="B1524" t="str">
            <v>SMT</v>
          </cell>
          <cell r="C1524">
            <v>1</v>
          </cell>
          <cell r="D1524">
            <v>364</v>
          </cell>
        </row>
        <row r="1525">
          <cell r="A1525" t="str">
            <v>1RH1LPMB2170SXMZA</v>
          </cell>
          <cell r="B1525" t="str">
            <v>SMT</v>
          </cell>
          <cell r="C1525">
            <v>1</v>
          </cell>
          <cell r="D1525">
            <v>7</v>
          </cell>
          <cell r="E1525">
            <v>2210</v>
          </cell>
          <cell r="F1525" t="str">
            <v>VC01</v>
          </cell>
          <cell r="G1525" t="str">
            <v>Auto</v>
          </cell>
          <cell r="H1525">
            <v>311</v>
          </cell>
          <cell r="I1525">
            <v>2210</v>
          </cell>
          <cell r="J1525">
            <v>2260</v>
          </cell>
          <cell r="K1525" t="str">
            <v>VC01</v>
          </cell>
        </row>
        <row r="1526">
          <cell r="A1526" t="str">
            <v>1AP1LPMB2170SXMZA</v>
          </cell>
          <cell r="B1526" t="str">
            <v>DIP</v>
          </cell>
          <cell r="C1526">
            <v>1</v>
          </cell>
          <cell r="D1526" t="e">
            <v>#N/A</v>
          </cell>
          <cell r="E1526">
            <v>2210</v>
          </cell>
          <cell r="F1526" t="str">
            <v>VC01</v>
          </cell>
          <cell r="G1526" t="str">
            <v>Auto</v>
          </cell>
          <cell r="H1526">
            <v>311</v>
          </cell>
          <cell r="I1526">
            <v>2210</v>
          </cell>
          <cell r="J1526">
            <v>2260</v>
          </cell>
          <cell r="K1526" t="str">
            <v>VC01</v>
          </cell>
        </row>
        <row r="1527">
          <cell r="A1527" t="str">
            <v>1VI1LPMB2178TWMZA</v>
          </cell>
          <cell r="B1527" t="str">
            <v>SMT</v>
          </cell>
          <cell r="C1527">
            <v>1</v>
          </cell>
          <cell r="D1527" t="e">
            <v>#N/A</v>
          </cell>
        </row>
        <row r="1528">
          <cell r="A1528" t="str">
            <v>1RE1LPMB2178TWMZA</v>
          </cell>
          <cell r="B1528" t="str">
            <v>SMT</v>
          </cell>
          <cell r="C1528">
            <v>1</v>
          </cell>
          <cell r="D1528">
            <v>276</v>
          </cell>
        </row>
        <row r="1529">
          <cell r="A1529" t="str">
            <v>1RE2LPMB2178TWMZA</v>
          </cell>
          <cell r="B1529" t="str">
            <v>SMT</v>
          </cell>
          <cell r="C1529">
            <v>1</v>
          </cell>
          <cell r="D1529">
            <v>385</v>
          </cell>
        </row>
        <row r="1530">
          <cell r="A1530" t="str">
            <v>1RH1LPMB2178TWMZA</v>
          </cell>
          <cell r="B1530" t="str">
            <v>SMT</v>
          </cell>
          <cell r="C1530">
            <v>1</v>
          </cell>
          <cell r="D1530">
            <v>7</v>
          </cell>
          <cell r="E1530">
            <v>2210</v>
          </cell>
          <cell r="F1530" t="str">
            <v>VC01</v>
          </cell>
          <cell r="G1530" t="str">
            <v>Auto</v>
          </cell>
          <cell r="H1530">
            <v>311</v>
          </cell>
          <cell r="I1530">
            <v>2210</v>
          </cell>
          <cell r="J1530">
            <v>2260</v>
          </cell>
          <cell r="K1530" t="str">
            <v>VC01</v>
          </cell>
        </row>
        <row r="1531">
          <cell r="A1531" t="str">
            <v>1AP1LPMB2178TWMZA</v>
          </cell>
          <cell r="B1531" t="str">
            <v>DIP</v>
          </cell>
          <cell r="C1531">
            <v>1</v>
          </cell>
          <cell r="D1531" t="e">
            <v>#N/A</v>
          </cell>
          <cell r="E1531">
            <v>2210</v>
          </cell>
          <cell r="F1531" t="str">
            <v>VC01</v>
          </cell>
          <cell r="G1531" t="str">
            <v>Auto</v>
          </cell>
          <cell r="H1531">
            <v>311</v>
          </cell>
          <cell r="I1531">
            <v>2210</v>
          </cell>
          <cell r="J1531">
            <v>2260</v>
          </cell>
          <cell r="K1531" t="str">
            <v>VC01</v>
          </cell>
        </row>
        <row r="1532">
          <cell r="A1532" t="str">
            <v>1CM1NCP1170</v>
          </cell>
          <cell r="B1532" t="str">
            <v>SMT</v>
          </cell>
          <cell r="C1532">
            <v>1</v>
          </cell>
          <cell r="D1532">
            <v>264</v>
          </cell>
        </row>
        <row r="1533">
          <cell r="A1533" t="str">
            <v>1RE2NCP1170</v>
          </cell>
          <cell r="B1533" t="str">
            <v>SMT</v>
          </cell>
          <cell r="C1533">
            <v>1</v>
          </cell>
          <cell r="D1533">
            <v>575</v>
          </cell>
        </row>
        <row r="1534">
          <cell r="A1534" t="str">
            <v>1RH1NCP1170</v>
          </cell>
          <cell r="B1534" t="str">
            <v>SMT</v>
          </cell>
          <cell r="C1534">
            <v>1</v>
          </cell>
          <cell r="D1534">
            <v>40</v>
          </cell>
          <cell r="E1534">
            <v>2210</v>
          </cell>
          <cell r="F1534" t="str">
            <v>VC01</v>
          </cell>
          <cell r="G1534" t="str">
            <v>Auto</v>
          </cell>
          <cell r="H1534">
            <v>311</v>
          </cell>
          <cell r="I1534">
            <v>2210</v>
          </cell>
          <cell r="J1534">
            <v>2310</v>
          </cell>
          <cell r="K1534" t="str">
            <v>VC01</v>
          </cell>
        </row>
        <row r="1535">
          <cell r="A1535" t="str">
            <v>1AP1NCP1170</v>
          </cell>
          <cell r="B1535" t="str">
            <v>DIP</v>
          </cell>
          <cell r="C1535">
            <v>1</v>
          </cell>
          <cell r="D1535" t="e">
            <v>#N/A</v>
          </cell>
          <cell r="E1535">
            <v>2210</v>
          </cell>
          <cell r="F1535" t="str">
            <v>VC01</v>
          </cell>
          <cell r="G1535" t="str">
            <v>Auto</v>
          </cell>
          <cell r="H1535">
            <v>311</v>
          </cell>
          <cell r="I1535">
            <v>2210</v>
          </cell>
          <cell r="J1535">
            <v>2310</v>
          </cell>
          <cell r="K1535" t="str">
            <v>VC01</v>
          </cell>
        </row>
        <row r="1536">
          <cell r="A1536" t="str">
            <v>1CM1NCP1170XJ</v>
          </cell>
          <cell r="B1536" t="str">
            <v>SMT</v>
          </cell>
          <cell r="C1536">
            <v>1</v>
          </cell>
          <cell r="D1536">
            <v>264</v>
          </cell>
        </row>
        <row r="1537">
          <cell r="A1537" t="str">
            <v>1RE2NCP1170XJ</v>
          </cell>
          <cell r="B1537" t="str">
            <v>SMT</v>
          </cell>
          <cell r="C1537">
            <v>1</v>
          </cell>
          <cell r="D1537">
            <v>575</v>
          </cell>
        </row>
        <row r="1538">
          <cell r="A1538" t="str">
            <v>1RH1NCP1170XJ</v>
          </cell>
          <cell r="B1538" t="str">
            <v>SMT</v>
          </cell>
          <cell r="C1538">
            <v>1</v>
          </cell>
          <cell r="D1538">
            <v>40</v>
          </cell>
          <cell r="E1538">
            <v>2210</v>
          </cell>
          <cell r="F1538" t="str">
            <v>VC01</v>
          </cell>
          <cell r="G1538" t="str">
            <v>Auto</v>
          </cell>
          <cell r="H1538">
            <v>311</v>
          </cell>
          <cell r="I1538">
            <v>2210</v>
          </cell>
          <cell r="J1538">
            <v>2310</v>
          </cell>
          <cell r="K1538" t="str">
            <v>VC01</v>
          </cell>
        </row>
        <row r="1539">
          <cell r="A1539" t="str">
            <v>1AP1NCP1170XJ</v>
          </cell>
          <cell r="B1539" t="str">
            <v>DIP</v>
          </cell>
          <cell r="C1539">
            <v>1</v>
          </cell>
          <cell r="D1539" t="e">
            <v>#N/A</v>
          </cell>
          <cell r="E1539">
            <v>2210</v>
          </cell>
          <cell r="F1539" t="str">
            <v>VC01</v>
          </cell>
          <cell r="G1539" t="str">
            <v>Auto</v>
          </cell>
          <cell r="H1539">
            <v>311</v>
          </cell>
          <cell r="I1539">
            <v>2210</v>
          </cell>
          <cell r="J1539">
            <v>2310</v>
          </cell>
          <cell r="K1539" t="str">
            <v>VC01</v>
          </cell>
        </row>
        <row r="1540">
          <cell r="A1540" t="str">
            <v>1RE1NCP1172</v>
          </cell>
          <cell r="B1540" t="str">
            <v>SMT</v>
          </cell>
          <cell r="C1540">
            <v>1</v>
          </cell>
          <cell r="D1540">
            <v>538</v>
          </cell>
        </row>
        <row r="1541">
          <cell r="A1541" t="str">
            <v>1RE2NCP1172</v>
          </cell>
          <cell r="B1541" t="str">
            <v>SMT</v>
          </cell>
          <cell r="C1541">
            <v>1</v>
          </cell>
          <cell r="D1541">
            <v>566</v>
          </cell>
        </row>
        <row r="1542">
          <cell r="A1542" t="str">
            <v>1RH1NCP1172</v>
          </cell>
          <cell r="B1542" t="str">
            <v>SMT</v>
          </cell>
          <cell r="C1542">
            <v>1</v>
          </cell>
          <cell r="D1542">
            <v>37</v>
          </cell>
          <cell r="E1542">
            <v>2210</v>
          </cell>
          <cell r="F1542" t="str">
            <v>VC01</v>
          </cell>
          <cell r="G1542" t="str">
            <v>Auto</v>
          </cell>
          <cell r="H1542">
            <v>311</v>
          </cell>
          <cell r="I1542">
            <v>2210</v>
          </cell>
          <cell r="J1542">
            <v>2310</v>
          </cell>
          <cell r="K1542" t="str">
            <v>VC01</v>
          </cell>
        </row>
        <row r="1543">
          <cell r="A1543" t="str">
            <v>1AP1NCP1172</v>
          </cell>
          <cell r="B1543" t="str">
            <v>DIP</v>
          </cell>
          <cell r="C1543">
            <v>1</v>
          </cell>
          <cell r="D1543" t="e">
            <v>#N/A</v>
          </cell>
          <cell r="E1543">
            <v>2210</v>
          </cell>
          <cell r="F1543" t="str">
            <v>VC01</v>
          </cell>
          <cell r="G1543" t="str">
            <v>Auto</v>
          </cell>
          <cell r="H1543">
            <v>311</v>
          </cell>
          <cell r="I1543">
            <v>2210</v>
          </cell>
          <cell r="J1543">
            <v>2310</v>
          </cell>
          <cell r="K1543" t="str">
            <v>VC01</v>
          </cell>
        </row>
        <row r="1544">
          <cell r="A1544" t="str">
            <v>1RE1NCP1173XJ</v>
          </cell>
          <cell r="B1544" t="str">
            <v>SMT</v>
          </cell>
          <cell r="C1544">
            <v>1</v>
          </cell>
          <cell r="D1544">
            <v>492</v>
          </cell>
        </row>
        <row r="1545">
          <cell r="A1545" t="str">
            <v>1RE2NCP1173XJ</v>
          </cell>
          <cell r="B1545" t="str">
            <v>SMT</v>
          </cell>
          <cell r="C1545">
            <v>1</v>
          </cell>
          <cell r="D1545">
            <v>360</v>
          </cell>
        </row>
        <row r="1546">
          <cell r="A1546" t="str">
            <v>1RH1NCP1173XJ</v>
          </cell>
          <cell r="B1546" t="str">
            <v>SMT</v>
          </cell>
          <cell r="C1546">
            <v>1</v>
          </cell>
          <cell r="D1546">
            <v>51</v>
          </cell>
          <cell r="E1546">
            <v>2210</v>
          </cell>
          <cell r="F1546" t="str">
            <v>VC01</v>
          </cell>
          <cell r="G1546" t="str">
            <v>Auto</v>
          </cell>
          <cell r="H1546">
            <v>311</v>
          </cell>
          <cell r="I1546">
            <v>2210</v>
          </cell>
          <cell r="J1546">
            <v>2310</v>
          </cell>
          <cell r="K1546" t="str">
            <v>VC01</v>
          </cell>
        </row>
        <row r="1547">
          <cell r="A1547" t="str">
            <v>1AP1NCP1173XJ</v>
          </cell>
          <cell r="B1547" t="str">
            <v>DIP</v>
          </cell>
          <cell r="C1547">
            <v>1</v>
          </cell>
          <cell r="D1547" t="e">
            <v>#N/A</v>
          </cell>
          <cell r="E1547">
            <v>2210</v>
          </cell>
          <cell r="F1547" t="str">
            <v>VC01</v>
          </cell>
          <cell r="G1547" t="str">
            <v>Auto</v>
          </cell>
          <cell r="H1547">
            <v>311</v>
          </cell>
          <cell r="I1547">
            <v>2210</v>
          </cell>
          <cell r="J1547">
            <v>2310</v>
          </cell>
          <cell r="K1547" t="str">
            <v>VC01</v>
          </cell>
        </row>
        <row r="1548">
          <cell r="A1548" t="str">
            <v>1RE1PSLP1644ZA</v>
          </cell>
          <cell r="B1548" t="str">
            <v>SMT</v>
          </cell>
          <cell r="C1548">
            <v>1</v>
          </cell>
          <cell r="D1548">
            <v>111</v>
          </cell>
          <cell r="E1548">
            <v>2210</v>
          </cell>
          <cell r="F1548" t="str">
            <v>VC01</v>
          </cell>
          <cell r="G1548" t="str">
            <v>Auto</v>
          </cell>
          <cell r="H1548">
            <v>311</v>
          </cell>
          <cell r="I1548">
            <v>2210</v>
          </cell>
          <cell r="J1548">
            <v>2310</v>
          </cell>
          <cell r="K1548" t="str">
            <v>VC01</v>
          </cell>
        </row>
        <row r="1549">
          <cell r="A1549" t="str">
            <v>1AP1PSLP1644ZA</v>
          </cell>
          <cell r="B1549" t="str">
            <v>DIP</v>
          </cell>
          <cell r="C1549">
            <v>1</v>
          </cell>
          <cell r="D1549" t="e">
            <v>#N/A</v>
          </cell>
          <cell r="E1549">
            <v>2210</v>
          </cell>
          <cell r="F1549" t="str">
            <v>VC01</v>
          </cell>
          <cell r="G1549" t="str">
            <v>Auto</v>
          </cell>
          <cell r="H1549">
            <v>311</v>
          </cell>
          <cell r="I1549">
            <v>2210</v>
          </cell>
          <cell r="J1549">
            <v>2310</v>
          </cell>
          <cell r="K1549" t="str">
            <v>VC01</v>
          </cell>
        </row>
        <row r="1550">
          <cell r="A1550" t="str">
            <v>1VI1PSLP1689ZA</v>
          </cell>
          <cell r="B1550" t="str">
            <v>SMT</v>
          </cell>
          <cell r="C1550">
            <v>1</v>
          </cell>
          <cell r="D1550" t="e">
            <v>#N/A</v>
          </cell>
        </row>
        <row r="1551">
          <cell r="A1551" t="str">
            <v>1RE1PSLP1689ZA</v>
          </cell>
          <cell r="B1551" t="str">
            <v>SMT</v>
          </cell>
          <cell r="C1551">
            <v>1</v>
          </cell>
          <cell r="D1551">
            <v>224</v>
          </cell>
        </row>
        <row r="1552">
          <cell r="A1552" t="str">
            <v>1RE2PSLP1689ZA</v>
          </cell>
          <cell r="B1552" t="str">
            <v>SMT</v>
          </cell>
          <cell r="C1552">
            <v>1</v>
          </cell>
          <cell r="D1552">
            <v>113</v>
          </cell>
          <cell r="E1552">
            <v>2210</v>
          </cell>
          <cell r="F1552" t="str">
            <v>VC01</v>
          </cell>
          <cell r="G1552" t="str">
            <v>Auto</v>
          </cell>
          <cell r="H1552">
            <v>311</v>
          </cell>
          <cell r="I1552">
            <v>2210</v>
          </cell>
          <cell r="J1552">
            <v>2220</v>
          </cell>
          <cell r="K1552" t="str">
            <v>VC01</v>
          </cell>
        </row>
        <row r="1553">
          <cell r="A1553" t="str">
            <v>1AP1PSLP1689ZA</v>
          </cell>
          <cell r="B1553" t="str">
            <v>DIP</v>
          </cell>
          <cell r="C1553">
            <v>1</v>
          </cell>
          <cell r="D1553" t="e">
            <v>#N/A</v>
          </cell>
          <cell r="E1553">
            <v>2210</v>
          </cell>
          <cell r="F1553" t="str">
            <v>VC01</v>
          </cell>
          <cell r="G1553" t="str">
            <v>Auto</v>
          </cell>
          <cell r="H1553">
            <v>311</v>
          </cell>
          <cell r="I1553">
            <v>2210</v>
          </cell>
          <cell r="J1553">
            <v>2220</v>
          </cell>
          <cell r="K1553" t="str">
            <v>VC01</v>
          </cell>
        </row>
        <row r="1554">
          <cell r="A1554" t="str">
            <v>1RE1TDA0162GV4</v>
          </cell>
          <cell r="B1554" t="str">
            <v>SMT</v>
          </cell>
          <cell r="C1554">
            <v>1</v>
          </cell>
          <cell r="D1554">
            <v>111</v>
          </cell>
        </row>
        <row r="1555">
          <cell r="A1555" t="str">
            <v>1RH1TDA0162GV4</v>
          </cell>
          <cell r="B1555" t="str">
            <v>SMT</v>
          </cell>
          <cell r="C1555">
            <v>1</v>
          </cell>
          <cell r="D1555">
            <v>15</v>
          </cell>
          <cell r="E1555">
            <v>2210</v>
          </cell>
          <cell r="F1555" t="str">
            <v>VC01</v>
          </cell>
          <cell r="G1555" t="str">
            <v>Auto</v>
          </cell>
          <cell r="H1555">
            <v>311</v>
          </cell>
          <cell r="I1555">
            <v>2210</v>
          </cell>
          <cell r="J1555">
            <v>2310</v>
          </cell>
          <cell r="K1555" t="str">
            <v>VC01</v>
          </cell>
        </row>
        <row r="1556">
          <cell r="A1556" t="str">
            <v>1AP1TDA0162GV4</v>
          </cell>
          <cell r="B1556" t="str">
            <v>DIP</v>
          </cell>
          <cell r="C1556">
            <v>1</v>
          </cell>
          <cell r="D1556" t="e">
            <v>#N/A</v>
          </cell>
          <cell r="E1556">
            <v>2210</v>
          </cell>
          <cell r="F1556" t="str">
            <v>VC01</v>
          </cell>
          <cell r="G1556" t="str">
            <v>Auto</v>
          </cell>
          <cell r="H1556">
            <v>311</v>
          </cell>
          <cell r="I1556">
            <v>2210</v>
          </cell>
          <cell r="J1556">
            <v>2310</v>
          </cell>
          <cell r="K1556" t="str">
            <v>VC01</v>
          </cell>
        </row>
        <row r="1557">
          <cell r="A1557" t="str">
            <v>1VJ1TDA0173XV4</v>
          </cell>
          <cell r="B1557" t="str">
            <v>SMT</v>
          </cell>
          <cell r="C1557">
            <v>1</v>
          </cell>
          <cell r="D1557" t="e">
            <v>#N/A</v>
          </cell>
        </row>
        <row r="1558">
          <cell r="A1558" t="str">
            <v>1RE1TDA0173XV4</v>
          </cell>
          <cell r="B1558" t="str">
            <v>SMT</v>
          </cell>
          <cell r="C1558">
            <v>1</v>
          </cell>
          <cell r="D1558">
            <v>578</v>
          </cell>
        </row>
        <row r="1559">
          <cell r="A1559" t="str">
            <v>1RE2TDA0173XV4</v>
          </cell>
          <cell r="B1559" t="str">
            <v>SMT</v>
          </cell>
          <cell r="C1559">
            <v>1</v>
          </cell>
          <cell r="D1559">
            <v>285</v>
          </cell>
        </row>
        <row r="1560">
          <cell r="A1560" t="str">
            <v>1RH1TDA0173XV4</v>
          </cell>
          <cell r="B1560" t="str">
            <v>SMT</v>
          </cell>
          <cell r="C1560">
            <v>1</v>
          </cell>
          <cell r="D1560">
            <v>76</v>
          </cell>
          <cell r="E1560">
            <v>2210</v>
          </cell>
          <cell r="F1560" t="str">
            <v>VC01</v>
          </cell>
          <cell r="G1560" t="str">
            <v>Auto</v>
          </cell>
          <cell r="H1560">
            <v>311</v>
          </cell>
          <cell r="I1560">
            <v>2210</v>
          </cell>
          <cell r="J1560">
            <v>2310</v>
          </cell>
          <cell r="K1560" t="str">
            <v>VC01</v>
          </cell>
        </row>
        <row r="1561">
          <cell r="A1561" t="str">
            <v>1AP1TDA0173XV4</v>
          </cell>
          <cell r="B1561" t="str">
            <v>DIP</v>
          </cell>
          <cell r="C1561">
            <v>1</v>
          </cell>
          <cell r="D1561" t="e">
            <v>#N/A</v>
          </cell>
          <cell r="E1561">
            <v>2210</v>
          </cell>
          <cell r="F1561" t="str">
            <v>VC01</v>
          </cell>
          <cell r="G1561" t="str">
            <v>Auto</v>
          </cell>
          <cell r="H1561">
            <v>311</v>
          </cell>
          <cell r="I1561">
            <v>2210</v>
          </cell>
          <cell r="J1561">
            <v>2310</v>
          </cell>
          <cell r="K1561" t="str">
            <v>VC01</v>
          </cell>
        </row>
        <row r="1562">
          <cell r="A1562" t="str">
            <v>1RE1TDA0175XJV4</v>
          </cell>
          <cell r="B1562" t="str">
            <v>SMT</v>
          </cell>
          <cell r="C1562">
            <v>1</v>
          </cell>
          <cell r="D1562">
            <v>280</v>
          </cell>
        </row>
        <row r="1563">
          <cell r="A1563" t="str">
            <v>1RE2TDA0175XJV4</v>
          </cell>
          <cell r="B1563" t="str">
            <v>SMT</v>
          </cell>
          <cell r="C1563">
            <v>1</v>
          </cell>
          <cell r="D1563">
            <v>509</v>
          </cell>
        </row>
        <row r="1564">
          <cell r="A1564" t="str">
            <v>1RH1TDA0175XJV4</v>
          </cell>
          <cell r="B1564" t="str">
            <v>SMT</v>
          </cell>
          <cell r="C1564">
            <v>1</v>
          </cell>
          <cell r="D1564">
            <v>117</v>
          </cell>
          <cell r="E1564">
            <v>2210</v>
          </cell>
          <cell r="F1564" t="str">
            <v>VC01</v>
          </cell>
          <cell r="G1564" t="str">
            <v>Auto</v>
          </cell>
          <cell r="H1564">
            <v>311</v>
          </cell>
          <cell r="I1564">
            <v>2210</v>
          </cell>
          <cell r="J1564">
            <v>2310</v>
          </cell>
          <cell r="K1564" t="str">
            <v>VC01</v>
          </cell>
        </row>
        <row r="1565">
          <cell r="A1565" t="str">
            <v>1AP1TDA0175XJV4</v>
          </cell>
          <cell r="B1565" t="str">
            <v>DIP</v>
          </cell>
          <cell r="C1565">
            <v>1</v>
          </cell>
          <cell r="D1565" t="e">
            <v>#N/A</v>
          </cell>
          <cell r="E1565">
            <v>2210</v>
          </cell>
          <cell r="F1565" t="str">
            <v>VC01</v>
          </cell>
          <cell r="G1565" t="str">
            <v>Auto</v>
          </cell>
          <cell r="H1565">
            <v>311</v>
          </cell>
          <cell r="I1565">
            <v>2210</v>
          </cell>
          <cell r="J1565">
            <v>2310</v>
          </cell>
          <cell r="K1565" t="str">
            <v>VC01</v>
          </cell>
        </row>
        <row r="1566">
          <cell r="A1566" t="str">
            <v>1VI1TDA0184XJV4</v>
          </cell>
          <cell r="B1566" t="str">
            <v>SMT</v>
          </cell>
          <cell r="C1566">
            <v>1</v>
          </cell>
          <cell r="D1566" t="e">
            <v>#N/A</v>
          </cell>
        </row>
        <row r="1567">
          <cell r="A1567" t="str">
            <v>1RE1TDA0184XJV4</v>
          </cell>
          <cell r="B1567" t="str">
            <v>SMT</v>
          </cell>
          <cell r="C1567">
            <v>1</v>
          </cell>
          <cell r="D1567">
            <v>502</v>
          </cell>
        </row>
        <row r="1568">
          <cell r="A1568" t="str">
            <v>1RE2TDA0184XJV4</v>
          </cell>
          <cell r="B1568" t="str">
            <v>SMT</v>
          </cell>
          <cell r="C1568">
            <v>1</v>
          </cell>
          <cell r="D1568">
            <v>498</v>
          </cell>
        </row>
        <row r="1569">
          <cell r="A1569" t="str">
            <v>1RH1TDA0184XJV4</v>
          </cell>
          <cell r="B1569" t="str">
            <v>SMT</v>
          </cell>
          <cell r="C1569">
            <v>1</v>
          </cell>
          <cell r="D1569">
            <v>37</v>
          </cell>
          <cell r="E1569">
            <v>2210</v>
          </cell>
          <cell r="F1569" t="str">
            <v>VC01</v>
          </cell>
          <cell r="G1569" t="str">
            <v>Auto</v>
          </cell>
          <cell r="H1569">
            <v>311</v>
          </cell>
          <cell r="I1569">
            <v>2210</v>
          </cell>
          <cell r="J1569">
            <v>2310</v>
          </cell>
          <cell r="K1569" t="str">
            <v>VC01</v>
          </cell>
        </row>
        <row r="1570">
          <cell r="A1570" t="str">
            <v>1AP1TDA0184XJV4</v>
          </cell>
          <cell r="B1570" t="str">
            <v>DIP</v>
          </cell>
          <cell r="C1570">
            <v>1</v>
          </cell>
          <cell r="D1570" t="e">
            <v>#N/A</v>
          </cell>
          <cell r="E1570">
            <v>2210</v>
          </cell>
          <cell r="F1570" t="str">
            <v>VC01</v>
          </cell>
          <cell r="G1570" t="str">
            <v>Auto</v>
          </cell>
          <cell r="H1570">
            <v>311</v>
          </cell>
          <cell r="I1570">
            <v>2210</v>
          </cell>
          <cell r="J1570">
            <v>2310</v>
          </cell>
          <cell r="K1570" t="str">
            <v>VC01</v>
          </cell>
        </row>
        <row r="1571">
          <cell r="A1571" t="str">
            <v>1VJ1TDA0190V4</v>
          </cell>
          <cell r="B1571" t="str">
            <v>SMT</v>
          </cell>
          <cell r="C1571">
            <v>1</v>
          </cell>
          <cell r="D1571" t="e">
            <v>#N/A</v>
          </cell>
        </row>
        <row r="1572">
          <cell r="A1572" t="str">
            <v>1CM1TDA0190V4</v>
          </cell>
          <cell r="B1572" t="str">
            <v>SMT</v>
          </cell>
          <cell r="C1572">
            <v>1</v>
          </cell>
          <cell r="D1572">
            <v>176</v>
          </cell>
        </row>
        <row r="1573">
          <cell r="A1573" t="str">
            <v>1RE2TDA0190V4</v>
          </cell>
          <cell r="B1573" t="str">
            <v>SMT</v>
          </cell>
          <cell r="C1573">
            <v>1</v>
          </cell>
          <cell r="D1573">
            <v>207</v>
          </cell>
        </row>
        <row r="1574">
          <cell r="A1574" t="str">
            <v>1RH1TDA0190V4</v>
          </cell>
          <cell r="B1574" t="str">
            <v>SMT</v>
          </cell>
          <cell r="C1574">
            <v>1</v>
          </cell>
          <cell r="D1574">
            <v>1</v>
          </cell>
          <cell r="E1574">
            <v>2210</v>
          </cell>
          <cell r="F1574" t="str">
            <v>VC01</v>
          </cell>
          <cell r="G1574" t="str">
            <v>Auto</v>
          </cell>
          <cell r="H1574">
            <v>311</v>
          </cell>
          <cell r="I1574">
            <v>2210</v>
          </cell>
          <cell r="J1574">
            <v>2310</v>
          </cell>
          <cell r="K1574" t="str">
            <v>VC01</v>
          </cell>
        </row>
        <row r="1575">
          <cell r="A1575" t="str">
            <v>1AP1TDA0190V4</v>
          </cell>
          <cell r="B1575" t="str">
            <v>DIP</v>
          </cell>
          <cell r="C1575">
            <v>1</v>
          </cell>
          <cell r="D1575" t="e">
            <v>#N/A</v>
          </cell>
          <cell r="E1575">
            <v>2210</v>
          </cell>
          <cell r="F1575" t="str">
            <v>VC01</v>
          </cell>
          <cell r="G1575" t="str">
            <v>Auto</v>
          </cell>
          <cell r="H1575">
            <v>311</v>
          </cell>
          <cell r="I1575">
            <v>2210</v>
          </cell>
          <cell r="J1575">
            <v>2310</v>
          </cell>
          <cell r="K1575" t="str">
            <v>VC01</v>
          </cell>
        </row>
        <row r="1576">
          <cell r="A1576" t="str">
            <v>1VJ1TDA0470XJV4</v>
          </cell>
          <cell r="B1576" t="str">
            <v>SMT</v>
          </cell>
          <cell r="C1576">
            <v>1</v>
          </cell>
          <cell r="D1576" t="e">
            <v>#N/A</v>
          </cell>
        </row>
        <row r="1577">
          <cell r="A1577" t="str">
            <v>1VJ2TDA0470XJV4</v>
          </cell>
          <cell r="B1577" t="str">
            <v>SMT</v>
          </cell>
          <cell r="C1577">
            <v>1</v>
          </cell>
          <cell r="D1577" t="e">
            <v>#N/A</v>
          </cell>
        </row>
        <row r="1578">
          <cell r="A1578" t="str">
            <v>1RE1TDA0470XJV4</v>
          </cell>
          <cell r="B1578" t="str">
            <v>SMT</v>
          </cell>
          <cell r="C1578">
            <v>1</v>
          </cell>
          <cell r="D1578">
            <v>257</v>
          </cell>
        </row>
        <row r="1579">
          <cell r="A1579" t="str">
            <v>1RE2TDA0470XJV4</v>
          </cell>
          <cell r="B1579" t="str">
            <v>SMT</v>
          </cell>
          <cell r="C1579">
            <v>1</v>
          </cell>
          <cell r="D1579">
            <v>437</v>
          </cell>
          <cell r="E1579">
            <v>2210</v>
          </cell>
          <cell r="F1579" t="str">
            <v>VC01</v>
          </cell>
          <cell r="G1579" t="str">
            <v>Auto</v>
          </cell>
          <cell r="H1579">
            <v>311</v>
          </cell>
          <cell r="I1579">
            <v>2210</v>
          </cell>
          <cell r="J1579">
            <v>2310</v>
          </cell>
          <cell r="K1579" t="str">
            <v>VC01</v>
          </cell>
        </row>
        <row r="1580">
          <cell r="A1580" t="str">
            <v>1AP1TDA0470XJV4</v>
          </cell>
          <cell r="B1580" t="str">
            <v>DIP</v>
          </cell>
          <cell r="C1580">
            <v>1</v>
          </cell>
          <cell r="D1580" t="e">
            <v>#N/A</v>
          </cell>
          <cell r="E1580">
            <v>2210</v>
          </cell>
          <cell r="F1580" t="str">
            <v>VC01</v>
          </cell>
          <cell r="G1580" t="str">
            <v>Auto</v>
          </cell>
          <cell r="H1580">
            <v>311</v>
          </cell>
          <cell r="I1580">
            <v>2210</v>
          </cell>
          <cell r="J1580">
            <v>2310</v>
          </cell>
          <cell r="K1580" t="str">
            <v>VC01</v>
          </cell>
        </row>
        <row r="1581">
          <cell r="A1581" t="str">
            <v>1VJ1TDA0484XJV4</v>
          </cell>
          <cell r="B1581" t="str">
            <v>SMT</v>
          </cell>
          <cell r="C1581">
            <v>1</v>
          </cell>
          <cell r="D1581" t="e">
            <v>#N/A</v>
          </cell>
        </row>
        <row r="1582">
          <cell r="A1582" t="str">
            <v>1VJ2TDA0484XJV4</v>
          </cell>
          <cell r="B1582" t="str">
            <v>SMT</v>
          </cell>
          <cell r="C1582">
            <v>1</v>
          </cell>
          <cell r="D1582" t="e">
            <v>#N/A</v>
          </cell>
        </row>
        <row r="1583">
          <cell r="A1583" t="str">
            <v>1RE1TDA0484XJV4</v>
          </cell>
          <cell r="B1583" t="str">
            <v>SMT</v>
          </cell>
          <cell r="C1583">
            <v>1</v>
          </cell>
          <cell r="D1583">
            <v>242</v>
          </cell>
        </row>
        <row r="1584">
          <cell r="A1584" t="str">
            <v>1RE2TDA0484XJV4</v>
          </cell>
          <cell r="B1584" t="str">
            <v>SMT</v>
          </cell>
          <cell r="C1584">
            <v>1</v>
          </cell>
          <cell r="D1584">
            <v>436</v>
          </cell>
          <cell r="E1584">
            <v>2210</v>
          </cell>
          <cell r="F1584" t="str">
            <v>VC01</v>
          </cell>
          <cell r="G1584" t="str">
            <v>Auto</v>
          </cell>
          <cell r="H1584">
            <v>311</v>
          </cell>
          <cell r="I1584">
            <v>2210</v>
          </cell>
          <cell r="J1584">
            <v>2310</v>
          </cell>
          <cell r="K1584" t="str">
            <v>VC01</v>
          </cell>
        </row>
        <row r="1585">
          <cell r="A1585" t="str">
            <v>1AP1TDA0484XJV4</v>
          </cell>
          <cell r="B1585" t="str">
            <v>DIP</v>
          </cell>
          <cell r="C1585">
            <v>1</v>
          </cell>
          <cell r="D1585" t="e">
            <v>#N/A</v>
          </cell>
          <cell r="E1585">
            <v>2210</v>
          </cell>
          <cell r="F1585" t="str">
            <v>VC01</v>
          </cell>
          <cell r="G1585" t="str">
            <v>Auto</v>
          </cell>
          <cell r="H1585">
            <v>311</v>
          </cell>
          <cell r="I1585">
            <v>2210</v>
          </cell>
          <cell r="J1585">
            <v>2310</v>
          </cell>
          <cell r="K1585" t="str">
            <v>VC01</v>
          </cell>
        </row>
        <row r="1586">
          <cell r="A1586" t="str">
            <v>1CM1TDA3180XV4</v>
          </cell>
          <cell r="B1586" t="str">
            <v>SMT</v>
          </cell>
          <cell r="C1586">
            <v>1</v>
          </cell>
          <cell r="D1586">
            <v>168</v>
          </cell>
        </row>
        <row r="1587">
          <cell r="A1587" t="str">
            <v>1RE2TDA3180XV4</v>
          </cell>
          <cell r="B1587" t="str">
            <v>SMT</v>
          </cell>
          <cell r="C1587">
            <v>1</v>
          </cell>
          <cell r="D1587">
            <v>143</v>
          </cell>
        </row>
        <row r="1588">
          <cell r="A1588" t="str">
            <v>1RH1TDA3180XV4</v>
          </cell>
          <cell r="B1588" t="str">
            <v>SMT</v>
          </cell>
          <cell r="C1588">
            <v>1</v>
          </cell>
          <cell r="D1588">
            <v>21</v>
          </cell>
          <cell r="E1588">
            <v>2210</v>
          </cell>
          <cell r="F1588" t="str">
            <v>VC01</v>
          </cell>
          <cell r="G1588" t="str">
            <v>Auto</v>
          </cell>
          <cell r="H1588">
            <v>311</v>
          </cell>
          <cell r="I1588">
            <v>2210</v>
          </cell>
          <cell r="J1588">
            <v>2310</v>
          </cell>
          <cell r="K1588" t="str">
            <v>VC01</v>
          </cell>
        </row>
        <row r="1589">
          <cell r="A1589" t="str">
            <v>1AP1TDA3180XV4</v>
          </cell>
          <cell r="B1589" t="str">
            <v>DIP</v>
          </cell>
          <cell r="C1589">
            <v>1</v>
          </cell>
          <cell r="D1589" t="e">
            <v>#N/A</v>
          </cell>
          <cell r="E1589">
            <v>2210</v>
          </cell>
          <cell r="F1589" t="str">
            <v>VC01</v>
          </cell>
          <cell r="G1589" t="str">
            <v>Auto</v>
          </cell>
          <cell r="H1589">
            <v>311</v>
          </cell>
          <cell r="I1589">
            <v>2210</v>
          </cell>
          <cell r="J1589">
            <v>2310</v>
          </cell>
          <cell r="K1589" t="str">
            <v>VC01</v>
          </cell>
        </row>
        <row r="1590">
          <cell r="A1590" t="str">
            <v>1VJ1TDA6174XJV4</v>
          </cell>
          <cell r="B1590" t="str">
            <v>SMT</v>
          </cell>
          <cell r="C1590">
            <v>1</v>
          </cell>
          <cell r="D1590" t="e">
            <v>#N/A</v>
          </cell>
        </row>
        <row r="1591">
          <cell r="A1591" t="str">
            <v>1RE1TDA6174XJV4</v>
          </cell>
          <cell r="B1591" t="str">
            <v>SMT</v>
          </cell>
          <cell r="C1591">
            <v>1</v>
          </cell>
          <cell r="D1591">
            <v>225</v>
          </cell>
        </row>
        <row r="1592">
          <cell r="A1592" t="str">
            <v>1RE2TDA6174XJV4</v>
          </cell>
          <cell r="B1592" t="str">
            <v>SMT</v>
          </cell>
          <cell r="C1592">
            <v>1</v>
          </cell>
          <cell r="D1592">
            <v>416</v>
          </cell>
        </row>
        <row r="1593">
          <cell r="A1593" t="str">
            <v>1RH1TDA6174XJV4</v>
          </cell>
          <cell r="B1593" t="str">
            <v>SMT</v>
          </cell>
          <cell r="C1593">
            <v>1</v>
          </cell>
          <cell r="D1593">
            <v>101</v>
          </cell>
          <cell r="E1593">
            <v>2210</v>
          </cell>
          <cell r="F1593" t="str">
            <v>VC01</v>
          </cell>
          <cell r="G1593" t="str">
            <v>Auto</v>
          </cell>
          <cell r="H1593">
            <v>311</v>
          </cell>
          <cell r="I1593">
            <v>2210</v>
          </cell>
          <cell r="J1593">
            <v>2310</v>
          </cell>
          <cell r="K1593" t="str">
            <v>VC01</v>
          </cell>
        </row>
        <row r="1594">
          <cell r="A1594" t="str">
            <v>1AP1TDA6174XJV4</v>
          </cell>
          <cell r="B1594" t="str">
            <v>DIP</v>
          </cell>
          <cell r="C1594">
            <v>1</v>
          </cell>
          <cell r="D1594" t="e">
            <v>#N/A</v>
          </cell>
          <cell r="E1594">
            <v>2210</v>
          </cell>
          <cell r="F1594" t="str">
            <v>VC01</v>
          </cell>
          <cell r="G1594" t="str">
            <v>Auto</v>
          </cell>
          <cell r="H1594">
            <v>311</v>
          </cell>
          <cell r="I1594">
            <v>2210</v>
          </cell>
          <cell r="J1594">
            <v>2310</v>
          </cell>
          <cell r="K1594" t="str">
            <v>VC01</v>
          </cell>
        </row>
        <row r="1595">
          <cell r="A1595" t="str">
            <v>1VJ1TDA6174XV4</v>
          </cell>
          <cell r="B1595" t="str">
            <v>SMT</v>
          </cell>
          <cell r="C1595">
            <v>1</v>
          </cell>
          <cell r="D1595" t="e">
            <v>#N/A</v>
          </cell>
        </row>
        <row r="1596">
          <cell r="A1596" t="str">
            <v>1RE1TDA6174XV4</v>
          </cell>
          <cell r="B1596" t="str">
            <v>SMT</v>
          </cell>
          <cell r="C1596">
            <v>1</v>
          </cell>
          <cell r="D1596">
            <v>226</v>
          </cell>
        </row>
        <row r="1597">
          <cell r="A1597" t="str">
            <v>1RE2TDA6174XV4</v>
          </cell>
          <cell r="B1597" t="str">
            <v>SMT</v>
          </cell>
          <cell r="C1597">
            <v>1</v>
          </cell>
          <cell r="D1597">
            <v>415</v>
          </cell>
        </row>
        <row r="1598">
          <cell r="A1598" t="str">
            <v>1RH1TDA6174XV4</v>
          </cell>
          <cell r="B1598" t="str">
            <v>SMT</v>
          </cell>
          <cell r="C1598">
            <v>1</v>
          </cell>
          <cell r="D1598">
            <v>101</v>
          </cell>
          <cell r="E1598">
            <v>2210</v>
          </cell>
          <cell r="F1598" t="str">
            <v>VC01</v>
          </cell>
          <cell r="G1598" t="str">
            <v>Auto</v>
          </cell>
          <cell r="H1598">
            <v>311</v>
          </cell>
          <cell r="I1598">
            <v>2210</v>
          </cell>
          <cell r="J1598">
            <v>2310</v>
          </cell>
          <cell r="K1598" t="str">
            <v>VC01</v>
          </cell>
        </row>
        <row r="1599">
          <cell r="A1599" t="str">
            <v>1AP1TDA6174XV4</v>
          </cell>
          <cell r="B1599" t="str">
            <v>DIP</v>
          </cell>
          <cell r="C1599">
            <v>1</v>
          </cell>
          <cell r="D1599" t="e">
            <v>#N/A</v>
          </cell>
          <cell r="E1599">
            <v>2210</v>
          </cell>
          <cell r="F1599" t="str">
            <v>VC01</v>
          </cell>
          <cell r="G1599" t="str">
            <v>Auto</v>
          </cell>
          <cell r="H1599">
            <v>311</v>
          </cell>
          <cell r="I1599">
            <v>2210</v>
          </cell>
          <cell r="J1599">
            <v>2310</v>
          </cell>
          <cell r="K1599" t="str">
            <v>VC01</v>
          </cell>
        </row>
        <row r="1600">
          <cell r="A1600" t="str">
            <v>1VJ1LPTCA285BRRZA</v>
          </cell>
          <cell r="B1600" t="str">
            <v>SMT</v>
          </cell>
          <cell r="C1600">
            <v>1</v>
          </cell>
          <cell r="D1600" t="e">
            <v>#N/A</v>
          </cell>
        </row>
        <row r="1601">
          <cell r="A1601" t="str">
            <v>1RE1LPTCA285BRRZA</v>
          </cell>
          <cell r="B1601" t="str">
            <v>SMT</v>
          </cell>
          <cell r="C1601">
            <v>1</v>
          </cell>
          <cell r="D1601">
            <v>26</v>
          </cell>
        </row>
        <row r="1602">
          <cell r="A1602" t="str">
            <v>1RE2LPTCA285BRRZA</v>
          </cell>
          <cell r="B1602" t="str">
            <v>DIP</v>
          </cell>
          <cell r="C1602">
            <v>1</v>
          </cell>
          <cell r="D1602">
            <v>198</v>
          </cell>
          <cell r="E1602">
            <v>2210</v>
          </cell>
          <cell r="F1602" t="str">
            <v>VC01</v>
          </cell>
          <cell r="G1602" t="str">
            <v>Auto</v>
          </cell>
          <cell r="H1602">
            <v>311</v>
          </cell>
          <cell r="I1602">
            <v>2210</v>
          </cell>
          <cell r="J1602">
            <v>2220</v>
          </cell>
          <cell r="K1602" t="str">
            <v>VC01</v>
          </cell>
        </row>
        <row r="1603">
          <cell r="A1603" t="str">
            <v>1RE1PSLP1526ZAL4</v>
          </cell>
          <cell r="B1603" t="str">
            <v>SMT</v>
          </cell>
          <cell r="C1603">
            <v>1</v>
          </cell>
          <cell r="D1603">
            <v>49</v>
          </cell>
        </row>
        <row r="1604">
          <cell r="A1604" t="str">
            <v>1RE2PSLP1526ZAL4</v>
          </cell>
          <cell r="B1604" t="str">
            <v>DIP</v>
          </cell>
          <cell r="C1604">
            <v>1</v>
          </cell>
          <cell r="D1604">
            <v>342</v>
          </cell>
          <cell r="E1604">
            <v>2210</v>
          </cell>
          <cell r="F1604" t="str">
            <v>VC01</v>
          </cell>
          <cell r="G1604" t="str">
            <v>Auto</v>
          </cell>
          <cell r="H1604">
            <v>311</v>
          </cell>
          <cell r="I1604">
            <v>2210</v>
          </cell>
          <cell r="J1604">
            <v>2220</v>
          </cell>
          <cell r="K1604" t="str">
            <v>VC01</v>
          </cell>
        </row>
        <row r="1605">
          <cell r="A1605" t="str">
            <v>2RE1TDA0484XJV4</v>
          </cell>
          <cell r="B1605" t="str">
            <v>SMT</v>
          </cell>
          <cell r="C1605">
            <v>1</v>
          </cell>
          <cell r="D1605">
            <v>36</v>
          </cell>
        </row>
        <row r="1606">
          <cell r="A1606" t="str">
            <v>2RE2TDA0484XJV4</v>
          </cell>
          <cell r="B1606" t="str">
            <v>SMT</v>
          </cell>
          <cell r="C1606">
            <v>1</v>
          </cell>
          <cell r="D1606">
            <v>27</v>
          </cell>
          <cell r="E1606">
            <v>2210</v>
          </cell>
          <cell r="F1606" t="str">
            <v>VC01</v>
          </cell>
          <cell r="G1606" t="str">
            <v>Auto</v>
          </cell>
          <cell r="H1606">
            <v>311</v>
          </cell>
          <cell r="I1606">
            <v>2210</v>
          </cell>
          <cell r="J1606">
            <v>2310</v>
          </cell>
          <cell r="K1606" t="str">
            <v>VC01</v>
          </cell>
        </row>
        <row r="1607">
          <cell r="A1607" t="str">
            <v>2AP1TDA0484XJV4</v>
          </cell>
          <cell r="B1607" t="str">
            <v>DIP</v>
          </cell>
          <cell r="C1607">
            <v>1</v>
          </cell>
          <cell r="D1607" t="e">
            <v>#N/A</v>
          </cell>
          <cell r="E1607">
            <v>2210</v>
          </cell>
          <cell r="F1607" t="str">
            <v>VC01</v>
          </cell>
          <cell r="G1607" t="str">
            <v>Auto</v>
          </cell>
          <cell r="H1607">
            <v>311</v>
          </cell>
          <cell r="I1607">
            <v>2210</v>
          </cell>
          <cell r="J1607">
            <v>2310</v>
          </cell>
          <cell r="K1607" t="str">
            <v>VC01</v>
          </cell>
        </row>
        <row r="1608">
          <cell r="A1608" t="str">
            <v>VBE611ADPBM1V4</v>
          </cell>
          <cell r="B1608" t="str">
            <v>SMT</v>
          </cell>
          <cell r="C1608">
            <v>1</v>
          </cell>
          <cell r="D1608">
            <v>30</v>
          </cell>
        </row>
        <row r="1609">
          <cell r="A1609" t="str">
            <v>PEM24DAPBM2V4</v>
          </cell>
          <cell r="B1609" t="str">
            <v>SMT</v>
          </cell>
          <cell r="C1609">
            <v>1</v>
          </cell>
          <cell r="D1609">
            <v>220</v>
          </cell>
          <cell r="E1609">
            <v>2210</v>
          </cell>
          <cell r="F1609" t="str">
            <v>VC01</v>
          </cell>
          <cell r="G1609" t="str">
            <v>Auto</v>
          </cell>
          <cell r="H1609">
            <v>311</v>
          </cell>
          <cell r="I1609">
            <v>2210</v>
          </cell>
          <cell r="J1609">
            <v>2220</v>
          </cell>
          <cell r="K1609" t="str">
            <v>VC01</v>
          </cell>
        </row>
        <row r="1610">
          <cell r="A1610" t="str">
            <v>1AE1LPMB536CXKZA</v>
          </cell>
          <cell r="B1610" t="str">
            <v>SMT</v>
          </cell>
          <cell r="C1610">
            <v>1</v>
          </cell>
          <cell r="D1610">
            <v>18</v>
          </cell>
        </row>
        <row r="1611">
          <cell r="A1611" t="str">
            <v>1RH1LPMB536CXKZA</v>
          </cell>
          <cell r="B1611" t="str">
            <v>SMT</v>
          </cell>
          <cell r="C1611">
            <v>1</v>
          </cell>
          <cell r="D1611">
            <v>46</v>
          </cell>
        </row>
        <row r="1612">
          <cell r="A1612" t="str">
            <v>1CM1LPMB536CXKZA</v>
          </cell>
          <cell r="B1612" t="str">
            <v>SMT</v>
          </cell>
          <cell r="C1612">
            <v>1</v>
          </cell>
          <cell r="D1612">
            <v>46</v>
          </cell>
          <cell r="E1612">
            <v>2210</v>
          </cell>
          <cell r="F1612" t="str">
            <v>VC01</v>
          </cell>
          <cell r="G1612" t="str">
            <v>Auto</v>
          </cell>
          <cell r="H1612">
            <v>311</v>
          </cell>
          <cell r="I1612">
            <v>2210</v>
          </cell>
          <cell r="J1612">
            <v>2360</v>
          </cell>
          <cell r="K1612" t="str">
            <v>VC01</v>
          </cell>
        </row>
        <row r="1613">
          <cell r="A1613" t="str">
            <v>1AP1LPMB536CXKZA</v>
          </cell>
          <cell r="B1613" t="str">
            <v>DIP</v>
          </cell>
          <cell r="C1613">
            <v>1</v>
          </cell>
          <cell r="D1613" t="e">
            <v>#N/A</v>
          </cell>
          <cell r="E1613">
            <v>2210</v>
          </cell>
          <cell r="F1613" t="str">
            <v>VC01</v>
          </cell>
          <cell r="G1613" t="str">
            <v>Auto</v>
          </cell>
          <cell r="H1613">
            <v>311</v>
          </cell>
          <cell r="I1613">
            <v>2210</v>
          </cell>
          <cell r="J1613">
            <v>2360</v>
          </cell>
          <cell r="K1613" t="str">
            <v>VC01</v>
          </cell>
        </row>
        <row r="1614">
          <cell r="A1614" t="str">
            <v>1RE1LPMB545JTCYA</v>
          </cell>
          <cell r="B1614" t="str">
            <v>SMT</v>
          </cell>
          <cell r="C1614">
            <v>1</v>
          </cell>
          <cell r="D1614">
            <v>69</v>
          </cell>
        </row>
        <row r="1615">
          <cell r="A1615" t="str">
            <v>1AE1LPMB545JTCYA</v>
          </cell>
          <cell r="B1615" t="str">
            <v>SMT</v>
          </cell>
          <cell r="C1615">
            <v>1</v>
          </cell>
          <cell r="D1615">
            <v>12</v>
          </cell>
        </row>
        <row r="1616">
          <cell r="A1616" t="str">
            <v>1RH1LPMB545JTCYA</v>
          </cell>
          <cell r="B1616" t="str">
            <v>SMT</v>
          </cell>
          <cell r="C1616">
            <v>1</v>
          </cell>
          <cell r="D1616">
            <v>1</v>
          </cell>
          <cell r="E1616">
            <v>2210</v>
          </cell>
          <cell r="F1616" t="str">
            <v>VC01</v>
          </cell>
          <cell r="G1616" t="str">
            <v>Auto</v>
          </cell>
          <cell r="H1616">
            <v>311</v>
          </cell>
          <cell r="I1616">
            <v>2210</v>
          </cell>
          <cell r="J1616">
            <v>2360</v>
          </cell>
          <cell r="K1616" t="str">
            <v>VC01</v>
          </cell>
        </row>
        <row r="1617">
          <cell r="A1617" t="str">
            <v>1AP1LPMB545JTCYA</v>
          </cell>
          <cell r="B1617" t="str">
            <v>DIP</v>
          </cell>
          <cell r="C1617">
            <v>1</v>
          </cell>
          <cell r="D1617" t="e">
            <v>#N/A</v>
          </cell>
          <cell r="E1617">
            <v>2210</v>
          </cell>
          <cell r="F1617" t="str">
            <v>VC01</v>
          </cell>
          <cell r="G1617" t="str">
            <v>Auto</v>
          </cell>
          <cell r="H1617">
            <v>311</v>
          </cell>
          <cell r="I1617">
            <v>2210</v>
          </cell>
          <cell r="J1617">
            <v>2360</v>
          </cell>
          <cell r="K1617" t="str">
            <v>VC01</v>
          </cell>
        </row>
        <row r="1618">
          <cell r="A1618" t="str">
            <v>1AE1LPMB545JTKZA</v>
          </cell>
          <cell r="B1618" t="str">
            <v>SMT</v>
          </cell>
          <cell r="C1618">
            <v>1</v>
          </cell>
          <cell r="D1618">
            <v>7</v>
          </cell>
        </row>
        <row r="1619">
          <cell r="A1619" t="str">
            <v>1RH1LPMB545JTKZA</v>
          </cell>
          <cell r="B1619" t="str">
            <v>SMT</v>
          </cell>
          <cell r="C1619">
            <v>1</v>
          </cell>
          <cell r="D1619">
            <v>24</v>
          </cell>
        </row>
        <row r="1620">
          <cell r="A1620" t="str">
            <v>1CM1LPMB545JTKZA</v>
          </cell>
          <cell r="B1620" t="str">
            <v>SMT</v>
          </cell>
          <cell r="C1620">
            <v>1</v>
          </cell>
          <cell r="D1620">
            <v>23</v>
          </cell>
          <cell r="E1620">
            <v>2210</v>
          </cell>
          <cell r="F1620" t="str">
            <v>VC01</v>
          </cell>
          <cell r="G1620" t="str">
            <v>Auto</v>
          </cell>
          <cell r="H1620">
            <v>311</v>
          </cell>
          <cell r="I1620">
            <v>2210</v>
          </cell>
          <cell r="J1620">
            <v>2360</v>
          </cell>
          <cell r="K1620" t="str">
            <v>VC01</v>
          </cell>
        </row>
        <row r="1621">
          <cell r="A1621" t="str">
            <v>1AP1LPMB545JTKZA</v>
          </cell>
          <cell r="B1621" t="str">
            <v>DIP</v>
          </cell>
          <cell r="C1621">
            <v>1</v>
          </cell>
          <cell r="D1621" t="e">
            <v>#N/A</v>
          </cell>
          <cell r="E1621">
            <v>2210</v>
          </cell>
          <cell r="F1621" t="str">
            <v>VC01</v>
          </cell>
          <cell r="G1621" t="str">
            <v>Auto</v>
          </cell>
          <cell r="H1621">
            <v>311</v>
          </cell>
          <cell r="I1621">
            <v>2210</v>
          </cell>
          <cell r="J1621">
            <v>2360</v>
          </cell>
          <cell r="K1621" t="str">
            <v>VC01</v>
          </cell>
        </row>
        <row r="1622">
          <cell r="A1622" t="str">
            <v>1AP1PSLP1403YAL4</v>
          </cell>
          <cell r="B1622" t="str">
            <v>DIP</v>
          </cell>
          <cell r="C1622">
            <v>1</v>
          </cell>
          <cell r="D1622" t="e">
            <v>#N/A</v>
          </cell>
          <cell r="E1622">
            <v>2210</v>
          </cell>
          <cell r="F1622" t="str">
            <v>VC01</v>
          </cell>
          <cell r="G1622" t="str">
            <v>Auto</v>
          </cell>
          <cell r="H1622">
            <v>311</v>
          </cell>
          <cell r="I1622">
            <v>2210</v>
          </cell>
          <cell r="J1622">
            <v>2310</v>
          </cell>
          <cell r="K1622" t="str">
            <v>VC01</v>
          </cell>
        </row>
        <row r="1623">
          <cell r="A1623" t="str">
            <v>1RE1NCP1104XJ</v>
          </cell>
          <cell r="B1623" t="str">
            <v>SMT</v>
          </cell>
          <cell r="C1623">
            <v>1</v>
          </cell>
          <cell r="D1623">
            <v>127</v>
          </cell>
        </row>
        <row r="1624">
          <cell r="A1624" t="str">
            <v>1RE2NCP1104XJ</v>
          </cell>
          <cell r="B1624" t="str">
            <v>SMT</v>
          </cell>
          <cell r="C1624">
            <v>1</v>
          </cell>
          <cell r="D1624">
            <v>116</v>
          </cell>
          <cell r="E1624">
            <v>2210</v>
          </cell>
          <cell r="F1624" t="str">
            <v>VC01</v>
          </cell>
          <cell r="G1624" t="str">
            <v>Auto</v>
          </cell>
          <cell r="H1624">
            <v>311</v>
          </cell>
          <cell r="I1624">
            <v>2210</v>
          </cell>
          <cell r="J1624">
            <v>2310</v>
          </cell>
          <cell r="K1624" t="str">
            <v>VC01</v>
          </cell>
        </row>
        <row r="1625">
          <cell r="A1625" t="str">
            <v>1RE1NS5110XEU</v>
          </cell>
          <cell r="B1625" t="str">
            <v>SMT</v>
          </cell>
          <cell r="C1625">
            <v>1</v>
          </cell>
          <cell r="D1625">
            <v>113</v>
          </cell>
        </row>
        <row r="1626">
          <cell r="A1626" t="str">
            <v>1RE2NS5110XEU</v>
          </cell>
          <cell r="B1626" t="str">
            <v>SMT</v>
          </cell>
          <cell r="C1626">
            <v>1</v>
          </cell>
          <cell r="D1626">
            <v>195</v>
          </cell>
          <cell r="E1626">
            <v>2210</v>
          </cell>
          <cell r="F1626" t="str">
            <v>VC01</v>
          </cell>
          <cell r="G1626" t="str">
            <v>Auto</v>
          </cell>
          <cell r="H1626">
            <v>311</v>
          </cell>
          <cell r="I1626">
            <v>2210</v>
          </cell>
          <cell r="J1626">
            <v>2310</v>
          </cell>
          <cell r="K1626" t="str">
            <v>VC01</v>
          </cell>
        </row>
        <row r="1627">
          <cell r="A1627" t="str">
            <v>1RE1NS5111XEU</v>
          </cell>
          <cell r="B1627" t="str">
            <v>SMT</v>
          </cell>
          <cell r="C1627">
            <v>1</v>
          </cell>
          <cell r="D1627">
            <v>113</v>
          </cell>
        </row>
        <row r="1628">
          <cell r="A1628" t="str">
            <v>1RE2NS5111XEU</v>
          </cell>
          <cell r="B1628" t="str">
            <v>SMT</v>
          </cell>
          <cell r="C1628">
            <v>1</v>
          </cell>
          <cell r="D1628">
            <v>195</v>
          </cell>
          <cell r="E1628">
            <v>2210</v>
          </cell>
          <cell r="F1628" t="str">
            <v>VC01</v>
          </cell>
          <cell r="G1628" t="str">
            <v>Auto</v>
          </cell>
          <cell r="H1628">
            <v>311</v>
          </cell>
          <cell r="I1628">
            <v>2210</v>
          </cell>
          <cell r="J1628">
            <v>2310</v>
          </cell>
          <cell r="K1628" t="str">
            <v>VC01</v>
          </cell>
        </row>
        <row r="1629">
          <cell r="A1629" t="str">
            <v>1RE1NS5162XEU</v>
          </cell>
          <cell r="B1629" t="str">
            <v>SMT</v>
          </cell>
          <cell r="C1629">
            <v>1</v>
          </cell>
          <cell r="D1629">
            <v>1</v>
          </cell>
        </row>
        <row r="1630">
          <cell r="A1630" t="str">
            <v>1RE2NS5162XEU</v>
          </cell>
          <cell r="B1630" t="str">
            <v>SMT</v>
          </cell>
          <cell r="C1630">
            <v>1</v>
          </cell>
          <cell r="D1630">
            <v>182</v>
          </cell>
        </row>
        <row r="1631">
          <cell r="A1631" t="str">
            <v>1RH1NS5162XEU</v>
          </cell>
          <cell r="B1631" t="str">
            <v>SMT</v>
          </cell>
          <cell r="C1631">
            <v>1</v>
          </cell>
          <cell r="D1631">
            <v>12</v>
          </cell>
          <cell r="E1631">
            <v>2210</v>
          </cell>
          <cell r="F1631" t="str">
            <v>VC01</v>
          </cell>
          <cell r="G1631" t="str">
            <v>Auto</v>
          </cell>
          <cell r="H1631">
            <v>311</v>
          </cell>
          <cell r="I1631">
            <v>2210</v>
          </cell>
          <cell r="J1631">
            <v>2310</v>
          </cell>
          <cell r="K1631" t="str">
            <v>VC01</v>
          </cell>
        </row>
        <row r="1632">
          <cell r="A1632" t="str">
            <v>1AP1NS5162XEU</v>
          </cell>
          <cell r="B1632" t="str">
            <v>DIP</v>
          </cell>
          <cell r="C1632">
            <v>1</v>
          </cell>
          <cell r="D1632" t="e">
            <v>#N/A</v>
          </cell>
          <cell r="E1632">
            <v>2210</v>
          </cell>
          <cell r="F1632" t="str">
            <v>VC01</v>
          </cell>
          <cell r="G1632" t="str">
            <v>Auto</v>
          </cell>
          <cell r="H1632">
            <v>311</v>
          </cell>
          <cell r="I1632">
            <v>2210</v>
          </cell>
          <cell r="J1632">
            <v>2310</v>
          </cell>
          <cell r="K1632" t="str">
            <v>VC01</v>
          </cell>
        </row>
        <row r="1633">
          <cell r="A1633" t="str">
            <v>1VI1NS5171XEU</v>
          </cell>
          <cell r="B1633" t="str">
            <v>SMT</v>
          </cell>
          <cell r="C1633">
            <v>1</v>
          </cell>
          <cell r="D1633" t="e">
            <v>#N/A</v>
          </cell>
        </row>
        <row r="1634">
          <cell r="A1634" t="str">
            <v>1VI2NS5171XEU</v>
          </cell>
          <cell r="B1634" t="str">
            <v>SMT</v>
          </cell>
          <cell r="C1634">
            <v>1</v>
          </cell>
          <cell r="D1634" t="e">
            <v>#N/A</v>
          </cell>
        </row>
        <row r="1635">
          <cell r="A1635" t="str">
            <v>1RE1NS5171XEU</v>
          </cell>
          <cell r="B1635" t="str">
            <v>SMT</v>
          </cell>
          <cell r="C1635">
            <v>1</v>
          </cell>
          <cell r="D1635">
            <v>321</v>
          </cell>
        </row>
        <row r="1636">
          <cell r="A1636" t="str">
            <v>1RE2NS5171XEU</v>
          </cell>
          <cell r="B1636" t="str">
            <v>SMT</v>
          </cell>
          <cell r="C1636">
            <v>1</v>
          </cell>
          <cell r="D1636">
            <v>229</v>
          </cell>
        </row>
        <row r="1637">
          <cell r="A1637" t="str">
            <v>1RH1NS5171XEU</v>
          </cell>
          <cell r="B1637" t="str">
            <v>SMT</v>
          </cell>
          <cell r="C1637">
            <v>1</v>
          </cell>
          <cell r="D1637">
            <v>16</v>
          </cell>
          <cell r="E1637">
            <v>2210</v>
          </cell>
          <cell r="F1637" t="str">
            <v>VC01</v>
          </cell>
          <cell r="G1637" t="str">
            <v>Auto</v>
          </cell>
          <cell r="H1637">
            <v>311</v>
          </cell>
          <cell r="I1637">
            <v>2210</v>
          </cell>
          <cell r="J1637">
            <v>2310</v>
          </cell>
          <cell r="K1637" t="str">
            <v>VC01</v>
          </cell>
        </row>
        <row r="1638">
          <cell r="A1638" t="str">
            <v>1AP1NS5171XEU</v>
          </cell>
          <cell r="B1638" t="str">
            <v>DIP</v>
          </cell>
          <cell r="C1638">
            <v>1</v>
          </cell>
          <cell r="D1638" t="e">
            <v>#N/A</v>
          </cell>
          <cell r="E1638">
            <v>2210</v>
          </cell>
          <cell r="F1638" t="str">
            <v>VC01</v>
          </cell>
          <cell r="G1638" t="str">
            <v>Auto</v>
          </cell>
          <cell r="H1638">
            <v>311</v>
          </cell>
          <cell r="I1638">
            <v>2210</v>
          </cell>
          <cell r="J1638">
            <v>2310</v>
          </cell>
          <cell r="K1638" t="str">
            <v>VC01</v>
          </cell>
        </row>
        <row r="1639">
          <cell r="A1639" t="str">
            <v>1VI1NS5172XEU</v>
          </cell>
          <cell r="B1639" t="str">
            <v>SMT</v>
          </cell>
          <cell r="C1639">
            <v>1</v>
          </cell>
          <cell r="D1639" t="e">
            <v>#N/A</v>
          </cell>
        </row>
        <row r="1640">
          <cell r="A1640" t="str">
            <v>1VI2NS5172XEU</v>
          </cell>
          <cell r="B1640" t="str">
            <v>SMT</v>
          </cell>
          <cell r="C1640">
            <v>1</v>
          </cell>
          <cell r="D1640" t="e">
            <v>#N/A</v>
          </cell>
        </row>
        <row r="1641">
          <cell r="A1641" t="str">
            <v>1RE1NS5172XEU</v>
          </cell>
          <cell r="B1641" t="str">
            <v>SMT</v>
          </cell>
          <cell r="C1641">
            <v>1</v>
          </cell>
          <cell r="D1641">
            <v>537</v>
          </cell>
        </row>
        <row r="1642">
          <cell r="A1642" t="str">
            <v>1RE2NS5172XEU</v>
          </cell>
          <cell r="B1642" t="str">
            <v>SMT</v>
          </cell>
          <cell r="C1642">
            <v>1</v>
          </cell>
          <cell r="D1642">
            <v>375</v>
          </cell>
        </row>
        <row r="1643">
          <cell r="A1643" t="str">
            <v>1RH1NS5172XEU</v>
          </cell>
          <cell r="B1643" t="str">
            <v>SMT</v>
          </cell>
          <cell r="C1643">
            <v>1</v>
          </cell>
          <cell r="D1643">
            <v>32</v>
          </cell>
          <cell r="E1643">
            <v>2210</v>
          </cell>
          <cell r="F1643" t="str">
            <v>VC01</v>
          </cell>
          <cell r="G1643" t="str">
            <v>Auto</v>
          </cell>
          <cell r="H1643">
            <v>311</v>
          </cell>
          <cell r="I1643">
            <v>2210</v>
          </cell>
          <cell r="J1643">
            <v>2310</v>
          </cell>
          <cell r="K1643" t="str">
            <v>VC01</v>
          </cell>
        </row>
        <row r="1644">
          <cell r="A1644" t="str">
            <v>1AP1NS5172XEU</v>
          </cell>
          <cell r="B1644" t="str">
            <v>DIP</v>
          </cell>
          <cell r="C1644">
            <v>1</v>
          </cell>
          <cell r="D1644" t="e">
            <v>#N/A</v>
          </cell>
          <cell r="E1644">
            <v>2210</v>
          </cell>
          <cell r="F1644" t="str">
            <v>VC01</v>
          </cell>
          <cell r="G1644" t="str">
            <v>Auto</v>
          </cell>
          <cell r="H1644">
            <v>311</v>
          </cell>
          <cell r="I1644">
            <v>2210</v>
          </cell>
          <cell r="J1644">
            <v>2310</v>
          </cell>
          <cell r="K1644" t="str">
            <v>VC01</v>
          </cell>
        </row>
        <row r="1645">
          <cell r="A1645" t="str">
            <v>1RE1NS5173XEU</v>
          </cell>
          <cell r="B1645" t="str">
            <v>SMT</v>
          </cell>
          <cell r="C1645">
            <v>1</v>
          </cell>
          <cell r="D1645">
            <v>138</v>
          </cell>
        </row>
        <row r="1646">
          <cell r="A1646" t="str">
            <v>1RE2NS5173XEU</v>
          </cell>
          <cell r="B1646" t="str">
            <v>SMT</v>
          </cell>
          <cell r="C1646">
            <v>1</v>
          </cell>
          <cell r="D1646">
            <v>222</v>
          </cell>
        </row>
        <row r="1647">
          <cell r="A1647" t="str">
            <v>1RH1NS5173XEU</v>
          </cell>
          <cell r="B1647" t="str">
            <v>SMT</v>
          </cell>
          <cell r="C1647">
            <v>1</v>
          </cell>
          <cell r="D1647">
            <v>4</v>
          </cell>
          <cell r="E1647">
            <v>2210</v>
          </cell>
          <cell r="F1647" t="str">
            <v>VC01</v>
          </cell>
          <cell r="G1647" t="str">
            <v>Auto</v>
          </cell>
          <cell r="H1647">
            <v>311</v>
          </cell>
          <cell r="I1647">
            <v>2210</v>
          </cell>
          <cell r="J1647">
            <v>2310</v>
          </cell>
          <cell r="K1647" t="str">
            <v>VC01</v>
          </cell>
        </row>
        <row r="1648">
          <cell r="A1648" t="str">
            <v>1AP1NS5173XEU</v>
          </cell>
          <cell r="B1648" t="str">
            <v>DIP</v>
          </cell>
          <cell r="C1648">
            <v>1</v>
          </cell>
          <cell r="D1648" t="e">
            <v>#N/A</v>
          </cell>
          <cell r="E1648">
            <v>2210</v>
          </cell>
          <cell r="F1648" t="str">
            <v>VC01</v>
          </cell>
          <cell r="G1648" t="str">
            <v>Auto</v>
          </cell>
          <cell r="H1648">
            <v>311</v>
          </cell>
          <cell r="I1648">
            <v>2210</v>
          </cell>
          <cell r="J1648">
            <v>2310</v>
          </cell>
          <cell r="K1648" t="str">
            <v>VC01</v>
          </cell>
        </row>
        <row r="1649">
          <cell r="A1649" t="str">
            <v>1RE1NS5174XEU</v>
          </cell>
          <cell r="B1649" t="str">
            <v>SMT</v>
          </cell>
          <cell r="C1649">
            <v>1</v>
          </cell>
          <cell r="D1649">
            <v>282</v>
          </cell>
        </row>
        <row r="1650">
          <cell r="A1650" t="str">
            <v>1RE2NS5174XEU</v>
          </cell>
          <cell r="B1650" t="str">
            <v>SMT</v>
          </cell>
          <cell r="C1650">
            <v>1</v>
          </cell>
          <cell r="D1650">
            <v>359</v>
          </cell>
        </row>
        <row r="1651">
          <cell r="A1651" t="str">
            <v>1RH1NS5174XEU</v>
          </cell>
          <cell r="B1651" t="str">
            <v>SMT</v>
          </cell>
          <cell r="C1651">
            <v>1</v>
          </cell>
          <cell r="D1651">
            <v>8</v>
          </cell>
          <cell r="E1651">
            <v>2210</v>
          </cell>
          <cell r="F1651" t="str">
            <v>VC01</v>
          </cell>
          <cell r="G1651" t="str">
            <v>Auto</v>
          </cell>
          <cell r="H1651">
            <v>311</v>
          </cell>
          <cell r="I1651">
            <v>2210</v>
          </cell>
          <cell r="J1651">
            <v>2310</v>
          </cell>
          <cell r="K1651" t="str">
            <v>VC01</v>
          </cell>
        </row>
        <row r="1652">
          <cell r="A1652" t="str">
            <v>1AP1NS5174XEU</v>
          </cell>
          <cell r="B1652" t="str">
            <v>DIP</v>
          </cell>
          <cell r="C1652">
            <v>1</v>
          </cell>
          <cell r="D1652" t="e">
            <v>#N/A</v>
          </cell>
          <cell r="E1652">
            <v>2210</v>
          </cell>
          <cell r="F1652" t="str">
            <v>VC01</v>
          </cell>
          <cell r="G1652" t="str">
            <v>Auto</v>
          </cell>
          <cell r="H1652">
            <v>311</v>
          </cell>
          <cell r="I1652">
            <v>2210</v>
          </cell>
          <cell r="J1652">
            <v>2310</v>
          </cell>
          <cell r="K1652" t="str">
            <v>VC01</v>
          </cell>
        </row>
        <row r="1653">
          <cell r="A1653" t="str">
            <v>1RE1NS7130XEU</v>
          </cell>
          <cell r="B1653" t="str">
            <v>SMT</v>
          </cell>
          <cell r="C1653">
            <v>1</v>
          </cell>
          <cell r="D1653">
            <v>252</v>
          </cell>
          <cell r="E1653">
            <v>2210</v>
          </cell>
          <cell r="F1653" t="str">
            <v>VC01</v>
          </cell>
          <cell r="G1653" t="str">
            <v>Auto</v>
          </cell>
          <cell r="H1653">
            <v>311</v>
          </cell>
          <cell r="I1653">
            <v>2210</v>
          </cell>
          <cell r="J1653">
            <v>2310</v>
          </cell>
          <cell r="K1653" t="str">
            <v>VC01</v>
          </cell>
        </row>
        <row r="1654">
          <cell r="A1654" t="str">
            <v>1AP1NS7130XEU</v>
          </cell>
          <cell r="B1654" t="str">
            <v>DIP</v>
          </cell>
          <cell r="C1654">
            <v>1</v>
          </cell>
          <cell r="D1654" t="e">
            <v>#N/A</v>
          </cell>
          <cell r="E1654">
            <v>2210</v>
          </cell>
          <cell r="F1654" t="str">
            <v>VC01</v>
          </cell>
          <cell r="G1654" t="str">
            <v>Auto</v>
          </cell>
          <cell r="H1654">
            <v>311</v>
          </cell>
          <cell r="I1654">
            <v>2210</v>
          </cell>
          <cell r="J1654">
            <v>2310</v>
          </cell>
          <cell r="K1654" t="str">
            <v>VC01</v>
          </cell>
        </row>
        <row r="1655">
          <cell r="A1655" t="str">
            <v>1RE1LPS8127D-R1</v>
          </cell>
          <cell r="B1655" t="str">
            <v>SMT</v>
          </cell>
          <cell r="C1655">
            <v>1</v>
          </cell>
          <cell r="D1655">
            <v>133</v>
          </cell>
        </row>
        <row r="1656">
          <cell r="A1656" t="str">
            <v>1RE2LPS8127D-R1</v>
          </cell>
          <cell r="B1656" t="str">
            <v>SMT</v>
          </cell>
          <cell r="C1656">
            <v>1</v>
          </cell>
          <cell r="D1656">
            <v>455</v>
          </cell>
        </row>
        <row r="1657">
          <cell r="A1657" t="str">
            <v>1AP1LPS8127D-R1</v>
          </cell>
          <cell r="B1657" t="str">
            <v>DIP</v>
          </cell>
          <cell r="C1657">
            <v>1</v>
          </cell>
          <cell r="D1657" t="e">
            <v>#N/A</v>
          </cell>
          <cell r="E1657">
            <v>2210</v>
          </cell>
        </row>
        <row r="1658">
          <cell r="A1658" t="str">
            <v>1VI1LPS8127M-R1</v>
          </cell>
          <cell r="B1658" t="str">
            <v>SMT</v>
          </cell>
          <cell r="C1658">
            <v>1</v>
          </cell>
          <cell r="D1658" t="e">
            <v>#N/A</v>
          </cell>
        </row>
        <row r="1659">
          <cell r="A1659" t="str">
            <v>1RE1LPS8127M-R1</v>
          </cell>
          <cell r="B1659" t="str">
            <v>SMT</v>
          </cell>
          <cell r="C1659">
            <v>1</v>
          </cell>
          <cell r="D1659">
            <v>950</v>
          </cell>
        </row>
        <row r="1660">
          <cell r="A1660" t="str">
            <v>1RE2LPS8127M-R1</v>
          </cell>
          <cell r="B1660" t="str">
            <v>SMT</v>
          </cell>
          <cell r="C1660">
            <v>1</v>
          </cell>
          <cell r="D1660">
            <v>1023</v>
          </cell>
        </row>
        <row r="1661">
          <cell r="A1661" t="str">
            <v>1AP1LPS8127M-R1</v>
          </cell>
          <cell r="B1661" t="str">
            <v>DIP</v>
          </cell>
          <cell r="C1661">
            <v>1</v>
          </cell>
          <cell r="D1661" t="e">
            <v>#N/A</v>
          </cell>
          <cell r="E1661">
            <v>2210</v>
          </cell>
        </row>
        <row r="1662">
          <cell r="A1662" t="str">
            <v>1RE1LPS8127R-R1</v>
          </cell>
          <cell r="B1662" t="str">
            <v>SMT</v>
          </cell>
          <cell r="C1662">
            <v>1</v>
          </cell>
          <cell r="D1662">
            <v>458</v>
          </cell>
        </row>
        <row r="1663">
          <cell r="A1663" t="str">
            <v>1RH1LPS8127R-R1</v>
          </cell>
          <cell r="B1663" t="str">
            <v>SMT</v>
          </cell>
          <cell r="C1663">
            <v>1</v>
          </cell>
          <cell r="D1663">
            <v>12</v>
          </cell>
        </row>
        <row r="1664">
          <cell r="A1664" t="str">
            <v>1CM1LPS8127R-R1</v>
          </cell>
          <cell r="B1664" t="str">
            <v>SMT</v>
          </cell>
          <cell r="C1664">
            <v>1</v>
          </cell>
          <cell r="D1664">
            <v>114</v>
          </cell>
        </row>
        <row r="1665">
          <cell r="A1665" t="str">
            <v>1AP1LPS8127R-R1</v>
          </cell>
          <cell r="B1665" t="str">
            <v>DIP</v>
          </cell>
          <cell r="C1665">
            <v>1</v>
          </cell>
          <cell r="D1665" t="e">
            <v>#N/A</v>
          </cell>
          <cell r="E1665">
            <v>2210</v>
          </cell>
        </row>
        <row r="1666">
          <cell r="A1666" t="str">
            <v>1CM1LPS8127S-R1</v>
          </cell>
          <cell r="B1666" t="str">
            <v>SMT</v>
          </cell>
          <cell r="C1666">
            <v>1</v>
          </cell>
          <cell r="D1666">
            <v>43</v>
          </cell>
        </row>
        <row r="1667">
          <cell r="A1667" t="str">
            <v>1AP1LPS8127S-R1</v>
          </cell>
          <cell r="B1667" t="str">
            <v>DIP</v>
          </cell>
          <cell r="C1667">
            <v>1</v>
          </cell>
          <cell r="D1667" t="e">
            <v>#N/A</v>
          </cell>
          <cell r="E1667">
            <v>2210</v>
          </cell>
        </row>
        <row r="1668">
          <cell r="A1668" t="str">
            <v>1RE1LPS8147D-R1</v>
          </cell>
          <cell r="B1668" t="str">
            <v>SMT</v>
          </cell>
          <cell r="C1668">
            <v>1</v>
          </cell>
          <cell r="D1668">
            <v>166</v>
          </cell>
        </row>
        <row r="1669">
          <cell r="A1669" t="str">
            <v>1RE2LPS8147D-R1</v>
          </cell>
          <cell r="B1669" t="str">
            <v>SMT</v>
          </cell>
          <cell r="C1669">
            <v>1</v>
          </cell>
          <cell r="D1669">
            <v>483</v>
          </cell>
        </row>
        <row r="1670">
          <cell r="A1670" t="str">
            <v>1AP1LPS8147D-R1</v>
          </cell>
          <cell r="B1670" t="str">
            <v>DIP</v>
          </cell>
          <cell r="C1670">
            <v>1</v>
          </cell>
          <cell r="D1670" t="e">
            <v>#N/A</v>
          </cell>
          <cell r="E1670">
            <v>2210</v>
          </cell>
        </row>
        <row r="1671">
          <cell r="A1671" t="str">
            <v>1VI1LPS8147L-R1</v>
          </cell>
          <cell r="B1671" t="str">
            <v>SMT</v>
          </cell>
          <cell r="C1671">
            <v>1</v>
          </cell>
          <cell r="D1671" t="e">
            <v>#N/A</v>
          </cell>
        </row>
        <row r="1672">
          <cell r="A1672" t="str">
            <v>1RE1LPS8147L-R1</v>
          </cell>
          <cell r="B1672" t="str">
            <v>SMT</v>
          </cell>
          <cell r="C1672">
            <v>1</v>
          </cell>
          <cell r="D1672">
            <v>50</v>
          </cell>
        </row>
        <row r="1673">
          <cell r="A1673" t="str">
            <v>1RE2LPS8147L-R1</v>
          </cell>
          <cell r="B1673" t="str">
            <v>SMT</v>
          </cell>
          <cell r="C1673">
            <v>1</v>
          </cell>
          <cell r="D1673">
            <v>79</v>
          </cell>
        </row>
        <row r="1674">
          <cell r="A1674" t="str">
            <v>1AP1LPS8147L-R1</v>
          </cell>
          <cell r="B1674" t="str">
            <v>DIP</v>
          </cell>
          <cell r="C1674">
            <v>1</v>
          </cell>
          <cell r="D1674" t="e">
            <v>#N/A</v>
          </cell>
          <cell r="E1674">
            <v>2210</v>
          </cell>
        </row>
        <row r="1675">
          <cell r="A1675" t="str">
            <v>1VI1LPS8147M-R1</v>
          </cell>
          <cell r="B1675" t="str">
            <v>SMT</v>
          </cell>
          <cell r="C1675">
            <v>1</v>
          </cell>
          <cell r="D1675" t="e">
            <v>#N/A</v>
          </cell>
        </row>
        <row r="1676">
          <cell r="A1676" t="str">
            <v>1RE1LPS8147M-R1</v>
          </cell>
          <cell r="B1676" t="str">
            <v>SMT</v>
          </cell>
          <cell r="C1676">
            <v>1</v>
          </cell>
          <cell r="D1676">
            <v>958</v>
          </cell>
        </row>
        <row r="1677">
          <cell r="A1677" t="str">
            <v>1RE2LPS8147M-R1</v>
          </cell>
          <cell r="B1677" t="str">
            <v>SMT</v>
          </cell>
          <cell r="C1677">
            <v>1</v>
          </cell>
          <cell r="D1677">
            <v>1043</v>
          </cell>
        </row>
        <row r="1678">
          <cell r="A1678" t="str">
            <v>1AP1LPS8147M-R1</v>
          </cell>
          <cell r="B1678" t="str">
            <v>DIP</v>
          </cell>
          <cell r="C1678">
            <v>1</v>
          </cell>
          <cell r="D1678" t="e">
            <v>#N/A</v>
          </cell>
          <cell r="E1678">
            <v>2210</v>
          </cell>
        </row>
        <row r="1679">
          <cell r="A1679" t="str">
            <v>1RE1LPS8147R-R1</v>
          </cell>
          <cell r="B1679" t="str">
            <v>SMT</v>
          </cell>
          <cell r="C1679">
            <v>1</v>
          </cell>
          <cell r="D1679">
            <v>628</v>
          </cell>
        </row>
        <row r="1680">
          <cell r="A1680" t="str">
            <v>1RH1LPS8147R-R1</v>
          </cell>
          <cell r="B1680" t="str">
            <v>SMT</v>
          </cell>
          <cell r="C1680">
            <v>1</v>
          </cell>
          <cell r="D1680">
            <v>12</v>
          </cell>
        </row>
        <row r="1681">
          <cell r="A1681" t="str">
            <v>1CM1LPS8147R-R1</v>
          </cell>
          <cell r="B1681" t="str">
            <v>SMT</v>
          </cell>
          <cell r="C1681">
            <v>1</v>
          </cell>
          <cell r="D1681">
            <v>147</v>
          </cell>
        </row>
        <row r="1682">
          <cell r="A1682" t="str">
            <v>1AP1LPS8147R-R1</v>
          </cell>
          <cell r="B1682" t="str">
            <v>DIP</v>
          </cell>
          <cell r="C1682">
            <v>1</v>
          </cell>
          <cell r="D1682" t="e">
            <v>#N/A</v>
          </cell>
          <cell r="E1682">
            <v>2210</v>
          </cell>
        </row>
        <row r="1683">
          <cell r="A1683" t="str">
            <v>1CM1LPS8147S-R1</v>
          </cell>
          <cell r="B1683" t="str">
            <v>SMT</v>
          </cell>
          <cell r="C1683">
            <v>1</v>
          </cell>
          <cell r="D1683">
            <v>43</v>
          </cell>
        </row>
        <row r="1684">
          <cell r="A1684" t="str">
            <v>1AP1LPS8147S-R1</v>
          </cell>
          <cell r="B1684" t="str">
            <v>DIP</v>
          </cell>
          <cell r="C1684">
            <v>1</v>
          </cell>
          <cell r="D1684" t="e">
            <v>#N/A</v>
          </cell>
          <cell r="E1684">
            <v>2210</v>
          </cell>
        </row>
        <row r="1685">
          <cell r="A1685" t="str">
            <v>1RE1NS5112XEU</v>
          </cell>
          <cell r="B1685" t="str">
            <v>SMT</v>
          </cell>
          <cell r="C1685">
            <v>1</v>
          </cell>
          <cell r="D1685">
            <v>206</v>
          </cell>
        </row>
        <row r="1686">
          <cell r="A1686" t="str">
            <v>1RE2NS5112XEU</v>
          </cell>
          <cell r="B1686" t="str">
            <v>SMT</v>
          </cell>
          <cell r="C1686">
            <v>1</v>
          </cell>
          <cell r="D1686">
            <v>290</v>
          </cell>
          <cell r="E1686">
            <v>2210</v>
          </cell>
          <cell r="F1686" t="str">
            <v>VC01</v>
          </cell>
          <cell r="G1686" t="str">
            <v>Auto</v>
          </cell>
          <cell r="H1686">
            <v>311</v>
          </cell>
          <cell r="I1686">
            <v>2210</v>
          </cell>
          <cell r="J1686">
            <v>2310</v>
          </cell>
          <cell r="K1686" t="str">
            <v>VC01</v>
          </cell>
        </row>
        <row r="1687">
          <cell r="A1687" t="str">
            <v>1RE1D880BV4</v>
          </cell>
          <cell r="B1687" t="str">
            <v>SMT</v>
          </cell>
          <cell r="C1687">
            <v>1</v>
          </cell>
          <cell r="D1687">
            <v>330</v>
          </cell>
        </row>
        <row r="1688">
          <cell r="A1688" t="str">
            <v>1RH1D880BV4</v>
          </cell>
          <cell r="B1688" t="str">
            <v>SMT</v>
          </cell>
          <cell r="C1688">
            <v>1</v>
          </cell>
          <cell r="D1688">
            <v>66</v>
          </cell>
        </row>
        <row r="1689">
          <cell r="A1689" t="str">
            <v>1CM1D880V4</v>
          </cell>
          <cell r="B1689" t="str">
            <v>SMT</v>
          </cell>
          <cell r="C1689">
            <v>1</v>
          </cell>
          <cell r="D1689">
            <v>410</v>
          </cell>
          <cell r="E1689">
            <v>2210</v>
          </cell>
          <cell r="F1689" t="str">
            <v>VC01</v>
          </cell>
          <cell r="G1689" t="str">
            <v>Auto</v>
          </cell>
          <cell r="H1689">
            <v>311</v>
          </cell>
          <cell r="I1689">
            <v>2210</v>
          </cell>
          <cell r="J1689">
            <v>2310</v>
          </cell>
          <cell r="K1689" t="str">
            <v>VC01</v>
          </cell>
        </row>
        <row r="1690">
          <cell r="A1690" t="str">
            <v>1AP1D880BV4</v>
          </cell>
          <cell r="B1690" t="str">
            <v>DIP</v>
          </cell>
          <cell r="C1690">
            <v>1</v>
          </cell>
          <cell r="D1690" t="e">
            <v>#N/A</v>
          </cell>
          <cell r="E1690">
            <v>2210</v>
          </cell>
          <cell r="F1690" t="str">
            <v>VC01</v>
          </cell>
          <cell r="G1690" t="str">
            <v>Auto</v>
          </cell>
          <cell r="H1690">
            <v>311</v>
          </cell>
          <cell r="I1690">
            <v>2210</v>
          </cell>
          <cell r="J1690">
            <v>2310</v>
          </cell>
          <cell r="K1690" t="str">
            <v>VC01</v>
          </cell>
        </row>
        <row r="1691">
          <cell r="A1691" t="str">
            <v>1RE1LPMB545JTCZA</v>
          </cell>
          <cell r="B1691" t="str">
            <v>SMT</v>
          </cell>
          <cell r="C1691">
            <v>1</v>
          </cell>
          <cell r="D1691">
            <v>69</v>
          </cell>
        </row>
        <row r="1692">
          <cell r="A1692" t="str">
            <v>1AE1LPMB545JTCZA</v>
          </cell>
          <cell r="B1692" t="str">
            <v>SMT</v>
          </cell>
          <cell r="C1692">
            <v>1</v>
          </cell>
          <cell r="D1692">
            <v>4</v>
          </cell>
        </row>
        <row r="1693">
          <cell r="A1693" t="str">
            <v>1RH1LPMB545JTCZA</v>
          </cell>
          <cell r="B1693" t="str">
            <v>SMT</v>
          </cell>
          <cell r="C1693">
            <v>1</v>
          </cell>
          <cell r="D1693">
            <v>1</v>
          </cell>
          <cell r="E1693">
            <v>2210</v>
          </cell>
          <cell r="F1693" t="str">
            <v>VC01</v>
          </cell>
          <cell r="G1693" t="str">
            <v>Auto</v>
          </cell>
          <cell r="H1693">
            <v>311</v>
          </cell>
          <cell r="I1693">
            <v>2210</v>
          </cell>
          <cell r="J1693" t="e">
            <v>#N/A</v>
          </cell>
          <cell r="K1693" t="str">
            <v>VC01</v>
          </cell>
        </row>
        <row r="1694">
          <cell r="A1694" t="str">
            <v>1AP1LPMB545JTCZA</v>
          </cell>
          <cell r="B1694" t="str">
            <v>DIP</v>
          </cell>
          <cell r="C1694">
            <v>1</v>
          </cell>
          <cell r="D1694" t="e">
            <v>#N/A</v>
          </cell>
          <cell r="E1694">
            <v>2210</v>
          </cell>
        </row>
        <row r="1695">
          <cell r="A1695" t="str">
            <v>1VI1NS0132</v>
          </cell>
          <cell r="B1695" t="str">
            <v>SMT</v>
          </cell>
          <cell r="C1695">
            <v>1</v>
          </cell>
          <cell r="D1695" t="e">
            <v>#N/A</v>
          </cell>
        </row>
        <row r="1696">
          <cell r="A1696" t="str">
            <v>1VI2NS0132</v>
          </cell>
          <cell r="B1696" t="str">
            <v>SMT</v>
          </cell>
          <cell r="C1696">
            <v>1</v>
          </cell>
          <cell r="D1696" t="e">
            <v>#N/A</v>
          </cell>
        </row>
        <row r="1697">
          <cell r="A1697" t="str">
            <v>1RE1NS0132</v>
          </cell>
          <cell r="B1697" t="str">
            <v>SMT</v>
          </cell>
          <cell r="C1697">
            <v>1</v>
          </cell>
          <cell r="D1697">
            <v>685</v>
          </cell>
          <cell r="E1697">
            <v>2210</v>
          </cell>
          <cell r="F1697" t="str">
            <v>VC01</v>
          </cell>
          <cell r="G1697" t="str">
            <v>Auto</v>
          </cell>
          <cell r="H1697">
            <v>311</v>
          </cell>
          <cell r="I1697">
            <v>2210</v>
          </cell>
          <cell r="J1697">
            <v>2310</v>
          </cell>
          <cell r="K1697" t="str">
            <v>VC01</v>
          </cell>
        </row>
        <row r="1698">
          <cell r="A1698" t="str">
            <v>1AP1NS0132</v>
          </cell>
          <cell r="B1698" t="str">
            <v>DIP</v>
          </cell>
          <cell r="C1698">
            <v>1</v>
          </cell>
          <cell r="D1698" t="e">
            <v>#N/A</v>
          </cell>
          <cell r="E1698">
            <v>2210</v>
          </cell>
          <cell r="F1698" t="str">
            <v>VC01</v>
          </cell>
          <cell r="G1698" t="str">
            <v>Auto</v>
          </cell>
          <cell r="H1698">
            <v>311</v>
          </cell>
          <cell r="I1698">
            <v>2210</v>
          </cell>
          <cell r="J1698">
            <v>2310</v>
          </cell>
          <cell r="K1698" t="str">
            <v>VC01</v>
          </cell>
        </row>
        <row r="1699">
          <cell r="A1699" t="str">
            <v>1VJ1PSLP1625ZA</v>
          </cell>
          <cell r="B1699" t="str">
            <v>SMT</v>
          </cell>
          <cell r="C1699">
            <v>1</v>
          </cell>
          <cell r="D1699" t="e">
            <v>#N/A</v>
          </cell>
        </row>
        <row r="1700">
          <cell r="A1700" t="str">
            <v>1VJ2PSLP1625ZA</v>
          </cell>
          <cell r="B1700" t="str">
            <v>SMT</v>
          </cell>
          <cell r="C1700">
            <v>1</v>
          </cell>
          <cell r="D1700" t="e">
            <v>#N/A</v>
          </cell>
        </row>
        <row r="1701">
          <cell r="A1701" t="str">
            <v>1RE1PSLP1625ZA</v>
          </cell>
          <cell r="B1701" t="str">
            <v>SMT</v>
          </cell>
          <cell r="C1701">
            <v>1</v>
          </cell>
          <cell r="D1701">
            <v>484</v>
          </cell>
        </row>
        <row r="1702">
          <cell r="A1702" t="str">
            <v>1RE2PSLP1625ZA</v>
          </cell>
          <cell r="B1702" t="str">
            <v>SMT</v>
          </cell>
          <cell r="C1702">
            <v>1</v>
          </cell>
          <cell r="D1702">
            <v>703</v>
          </cell>
          <cell r="E1702">
            <v>2210</v>
          </cell>
          <cell r="F1702" t="str">
            <v>VC01</v>
          </cell>
          <cell r="G1702" t="str">
            <v>Auto</v>
          </cell>
          <cell r="H1702">
            <v>311</v>
          </cell>
          <cell r="I1702">
            <v>2210</v>
          </cell>
          <cell r="J1702">
            <v>2220</v>
          </cell>
          <cell r="K1702" t="str">
            <v>VC01</v>
          </cell>
        </row>
        <row r="1703">
          <cell r="A1703" t="str">
            <v>1AP1PSLP1625ZA</v>
          </cell>
          <cell r="B1703" t="str">
            <v>DIP</v>
          </cell>
          <cell r="C1703">
            <v>1</v>
          </cell>
          <cell r="D1703" t="e">
            <v>#N/A</v>
          </cell>
          <cell r="E1703">
            <v>2210</v>
          </cell>
          <cell r="F1703" t="str">
            <v>VC01</v>
          </cell>
          <cell r="G1703" t="str">
            <v>Auto</v>
          </cell>
          <cell r="H1703">
            <v>311</v>
          </cell>
          <cell r="I1703">
            <v>2210</v>
          </cell>
          <cell r="J1703">
            <v>2220</v>
          </cell>
          <cell r="K1703" t="str">
            <v>VC01</v>
          </cell>
        </row>
        <row r="1704">
          <cell r="A1704" t="str">
            <v>1AP1PSLP1626ZA</v>
          </cell>
          <cell r="B1704" t="str">
            <v>DIP</v>
          </cell>
          <cell r="C1704">
            <v>1</v>
          </cell>
          <cell r="D1704" t="e">
            <v>#N/A</v>
          </cell>
          <cell r="E1704">
            <v>2210</v>
          </cell>
          <cell r="F1704" t="str">
            <v>VC01</v>
          </cell>
          <cell r="G1704" t="str">
            <v>Auto</v>
          </cell>
          <cell r="H1704">
            <v>311</v>
          </cell>
          <cell r="I1704">
            <v>2210</v>
          </cell>
          <cell r="J1704">
            <v>2310</v>
          </cell>
          <cell r="K1704" t="str">
            <v>VC01</v>
          </cell>
        </row>
        <row r="1705">
          <cell r="A1705" t="str">
            <v>1RE1TDA0189XV4</v>
          </cell>
          <cell r="B1705" t="str">
            <v>SMT</v>
          </cell>
          <cell r="C1705">
            <v>1</v>
          </cell>
          <cell r="D1705">
            <v>235</v>
          </cell>
        </row>
        <row r="1706">
          <cell r="A1706" t="str">
            <v>1RE2TDA0189XV4</v>
          </cell>
          <cell r="B1706" t="str">
            <v>SMT</v>
          </cell>
          <cell r="C1706">
            <v>1</v>
          </cell>
          <cell r="D1706">
            <v>242</v>
          </cell>
          <cell r="E1706">
            <v>2210</v>
          </cell>
          <cell r="F1706" t="str">
            <v>VC01</v>
          </cell>
          <cell r="G1706" t="str">
            <v>Auto</v>
          </cell>
          <cell r="H1706">
            <v>311</v>
          </cell>
          <cell r="I1706">
            <v>2210</v>
          </cell>
          <cell r="J1706">
            <v>2310</v>
          </cell>
          <cell r="K1706" t="str">
            <v>VC01</v>
          </cell>
        </row>
        <row r="1707">
          <cell r="A1707" t="str">
            <v>1AP1TDA0189XV4</v>
          </cell>
          <cell r="B1707" t="str">
            <v>DIP</v>
          </cell>
          <cell r="C1707">
            <v>1</v>
          </cell>
          <cell r="D1707" t="e">
            <v>#N/A</v>
          </cell>
          <cell r="E1707">
            <v>2210</v>
          </cell>
          <cell r="F1707" t="str">
            <v>VC01</v>
          </cell>
          <cell r="G1707" t="str">
            <v>Auto</v>
          </cell>
          <cell r="H1707">
            <v>311</v>
          </cell>
          <cell r="I1707">
            <v>2210</v>
          </cell>
          <cell r="J1707">
            <v>2310</v>
          </cell>
          <cell r="K1707" t="str">
            <v>VC01</v>
          </cell>
        </row>
        <row r="1708">
          <cell r="A1708" t="str">
            <v>1CM1TDA5170V4</v>
          </cell>
          <cell r="B1708" t="str">
            <v>SMT</v>
          </cell>
          <cell r="C1708">
            <v>1</v>
          </cell>
          <cell r="D1708">
            <v>226</v>
          </cell>
        </row>
        <row r="1709">
          <cell r="A1709" t="str">
            <v>1RE2TDA5170V4</v>
          </cell>
          <cell r="B1709" t="str">
            <v>SMT</v>
          </cell>
          <cell r="C1709">
            <v>1</v>
          </cell>
          <cell r="D1709">
            <v>291</v>
          </cell>
        </row>
        <row r="1710">
          <cell r="A1710" t="str">
            <v>1RH1TDA5170V4</v>
          </cell>
          <cell r="B1710" t="str">
            <v>SMT</v>
          </cell>
          <cell r="C1710">
            <v>1</v>
          </cell>
          <cell r="D1710">
            <v>45</v>
          </cell>
          <cell r="E1710">
            <v>2210</v>
          </cell>
          <cell r="F1710" t="str">
            <v>VC01</v>
          </cell>
          <cell r="G1710" t="str">
            <v>Auto</v>
          </cell>
          <cell r="H1710">
            <v>311</v>
          </cell>
          <cell r="I1710">
            <v>2210</v>
          </cell>
          <cell r="J1710">
            <v>2310</v>
          </cell>
          <cell r="K1710" t="str">
            <v>VC01</v>
          </cell>
        </row>
        <row r="1711">
          <cell r="A1711" t="str">
            <v>1AP1TDA5170V4</v>
          </cell>
          <cell r="B1711" t="str">
            <v>DIP</v>
          </cell>
          <cell r="C1711">
            <v>1</v>
          </cell>
          <cell r="D1711" t="e">
            <v>#N/A</v>
          </cell>
          <cell r="E1711">
            <v>2210</v>
          </cell>
          <cell r="F1711" t="str">
            <v>VC01</v>
          </cell>
          <cell r="G1711" t="str">
            <v>Auto</v>
          </cell>
          <cell r="H1711">
            <v>311</v>
          </cell>
          <cell r="I1711">
            <v>2210</v>
          </cell>
          <cell r="J1711">
            <v>2310</v>
          </cell>
          <cell r="K1711" t="str">
            <v>VC01</v>
          </cell>
        </row>
        <row r="1712">
          <cell r="A1712" t="str">
            <v>1CM1TDA5174V4</v>
          </cell>
          <cell r="B1712" t="str">
            <v>SMT</v>
          </cell>
          <cell r="C1712">
            <v>1</v>
          </cell>
          <cell r="D1712">
            <v>440</v>
          </cell>
        </row>
        <row r="1713">
          <cell r="A1713" t="str">
            <v>1RE2TDA5174V4</v>
          </cell>
          <cell r="B1713" t="str">
            <v>SMT</v>
          </cell>
          <cell r="C1713">
            <v>1</v>
          </cell>
          <cell r="D1713">
            <v>315</v>
          </cell>
        </row>
        <row r="1714">
          <cell r="A1714" t="str">
            <v>1RH1TDA5174V4</v>
          </cell>
          <cell r="B1714" t="str">
            <v>SMT</v>
          </cell>
          <cell r="C1714">
            <v>1</v>
          </cell>
          <cell r="D1714">
            <v>80</v>
          </cell>
          <cell r="E1714">
            <v>2210</v>
          </cell>
          <cell r="F1714" t="str">
            <v>VC01</v>
          </cell>
          <cell r="G1714" t="str">
            <v>Auto</v>
          </cell>
          <cell r="H1714">
            <v>311</v>
          </cell>
          <cell r="I1714">
            <v>2210</v>
          </cell>
          <cell r="J1714">
            <v>2310</v>
          </cell>
          <cell r="K1714" t="str">
            <v>VC01</v>
          </cell>
        </row>
        <row r="1715">
          <cell r="A1715" t="str">
            <v>1AP1TDA5174V4</v>
          </cell>
          <cell r="B1715" t="str">
            <v>DIP</v>
          </cell>
          <cell r="C1715">
            <v>1</v>
          </cell>
          <cell r="D1715" t="e">
            <v>#N/A</v>
          </cell>
          <cell r="E1715">
            <v>2210</v>
          </cell>
          <cell r="F1715" t="str">
            <v>VC01</v>
          </cell>
          <cell r="G1715" t="str">
            <v>Auto</v>
          </cell>
          <cell r="H1715">
            <v>311</v>
          </cell>
          <cell r="I1715">
            <v>2210</v>
          </cell>
          <cell r="J1715">
            <v>2310</v>
          </cell>
          <cell r="K1715" t="str">
            <v>VC01</v>
          </cell>
        </row>
        <row r="1716">
          <cell r="A1716" t="str">
            <v>1RE1PSLP1609ZA</v>
          </cell>
          <cell r="B1716" t="str">
            <v>SMT</v>
          </cell>
          <cell r="C1716">
            <v>1</v>
          </cell>
          <cell r="D1716">
            <v>16</v>
          </cell>
        </row>
        <row r="1717">
          <cell r="A1717" t="str">
            <v>1RE2PSLP1609ZA</v>
          </cell>
          <cell r="B1717" t="str">
            <v>DIP</v>
          </cell>
          <cell r="C1717">
            <v>1</v>
          </cell>
          <cell r="D1717">
            <v>16</v>
          </cell>
          <cell r="E1717">
            <v>2210</v>
          </cell>
          <cell r="F1717" t="str">
            <v>VC01</v>
          </cell>
          <cell r="G1717" t="str">
            <v>Auto</v>
          </cell>
          <cell r="H1717">
            <v>311</v>
          </cell>
          <cell r="I1717">
            <v>2210</v>
          </cell>
          <cell r="J1717">
            <v>2310</v>
          </cell>
          <cell r="K1717" t="str">
            <v>VC01</v>
          </cell>
        </row>
        <row r="1718">
          <cell r="A1718" t="str">
            <v>1RE1TDA5105V4</v>
          </cell>
          <cell r="B1718" t="str">
            <v>SMT</v>
          </cell>
          <cell r="C1718">
            <v>1</v>
          </cell>
          <cell r="D1718">
            <v>69</v>
          </cell>
        </row>
        <row r="1719">
          <cell r="A1719" t="str">
            <v>1RE2TDA5105V4</v>
          </cell>
          <cell r="B1719" t="str">
            <v>DIP</v>
          </cell>
          <cell r="C1719">
            <v>1</v>
          </cell>
          <cell r="D1719">
            <v>69</v>
          </cell>
          <cell r="E1719">
            <v>2210</v>
          </cell>
          <cell r="F1719" t="str">
            <v>VC01</v>
          </cell>
          <cell r="G1719" t="str">
            <v>Auto</v>
          </cell>
          <cell r="H1719">
            <v>311</v>
          </cell>
          <cell r="I1719">
            <v>2210</v>
          </cell>
          <cell r="J1719">
            <v>2310</v>
          </cell>
          <cell r="K1719" t="str">
            <v>VC01</v>
          </cell>
        </row>
        <row r="1720">
          <cell r="A1720" t="str">
            <v>2AP1PSLP1626ZA</v>
          </cell>
          <cell r="B1720" t="str">
            <v>DIP</v>
          </cell>
          <cell r="C1720">
            <v>1</v>
          </cell>
          <cell r="D1720" t="e">
            <v>#N/A</v>
          </cell>
          <cell r="E1720">
            <v>2210</v>
          </cell>
          <cell r="F1720" t="str">
            <v>VC01</v>
          </cell>
          <cell r="G1720" t="str">
            <v>Auto</v>
          </cell>
          <cell r="H1720">
            <v>311</v>
          </cell>
          <cell r="I1720">
            <v>2210</v>
          </cell>
          <cell r="J1720">
            <v>2310</v>
          </cell>
          <cell r="K1720" t="str">
            <v>VC01</v>
          </cell>
        </row>
        <row r="1721">
          <cell r="A1721" t="str">
            <v>5CM1LPS1057CSZA</v>
          </cell>
          <cell r="B1721" t="str">
            <v>SMT</v>
          </cell>
          <cell r="C1721">
            <v>1</v>
          </cell>
          <cell r="D1721">
            <v>28</v>
          </cell>
        </row>
        <row r="1722">
          <cell r="A1722" t="str">
            <v>5AP1LPS1057CSZA</v>
          </cell>
          <cell r="B1722" t="str">
            <v>DIP</v>
          </cell>
          <cell r="C1722">
            <v>1</v>
          </cell>
          <cell r="D1722" t="e">
            <v>#N/A</v>
          </cell>
          <cell r="E1722">
            <v>2210</v>
          </cell>
        </row>
        <row r="1723">
          <cell r="A1723" t="str">
            <v>1VI1LPS8127L-R1</v>
          </cell>
          <cell r="B1723" t="str">
            <v>SMT</v>
          </cell>
          <cell r="C1723">
            <v>1</v>
          </cell>
          <cell r="D1723" t="e">
            <v>#N/A</v>
          </cell>
        </row>
        <row r="1724">
          <cell r="A1724" t="str">
            <v>1RE1LPS8127L-R1</v>
          </cell>
          <cell r="B1724" t="str">
            <v>SMT</v>
          </cell>
          <cell r="C1724">
            <v>1</v>
          </cell>
          <cell r="D1724">
            <v>50</v>
          </cell>
        </row>
        <row r="1725">
          <cell r="A1725" t="str">
            <v>1RE2LPS8127L-R1</v>
          </cell>
          <cell r="B1725" t="str">
            <v>SMT</v>
          </cell>
          <cell r="C1725">
            <v>1</v>
          </cell>
          <cell r="D1725">
            <v>951</v>
          </cell>
        </row>
        <row r="1726">
          <cell r="A1726" t="str">
            <v>1AP1LPS8127L-R1</v>
          </cell>
          <cell r="B1726" t="str">
            <v>DIP</v>
          </cell>
          <cell r="C1726">
            <v>1</v>
          </cell>
          <cell r="D1726" t="e">
            <v>#N/A</v>
          </cell>
          <cell r="E1726">
            <v>2210</v>
          </cell>
        </row>
        <row r="1727">
          <cell r="A1727" t="str">
            <v>1VI1LPS8120M-R1</v>
          </cell>
          <cell r="B1727" t="str">
            <v>SMT</v>
          </cell>
          <cell r="C1727">
            <v>1</v>
          </cell>
          <cell r="D1727" t="e">
            <v>#N/A</v>
          </cell>
        </row>
        <row r="1728">
          <cell r="A1728" t="str">
            <v>1RE1LPS8120M-R1</v>
          </cell>
          <cell r="B1728" t="str">
            <v>SMT</v>
          </cell>
          <cell r="C1728">
            <v>1</v>
          </cell>
          <cell r="D1728" t="e">
            <v>#N/A</v>
          </cell>
        </row>
        <row r="1729">
          <cell r="A1729" t="str">
            <v>1RE2LPS8120M-R1</v>
          </cell>
          <cell r="B1729" t="str">
            <v>SMT</v>
          </cell>
          <cell r="C1729">
            <v>1</v>
          </cell>
          <cell r="D1729" t="e">
            <v>#N/A</v>
          </cell>
        </row>
        <row r="1730">
          <cell r="A1730" t="str">
            <v>1AP1LPS8120M-R1</v>
          </cell>
          <cell r="B1730" t="str">
            <v>DIP</v>
          </cell>
          <cell r="C1730">
            <v>1</v>
          </cell>
          <cell r="D1730" t="e">
            <v>#N/A</v>
          </cell>
          <cell r="E1730">
            <v>2210</v>
          </cell>
        </row>
        <row r="1731">
          <cell r="A1731" t="str">
            <v>1VI1LPS8130M-R1</v>
          </cell>
          <cell r="B1731" t="str">
            <v>SMT</v>
          </cell>
          <cell r="C1731">
            <v>1</v>
          </cell>
          <cell r="D1731" t="e">
            <v>#N/A</v>
          </cell>
        </row>
        <row r="1732">
          <cell r="A1732" t="str">
            <v>1RE1LPS8130M-R1</v>
          </cell>
          <cell r="B1732" t="str">
            <v>SMT</v>
          </cell>
          <cell r="C1732">
            <v>1</v>
          </cell>
          <cell r="D1732" t="e">
            <v>#N/A</v>
          </cell>
        </row>
        <row r="1733">
          <cell r="A1733" t="str">
            <v>1RE2LPS8130M-R1</v>
          </cell>
          <cell r="B1733" t="str">
            <v>SMT</v>
          </cell>
          <cell r="C1733">
            <v>1</v>
          </cell>
          <cell r="D1733" t="e">
            <v>#N/A</v>
          </cell>
        </row>
        <row r="1734">
          <cell r="A1734" t="str">
            <v>1AP1LPS8130M-R1</v>
          </cell>
          <cell r="B1734" t="str">
            <v>DIP</v>
          </cell>
          <cell r="C1734">
            <v>1</v>
          </cell>
          <cell r="D1734" t="e">
            <v>#N/A</v>
          </cell>
          <cell r="E1734">
            <v>2210</v>
          </cell>
        </row>
        <row r="1735">
          <cell r="A1735" t="str">
            <v>1RE1LPS8130R-R1</v>
          </cell>
          <cell r="B1735" t="str">
            <v>SMT</v>
          </cell>
          <cell r="C1735">
            <v>1</v>
          </cell>
          <cell r="D1735" t="e">
            <v>#N/A</v>
          </cell>
        </row>
        <row r="1736">
          <cell r="A1736" t="str">
            <v>1RH1LPS8130R-R1</v>
          </cell>
          <cell r="B1736" t="str">
            <v>SMT</v>
          </cell>
          <cell r="C1736">
            <v>1</v>
          </cell>
          <cell r="D1736" t="e">
            <v>#N/A</v>
          </cell>
        </row>
        <row r="1737">
          <cell r="A1737" t="str">
            <v>1CM1LPS8130R-R1</v>
          </cell>
          <cell r="B1737" t="str">
            <v>SMT</v>
          </cell>
          <cell r="C1737">
            <v>1</v>
          </cell>
          <cell r="D1737" t="e">
            <v>#N/A</v>
          </cell>
        </row>
        <row r="1738">
          <cell r="A1738" t="str">
            <v>1AP1LPS8130R-R1</v>
          </cell>
          <cell r="B1738" t="str">
            <v>DIP</v>
          </cell>
          <cell r="C1738">
            <v>1</v>
          </cell>
          <cell r="D1738" t="e">
            <v>#N/A</v>
          </cell>
          <cell r="E1738">
            <v>2210</v>
          </cell>
        </row>
        <row r="1739">
          <cell r="A1739" t="str">
            <v>1VI1LPS8150M-R1</v>
          </cell>
          <cell r="B1739" t="str">
            <v>SMT</v>
          </cell>
          <cell r="C1739">
            <v>1</v>
          </cell>
          <cell r="D1739" t="e">
            <v>#N/A</v>
          </cell>
        </row>
        <row r="1740">
          <cell r="A1740" t="str">
            <v>1RE1LPS8150M-R1</v>
          </cell>
          <cell r="B1740" t="str">
            <v>SMT</v>
          </cell>
          <cell r="C1740">
            <v>1</v>
          </cell>
          <cell r="D1740" t="e">
            <v>#N/A</v>
          </cell>
        </row>
        <row r="1741">
          <cell r="A1741" t="str">
            <v>1RE2LPS8150M-R1</v>
          </cell>
          <cell r="B1741" t="str">
            <v>SMT</v>
          </cell>
          <cell r="C1741">
            <v>1</v>
          </cell>
          <cell r="D1741" t="e">
            <v>#N/A</v>
          </cell>
        </row>
        <row r="1742">
          <cell r="A1742" t="str">
            <v>1AP1LPS8150M-R1</v>
          </cell>
          <cell r="B1742" t="str">
            <v>DIP</v>
          </cell>
          <cell r="C1742">
            <v>1</v>
          </cell>
          <cell r="D1742" t="e">
            <v>#N/A</v>
          </cell>
          <cell r="E1742">
            <v>2210</v>
          </cell>
        </row>
        <row r="1743">
          <cell r="A1743" t="str">
            <v>1VJ1LP2587ZA</v>
          </cell>
          <cell r="B1743" t="str">
            <v>SMT</v>
          </cell>
          <cell r="C1743">
            <v>1</v>
          </cell>
          <cell r="D1743" t="e">
            <v>#N/A</v>
          </cell>
        </row>
        <row r="1744">
          <cell r="A1744" t="str">
            <v>1RE1LP2587ZA</v>
          </cell>
          <cell r="B1744" t="str">
            <v>SMT</v>
          </cell>
          <cell r="C1744">
            <v>1</v>
          </cell>
          <cell r="D1744">
            <v>546</v>
          </cell>
        </row>
        <row r="1745">
          <cell r="A1745" t="str">
            <v>1RE2LP2587ZA</v>
          </cell>
          <cell r="B1745" t="str">
            <v>SMT</v>
          </cell>
          <cell r="C1745">
            <v>1</v>
          </cell>
          <cell r="D1745">
            <v>643</v>
          </cell>
        </row>
        <row r="1746">
          <cell r="A1746" t="str">
            <v>1RH1LP2587ZA</v>
          </cell>
          <cell r="B1746" t="str">
            <v>SMT</v>
          </cell>
          <cell r="C1746">
            <v>1</v>
          </cell>
          <cell r="D1746">
            <v>15</v>
          </cell>
          <cell r="E1746">
            <v>2210</v>
          </cell>
          <cell r="F1746" t="str">
            <v>VC01</v>
          </cell>
          <cell r="G1746" t="str">
            <v>Auto</v>
          </cell>
          <cell r="H1746">
            <v>311</v>
          </cell>
          <cell r="I1746">
            <v>2210</v>
          </cell>
          <cell r="J1746">
            <v>2310</v>
          </cell>
          <cell r="K1746" t="str">
            <v>VC01</v>
          </cell>
        </row>
        <row r="1747">
          <cell r="A1747" t="str">
            <v>1AP1LP2587ZA</v>
          </cell>
          <cell r="B1747" t="str">
            <v>DIP</v>
          </cell>
          <cell r="C1747">
            <v>1</v>
          </cell>
          <cell r="D1747" t="e">
            <v>#N/A</v>
          </cell>
          <cell r="E1747">
            <v>2210</v>
          </cell>
          <cell r="F1747" t="str">
            <v>VC01</v>
          </cell>
          <cell r="G1747" t="str">
            <v>Auto</v>
          </cell>
          <cell r="H1747">
            <v>311</v>
          </cell>
          <cell r="I1747">
            <v>2210</v>
          </cell>
          <cell r="J1747">
            <v>2310</v>
          </cell>
          <cell r="K1747" t="str">
            <v>VC01</v>
          </cell>
        </row>
        <row r="1748">
          <cell r="A1748" t="str">
            <v>1RE1NCP1174</v>
          </cell>
          <cell r="B1748" t="str">
            <v>SMT</v>
          </cell>
          <cell r="C1748">
            <v>1</v>
          </cell>
          <cell r="D1748">
            <v>211</v>
          </cell>
        </row>
        <row r="1749">
          <cell r="A1749" t="str">
            <v>1RE2NCP1174</v>
          </cell>
          <cell r="B1749" t="str">
            <v>SMT</v>
          </cell>
          <cell r="C1749">
            <v>1</v>
          </cell>
          <cell r="D1749">
            <v>441</v>
          </cell>
        </row>
        <row r="1750">
          <cell r="A1750" t="str">
            <v>1RH1NCP1174</v>
          </cell>
          <cell r="B1750" t="str">
            <v>SMT</v>
          </cell>
          <cell r="C1750">
            <v>1</v>
          </cell>
          <cell r="D1750">
            <v>101</v>
          </cell>
          <cell r="E1750">
            <v>2210</v>
          </cell>
          <cell r="F1750" t="str">
            <v>VC01</v>
          </cell>
          <cell r="G1750" t="str">
            <v>Auto</v>
          </cell>
          <cell r="H1750">
            <v>311</v>
          </cell>
          <cell r="I1750">
            <v>2210</v>
          </cell>
          <cell r="J1750">
            <v>2310</v>
          </cell>
          <cell r="K1750" t="str">
            <v>VC01</v>
          </cell>
        </row>
        <row r="1751">
          <cell r="A1751" t="str">
            <v>1AP1NCP1174</v>
          </cell>
          <cell r="B1751" t="str">
            <v>DIP</v>
          </cell>
          <cell r="C1751">
            <v>1</v>
          </cell>
          <cell r="D1751" t="e">
            <v>#N/A</v>
          </cell>
          <cell r="E1751">
            <v>2210</v>
          </cell>
          <cell r="F1751" t="str">
            <v>VC01</v>
          </cell>
          <cell r="G1751" t="str">
            <v>Auto</v>
          </cell>
          <cell r="H1751">
            <v>311</v>
          </cell>
          <cell r="I1751">
            <v>2210</v>
          </cell>
          <cell r="J1751">
            <v>2310</v>
          </cell>
          <cell r="K1751" t="str">
            <v>VC01</v>
          </cell>
        </row>
        <row r="1752">
          <cell r="A1752" t="str">
            <v>1VI1NS0132XG</v>
          </cell>
          <cell r="B1752" t="str">
            <v>SMT</v>
          </cell>
          <cell r="C1752">
            <v>1</v>
          </cell>
          <cell r="D1752" t="e">
            <v>#N/A</v>
          </cell>
        </row>
        <row r="1753">
          <cell r="A1753" t="str">
            <v>1VI2NS0132XG</v>
          </cell>
          <cell r="B1753" t="str">
            <v>SMT</v>
          </cell>
          <cell r="C1753">
            <v>1</v>
          </cell>
          <cell r="D1753" t="e">
            <v>#N/A</v>
          </cell>
        </row>
        <row r="1754">
          <cell r="A1754" t="str">
            <v>1RE1NS0132XG</v>
          </cell>
          <cell r="B1754" t="str">
            <v>SMT</v>
          </cell>
          <cell r="C1754">
            <v>1</v>
          </cell>
          <cell r="D1754">
            <v>685</v>
          </cell>
          <cell r="E1754">
            <v>2210</v>
          </cell>
          <cell r="F1754" t="str">
            <v>VC01</v>
          </cell>
          <cell r="G1754" t="str">
            <v>Auto</v>
          </cell>
          <cell r="H1754">
            <v>311</v>
          </cell>
          <cell r="I1754">
            <v>2210</v>
          </cell>
          <cell r="J1754">
            <v>2310</v>
          </cell>
          <cell r="K1754" t="str">
            <v>VC01</v>
          </cell>
        </row>
        <row r="1755">
          <cell r="A1755" t="str">
            <v>1AP1NS0132XG</v>
          </cell>
          <cell r="B1755" t="str">
            <v>DIP</v>
          </cell>
          <cell r="C1755">
            <v>1</v>
          </cell>
          <cell r="D1755" t="e">
            <v>#N/A</v>
          </cell>
          <cell r="E1755">
            <v>2210</v>
          </cell>
          <cell r="F1755" t="str">
            <v>VC01</v>
          </cell>
          <cell r="G1755" t="str">
            <v>Auto</v>
          </cell>
          <cell r="H1755">
            <v>311</v>
          </cell>
          <cell r="I1755">
            <v>2210</v>
          </cell>
          <cell r="J1755">
            <v>2310</v>
          </cell>
          <cell r="K1755" t="str">
            <v>VC01</v>
          </cell>
        </row>
        <row r="1756">
          <cell r="A1756" t="str">
            <v>1RE1NS0161</v>
          </cell>
          <cell r="B1756" t="str">
            <v>SMT</v>
          </cell>
          <cell r="C1756">
            <v>1</v>
          </cell>
          <cell r="D1756">
            <v>81</v>
          </cell>
        </row>
        <row r="1757">
          <cell r="A1757" t="str">
            <v>1RH1NS0161</v>
          </cell>
          <cell r="B1757" t="str">
            <v>SMT</v>
          </cell>
          <cell r="C1757">
            <v>1</v>
          </cell>
          <cell r="D1757">
            <v>6</v>
          </cell>
          <cell r="E1757">
            <v>2210</v>
          </cell>
          <cell r="F1757" t="str">
            <v>VC01</v>
          </cell>
          <cell r="G1757" t="str">
            <v>Auto</v>
          </cell>
          <cell r="H1757">
            <v>311</v>
          </cell>
          <cell r="I1757">
            <v>2210</v>
          </cell>
          <cell r="J1757">
            <v>2310</v>
          </cell>
          <cell r="K1757" t="str">
            <v>VC01</v>
          </cell>
        </row>
        <row r="1758">
          <cell r="A1758" t="str">
            <v>1AP1NS0161</v>
          </cell>
          <cell r="B1758" t="str">
            <v>DIP</v>
          </cell>
          <cell r="C1758">
            <v>1</v>
          </cell>
          <cell r="D1758" t="e">
            <v>#N/A</v>
          </cell>
          <cell r="E1758">
            <v>2210</v>
          </cell>
          <cell r="F1758" t="str">
            <v>VC01</v>
          </cell>
          <cell r="G1758" t="str">
            <v>Auto</v>
          </cell>
          <cell r="H1758">
            <v>311</v>
          </cell>
          <cell r="I1758">
            <v>2210</v>
          </cell>
          <cell r="J1758">
            <v>2310</v>
          </cell>
          <cell r="K1758" t="str">
            <v>VC01</v>
          </cell>
        </row>
        <row r="1759">
          <cell r="A1759" t="str">
            <v>1RE1NS0180CN</v>
          </cell>
          <cell r="B1759" t="str">
            <v>SMT</v>
          </cell>
          <cell r="C1759">
            <v>1</v>
          </cell>
          <cell r="D1759">
            <v>198</v>
          </cell>
        </row>
        <row r="1760">
          <cell r="A1760" t="str">
            <v>1RE2NS0180CN</v>
          </cell>
          <cell r="B1760" t="str">
            <v>SMT</v>
          </cell>
          <cell r="C1760">
            <v>1</v>
          </cell>
          <cell r="D1760">
            <v>247</v>
          </cell>
        </row>
        <row r="1761">
          <cell r="A1761" t="str">
            <v>1RH1NS0180CN</v>
          </cell>
          <cell r="B1761" t="str">
            <v>SMT</v>
          </cell>
          <cell r="C1761">
            <v>1</v>
          </cell>
          <cell r="D1761">
            <v>24</v>
          </cell>
          <cell r="E1761">
            <v>2210</v>
          </cell>
          <cell r="F1761" t="str">
            <v>VC01</v>
          </cell>
          <cell r="G1761" t="str">
            <v>Auto</v>
          </cell>
          <cell r="H1761">
            <v>311</v>
          </cell>
          <cell r="I1761">
            <v>2210</v>
          </cell>
          <cell r="J1761">
            <v>2310</v>
          </cell>
          <cell r="K1761" t="str">
            <v>VC01</v>
          </cell>
        </row>
        <row r="1762">
          <cell r="A1762" t="str">
            <v>1AP1NS0180CN</v>
          </cell>
          <cell r="B1762" t="str">
            <v>DIP</v>
          </cell>
          <cell r="C1762">
            <v>1</v>
          </cell>
          <cell r="D1762" t="e">
            <v>#N/A</v>
          </cell>
          <cell r="E1762">
            <v>2210</v>
          </cell>
          <cell r="F1762" t="str">
            <v>VC01</v>
          </cell>
          <cell r="G1762" t="str">
            <v>Auto</v>
          </cell>
          <cell r="H1762">
            <v>311</v>
          </cell>
          <cell r="I1762">
            <v>2210</v>
          </cell>
          <cell r="J1762">
            <v>2310</v>
          </cell>
          <cell r="K1762" t="str">
            <v>VC01</v>
          </cell>
        </row>
        <row r="1763">
          <cell r="A1763" t="str">
            <v>1RE1NS0290CN</v>
          </cell>
          <cell r="B1763" t="str">
            <v>SMT</v>
          </cell>
          <cell r="C1763">
            <v>1</v>
          </cell>
          <cell r="D1763">
            <v>46</v>
          </cell>
        </row>
        <row r="1764">
          <cell r="A1764" t="str">
            <v>1RE2NS0290CN</v>
          </cell>
          <cell r="B1764" t="str">
            <v>SMT</v>
          </cell>
          <cell r="C1764">
            <v>1</v>
          </cell>
          <cell r="D1764">
            <v>242</v>
          </cell>
        </row>
        <row r="1765">
          <cell r="A1765" t="str">
            <v>1RH1NS0290CN</v>
          </cell>
          <cell r="B1765" t="str">
            <v>SMT</v>
          </cell>
          <cell r="C1765">
            <v>1</v>
          </cell>
          <cell r="D1765">
            <v>16</v>
          </cell>
          <cell r="E1765">
            <v>2210</v>
          </cell>
          <cell r="F1765" t="str">
            <v>VC01</v>
          </cell>
          <cell r="G1765" t="str">
            <v>Auto</v>
          </cell>
          <cell r="H1765">
            <v>311</v>
          </cell>
          <cell r="I1765">
            <v>2210</v>
          </cell>
          <cell r="J1765">
            <v>2310</v>
          </cell>
          <cell r="K1765" t="str">
            <v>VC01</v>
          </cell>
        </row>
        <row r="1766">
          <cell r="A1766" t="str">
            <v>1AP1NS0290CN</v>
          </cell>
          <cell r="B1766" t="str">
            <v>DIP</v>
          </cell>
          <cell r="C1766">
            <v>1</v>
          </cell>
          <cell r="D1766" t="e">
            <v>#N/A</v>
          </cell>
          <cell r="E1766">
            <v>2210</v>
          </cell>
          <cell r="F1766" t="str">
            <v>VC01</v>
          </cell>
          <cell r="G1766" t="str">
            <v>Auto</v>
          </cell>
          <cell r="H1766">
            <v>311</v>
          </cell>
          <cell r="I1766">
            <v>2210</v>
          </cell>
          <cell r="J1766">
            <v>2310</v>
          </cell>
          <cell r="K1766" t="str">
            <v>VC01</v>
          </cell>
        </row>
        <row r="1767">
          <cell r="A1767" t="str">
            <v>1VI1NS5170CN</v>
          </cell>
          <cell r="B1767" t="str">
            <v>SMT</v>
          </cell>
          <cell r="C1767">
            <v>1</v>
          </cell>
          <cell r="D1767" t="e">
            <v>#N/A</v>
          </cell>
        </row>
        <row r="1768">
          <cell r="A1768" t="str">
            <v>1VJ1NS5170CN</v>
          </cell>
          <cell r="B1768" t="str">
            <v>SMT</v>
          </cell>
          <cell r="C1768">
            <v>1</v>
          </cell>
          <cell r="D1768" t="e">
            <v>#N/A</v>
          </cell>
        </row>
        <row r="1769">
          <cell r="A1769" t="str">
            <v>1RE1NS5170CN</v>
          </cell>
          <cell r="B1769" t="str">
            <v>SMT</v>
          </cell>
          <cell r="C1769">
            <v>1</v>
          </cell>
          <cell r="D1769">
            <v>231</v>
          </cell>
        </row>
        <row r="1770">
          <cell r="A1770" t="str">
            <v>1RE2NS5170CN</v>
          </cell>
          <cell r="B1770" t="str">
            <v>SMT</v>
          </cell>
          <cell r="C1770">
            <v>1</v>
          </cell>
          <cell r="D1770">
            <v>425</v>
          </cell>
        </row>
        <row r="1771">
          <cell r="A1771" t="str">
            <v>1RH1NS5170CN</v>
          </cell>
          <cell r="B1771" t="str">
            <v>SMT</v>
          </cell>
          <cell r="C1771">
            <v>1</v>
          </cell>
          <cell r="D1771">
            <v>10</v>
          </cell>
          <cell r="E1771">
            <v>2210</v>
          </cell>
          <cell r="F1771" t="str">
            <v>VC01</v>
          </cell>
          <cell r="G1771" t="str">
            <v>Auto</v>
          </cell>
          <cell r="H1771">
            <v>311</v>
          </cell>
          <cell r="I1771">
            <v>2210</v>
          </cell>
          <cell r="J1771">
            <v>2310</v>
          </cell>
          <cell r="K1771" t="str">
            <v>VC01</v>
          </cell>
        </row>
        <row r="1772">
          <cell r="A1772" t="str">
            <v>1AP1NS5170CN</v>
          </cell>
          <cell r="B1772" t="str">
            <v>DIP</v>
          </cell>
          <cell r="C1772">
            <v>1</v>
          </cell>
          <cell r="D1772" t="e">
            <v>#N/A</v>
          </cell>
          <cell r="E1772">
            <v>2210</v>
          </cell>
          <cell r="F1772" t="str">
            <v>VC01</v>
          </cell>
          <cell r="G1772" t="str">
            <v>Auto</v>
          </cell>
          <cell r="H1772">
            <v>311</v>
          </cell>
          <cell r="I1772">
            <v>2210</v>
          </cell>
          <cell r="J1772">
            <v>2310</v>
          </cell>
          <cell r="K1772" t="str">
            <v>VC01</v>
          </cell>
        </row>
        <row r="1773">
          <cell r="A1773" t="str">
            <v>1RE1PSLP1344ZA</v>
          </cell>
          <cell r="B1773" t="str">
            <v>SMT</v>
          </cell>
          <cell r="C1773">
            <v>1</v>
          </cell>
          <cell r="D1773">
            <v>124</v>
          </cell>
        </row>
        <row r="1774">
          <cell r="A1774" t="str">
            <v>1RE2PSLP1344ZA</v>
          </cell>
          <cell r="B1774" t="str">
            <v>SMT</v>
          </cell>
          <cell r="C1774">
            <v>1</v>
          </cell>
          <cell r="D1774">
            <v>145</v>
          </cell>
        </row>
        <row r="1775">
          <cell r="A1775" t="str">
            <v>1RH1PSLP1344ZA</v>
          </cell>
          <cell r="B1775" t="str">
            <v>SMT</v>
          </cell>
          <cell r="C1775">
            <v>1</v>
          </cell>
          <cell r="D1775">
            <v>5</v>
          </cell>
          <cell r="E1775">
            <v>2210</v>
          </cell>
          <cell r="F1775" t="str">
            <v>VC01</v>
          </cell>
          <cell r="G1775" t="str">
            <v>Auto</v>
          </cell>
          <cell r="H1775">
            <v>311</v>
          </cell>
          <cell r="I1775">
            <v>2210</v>
          </cell>
          <cell r="J1775">
            <v>2310</v>
          </cell>
          <cell r="K1775" t="str">
            <v>VC01</v>
          </cell>
        </row>
        <row r="1776">
          <cell r="A1776" t="str">
            <v>1AP1PSLP1344ZA</v>
          </cell>
          <cell r="B1776" t="str">
            <v>DIP</v>
          </cell>
          <cell r="C1776">
            <v>1</v>
          </cell>
          <cell r="D1776" t="e">
            <v>#N/A</v>
          </cell>
          <cell r="E1776">
            <v>2210</v>
          </cell>
          <cell r="F1776" t="str">
            <v>VC01</v>
          </cell>
          <cell r="G1776" t="str">
            <v>Auto</v>
          </cell>
          <cell r="H1776">
            <v>311</v>
          </cell>
          <cell r="I1776">
            <v>2210</v>
          </cell>
          <cell r="J1776">
            <v>2310</v>
          </cell>
          <cell r="K1776" t="str">
            <v>VC01</v>
          </cell>
        </row>
        <row r="1777">
          <cell r="A1777" t="str">
            <v>1AP1PSLP1567YA</v>
          </cell>
          <cell r="B1777" t="str">
            <v>DIP</v>
          </cell>
          <cell r="C1777">
            <v>1</v>
          </cell>
          <cell r="D1777" t="e">
            <v>#N/A</v>
          </cell>
          <cell r="E1777">
            <v>2210</v>
          </cell>
          <cell r="F1777" t="str">
            <v>VC01</v>
          </cell>
          <cell r="G1777" t="str">
            <v>Auto</v>
          </cell>
          <cell r="H1777">
            <v>311</v>
          </cell>
          <cell r="I1777">
            <v>2210</v>
          </cell>
          <cell r="J1777">
            <v>2310</v>
          </cell>
          <cell r="K1777" t="str">
            <v>VC01</v>
          </cell>
        </row>
        <row r="1778">
          <cell r="A1778" t="str">
            <v>1VJ1TDA0170CXV4</v>
          </cell>
          <cell r="B1778" t="str">
            <v>SMT</v>
          </cell>
          <cell r="C1778">
            <v>1</v>
          </cell>
          <cell r="D1778" t="e">
            <v>#N/A</v>
          </cell>
        </row>
        <row r="1779">
          <cell r="A1779" t="str">
            <v>1RE1TDA0170CXV4</v>
          </cell>
          <cell r="B1779" t="str">
            <v>SMT</v>
          </cell>
          <cell r="C1779">
            <v>1</v>
          </cell>
          <cell r="D1779">
            <v>778</v>
          </cell>
        </row>
        <row r="1780">
          <cell r="A1780" t="str">
            <v>1RE2TDA0170CXV4</v>
          </cell>
          <cell r="B1780" t="str">
            <v>SMT</v>
          </cell>
          <cell r="C1780">
            <v>1</v>
          </cell>
          <cell r="D1780">
            <v>501</v>
          </cell>
        </row>
        <row r="1781">
          <cell r="A1781" t="str">
            <v>1RH1TDA0170CXV4</v>
          </cell>
          <cell r="B1781" t="str">
            <v>SMT</v>
          </cell>
          <cell r="C1781">
            <v>1</v>
          </cell>
          <cell r="D1781">
            <v>102</v>
          </cell>
          <cell r="E1781">
            <v>2210</v>
          </cell>
          <cell r="F1781" t="str">
            <v>VC01</v>
          </cell>
          <cell r="G1781" t="str">
            <v>Auto</v>
          </cell>
          <cell r="H1781">
            <v>311</v>
          </cell>
          <cell r="I1781">
            <v>2210</v>
          </cell>
          <cell r="J1781">
            <v>2310</v>
          </cell>
          <cell r="K1781" t="str">
            <v>VC01</v>
          </cell>
        </row>
        <row r="1782">
          <cell r="A1782" t="str">
            <v>1AP1TDA0170CXV4</v>
          </cell>
          <cell r="B1782" t="str">
            <v>DIP</v>
          </cell>
          <cell r="C1782">
            <v>1</v>
          </cell>
          <cell r="D1782" t="e">
            <v>#N/A</v>
          </cell>
          <cell r="E1782">
            <v>2210</v>
          </cell>
          <cell r="F1782" t="str">
            <v>VC01</v>
          </cell>
          <cell r="G1782" t="str">
            <v>Auto</v>
          </cell>
          <cell r="H1782">
            <v>311</v>
          </cell>
          <cell r="I1782">
            <v>2210</v>
          </cell>
          <cell r="J1782">
            <v>2310</v>
          </cell>
          <cell r="K1782" t="str">
            <v>VC01</v>
          </cell>
        </row>
        <row r="1783">
          <cell r="A1783" t="str">
            <v>1VJ1TDA0171CXV4</v>
          </cell>
          <cell r="B1783" t="str">
            <v>SMT</v>
          </cell>
          <cell r="C1783">
            <v>1</v>
          </cell>
          <cell r="D1783" t="e">
            <v>#N/A</v>
          </cell>
        </row>
        <row r="1784">
          <cell r="A1784" t="str">
            <v>1RE1TDA0171CXV4</v>
          </cell>
          <cell r="B1784" t="str">
            <v>SMT</v>
          </cell>
          <cell r="C1784">
            <v>1</v>
          </cell>
          <cell r="D1784">
            <v>399</v>
          </cell>
        </row>
        <row r="1785">
          <cell r="A1785" t="str">
            <v>1RE2TDA0171CXV4</v>
          </cell>
          <cell r="B1785" t="str">
            <v>SMT</v>
          </cell>
          <cell r="C1785">
            <v>1</v>
          </cell>
          <cell r="D1785">
            <v>317</v>
          </cell>
        </row>
        <row r="1786">
          <cell r="A1786" t="str">
            <v>1RH1TDA0171CXV4</v>
          </cell>
          <cell r="B1786" t="str">
            <v>SMT</v>
          </cell>
          <cell r="C1786">
            <v>1</v>
          </cell>
          <cell r="D1786">
            <v>33</v>
          </cell>
          <cell r="E1786">
            <v>2210</v>
          </cell>
          <cell r="F1786" t="str">
            <v>VC01</v>
          </cell>
          <cell r="G1786" t="str">
            <v>Auto</v>
          </cell>
          <cell r="H1786">
            <v>311</v>
          </cell>
          <cell r="I1786">
            <v>2210</v>
          </cell>
          <cell r="J1786">
            <v>2310</v>
          </cell>
          <cell r="K1786" t="str">
            <v>VC01</v>
          </cell>
        </row>
        <row r="1787">
          <cell r="A1787" t="str">
            <v>1AP1TDA0171CXV4</v>
          </cell>
          <cell r="B1787" t="str">
            <v>DIP</v>
          </cell>
          <cell r="C1787">
            <v>1</v>
          </cell>
          <cell r="D1787" t="e">
            <v>#N/A</v>
          </cell>
          <cell r="E1787">
            <v>2210</v>
          </cell>
          <cell r="F1787" t="str">
            <v>VC01</v>
          </cell>
          <cell r="G1787" t="str">
            <v>Auto</v>
          </cell>
          <cell r="H1787">
            <v>311</v>
          </cell>
          <cell r="I1787">
            <v>2210</v>
          </cell>
          <cell r="J1787">
            <v>2310</v>
          </cell>
          <cell r="K1787" t="str">
            <v>VC01</v>
          </cell>
        </row>
        <row r="1788">
          <cell r="A1788" t="str">
            <v>1RE1TDA0175V4</v>
          </cell>
          <cell r="B1788" t="str">
            <v>SMT</v>
          </cell>
          <cell r="C1788">
            <v>1</v>
          </cell>
          <cell r="D1788">
            <v>280</v>
          </cell>
        </row>
        <row r="1789">
          <cell r="A1789" t="str">
            <v>1RE2TDA0175V4</v>
          </cell>
          <cell r="B1789" t="str">
            <v>SMT</v>
          </cell>
          <cell r="C1789">
            <v>1</v>
          </cell>
          <cell r="D1789">
            <v>509</v>
          </cell>
        </row>
        <row r="1790">
          <cell r="A1790" t="str">
            <v>1RH1TDA0175V4</v>
          </cell>
          <cell r="B1790" t="str">
            <v>SMT</v>
          </cell>
          <cell r="C1790">
            <v>1</v>
          </cell>
          <cell r="D1790">
            <v>117</v>
          </cell>
          <cell r="E1790">
            <v>2210</v>
          </cell>
          <cell r="F1790" t="str">
            <v>VC01</v>
          </cell>
          <cell r="G1790" t="str">
            <v>Auto</v>
          </cell>
          <cell r="H1790">
            <v>311</v>
          </cell>
          <cell r="I1790">
            <v>2210</v>
          </cell>
          <cell r="J1790">
            <v>2310</v>
          </cell>
          <cell r="K1790" t="str">
            <v>VC01</v>
          </cell>
        </row>
        <row r="1791">
          <cell r="A1791" t="str">
            <v>1AP1TDA0175V4</v>
          </cell>
          <cell r="B1791" t="str">
            <v>DIP</v>
          </cell>
          <cell r="C1791">
            <v>1</v>
          </cell>
          <cell r="D1791" t="e">
            <v>#N/A</v>
          </cell>
          <cell r="E1791">
            <v>2210</v>
          </cell>
          <cell r="F1791" t="str">
            <v>VC01</v>
          </cell>
          <cell r="G1791" t="str">
            <v>Auto</v>
          </cell>
          <cell r="H1791">
            <v>311</v>
          </cell>
          <cell r="I1791">
            <v>2210</v>
          </cell>
          <cell r="J1791">
            <v>2310</v>
          </cell>
          <cell r="K1791" t="str">
            <v>VC01</v>
          </cell>
        </row>
        <row r="1792">
          <cell r="A1792" t="str">
            <v>1RE1TDA0180CV4</v>
          </cell>
          <cell r="B1792" t="str">
            <v>SMT</v>
          </cell>
          <cell r="C1792">
            <v>1</v>
          </cell>
          <cell r="D1792">
            <v>438</v>
          </cell>
        </row>
        <row r="1793">
          <cell r="A1793" t="str">
            <v>1RH1TDA0180CV4</v>
          </cell>
          <cell r="B1793" t="str">
            <v>SMT</v>
          </cell>
          <cell r="C1793">
            <v>1</v>
          </cell>
          <cell r="D1793">
            <v>49</v>
          </cell>
        </row>
        <row r="1794">
          <cell r="A1794" t="str">
            <v>1CM1TDA0180CV4</v>
          </cell>
          <cell r="B1794" t="str">
            <v>SMT</v>
          </cell>
          <cell r="C1794">
            <v>1</v>
          </cell>
          <cell r="D1794">
            <v>276</v>
          </cell>
          <cell r="E1794">
            <v>2210</v>
          </cell>
          <cell r="F1794" t="str">
            <v>VC01</v>
          </cell>
          <cell r="G1794" t="str">
            <v>Auto</v>
          </cell>
          <cell r="H1794">
            <v>311</v>
          </cell>
          <cell r="I1794">
            <v>2210</v>
          </cell>
          <cell r="J1794">
            <v>2310</v>
          </cell>
          <cell r="K1794" t="str">
            <v>VC01</v>
          </cell>
        </row>
        <row r="1795">
          <cell r="A1795" t="str">
            <v>1AP1TDA0180CV4</v>
          </cell>
          <cell r="B1795" t="str">
            <v>DIP</v>
          </cell>
          <cell r="C1795">
            <v>1</v>
          </cell>
          <cell r="D1795" t="e">
            <v>#N/A</v>
          </cell>
          <cell r="E1795">
            <v>2210</v>
          </cell>
          <cell r="F1795" t="str">
            <v>VC01</v>
          </cell>
          <cell r="G1795" t="str">
            <v>Auto</v>
          </cell>
          <cell r="H1795">
            <v>311</v>
          </cell>
          <cell r="I1795">
            <v>2210</v>
          </cell>
          <cell r="J1795">
            <v>2310</v>
          </cell>
          <cell r="K1795" t="str">
            <v>VC01</v>
          </cell>
        </row>
        <row r="1796">
          <cell r="A1796" t="str">
            <v>1VI1TDA0290CN</v>
          </cell>
          <cell r="B1796" t="str">
            <v>SMT</v>
          </cell>
          <cell r="C1796">
            <v>1</v>
          </cell>
          <cell r="D1796" t="e">
            <v>#N/A</v>
          </cell>
        </row>
        <row r="1797">
          <cell r="A1797" t="str">
            <v>1RE1TDA0290CN</v>
          </cell>
          <cell r="B1797" t="str">
            <v>SMT</v>
          </cell>
          <cell r="C1797">
            <v>1</v>
          </cell>
          <cell r="D1797">
            <v>483</v>
          </cell>
        </row>
        <row r="1798">
          <cell r="A1798" t="str">
            <v>1RH1TDA0290CN</v>
          </cell>
          <cell r="B1798" t="str">
            <v>SMT</v>
          </cell>
          <cell r="C1798">
            <v>1</v>
          </cell>
          <cell r="D1798">
            <v>6</v>
          </cell>
          <cell r="E1798">
            <v>2210</v>
          </cell>
          <cell r="F1798" t="str">
            <v>VC01</v>
          </cell>
          <cell r="G1798" t="str">
            <v>Auto</v>
          </cell>
          <cell r="H1798">
            <v>311</v>
          </cell>
          <cell r="I1798">
            <v>2210</v>
          </cell>
          <cell r="J1798">
            <v>2310</v>
          </cell>
          <cell r="K1798" t="str">
            <v>VC01</v>
          </cell>
        </row>
        <row r="1799">
          <cell r="A1799" t="str">
            <v>1AP1TDA0290CN</v>
          </cell>
          <cell r="B1799" t="str">
            <v>DIP</v>
          </cell>
          <cell r="C1799">
            <v>1</v>
          </cell>
          <cell r="D1799" t="e">
            <v>#N/A</v>
          </cell>
          <cell r="E1799">
            <v>2210</v>
          </cell>
          <cell r="F1799" t="str">
            <v>VC01</v>
          </cell>
          <cell r="G1799" t="str">
            <v>Auto</v>
          </cell>
          <cell r="H1799">
            <v>311</v>
          </cell>
          <cell r="I1799">
            <v>2210</v>
          </cell>
          <cell r="J1799">
            <v>2310</v>
          </cell>
          <cell r="K1799" t="str">
            <v>VC01</v>
          </cell>
        </row>
        <row r="1800">
          <cell r="A1800" t="str">
            <v>1RE1TDA1180XSX</v>
          </cell>
          <cell r="B1800" t="str">
            <v>SMT</v>
          </cell>
          <cell r="C1800">
            <v>1</v>
          </cell>
          <cell r="D1800">
            <v>290</v>
          </cell>
        </row>
        <row r="1801">
          <cell r="A1801" t="str">
            <v>1RE2TDA1180XSX</v>
          </cell>
          <cell r="B1801" t="str">
            <v>SMT</v>
          </cell>
          <cell r="C1801">
            <v>1</v>
          </cell>
          <cell r="D1801">
            <v>530</v>
          </cell>
        </row>
        <row r="1802">
          <cell r="A1802" t="str">
            <v>1RH1TDA1180XSX</v>
          </cell>
          <cell r="B1802" t="str">
            <v>SMT</v>
          </cell>
          <cell r="C1802">
            <v>1</v>
          </cell>
          <cell r="D1802">
            <v>26</v>
          </cell>
          <cell r="E1802">
            <v>2210</v>
          </cell>
          <cell r="F1802" t="str">
            <v>VC01</v>
          </cell>
          <cell r="G1802" t="str">
            <v>Auto</v>
          </cell>
          <cell r="H1802">
            <v>311</v>
          </cell>
          <cell r="I1802">
            <v>2210</v>
          </cell>
          <cell r="J1802">
            <v>2310</v>
          </cell>
          <cell r="K1802" t="str">
            <v>VC01</v>
          </cell>
        </row>
        <row r="1803">
          <cell r="A1803" t="str">
            <v>1AP1TDA1180XSX</v>
          </cell>
          <cell r="B1803" t="str">
            <v>DIP</v>
          </cell>
          <cell r="C1803">
            <v>1</v>
          </cell>
          <cell r="D1803" t="e">
            <v>#N/A</v>
          </cell>
          <cell r="E1803">
            <v>2210</v>
          </cell>
          <cell r="F1803" t="str">
            <v>VC01</v>
          </cell>
          <cell r="G1803" t="str">
            <v>Auto</v>
          </cell>
          <cell r="H1803">
            <v>311</v>
          </cell>
          <cell r="I1803">
            <v>2210</v>
          </cell>
          <cell r="J1803">
            <v>2310</v>
          </cell>
          <cell r="K1803" t="str">
            <v>VC01</v>
          </cell>
        </row>
        <row r="1804">
          <cell r="A1804" t="str">
            <v>1CM1TDA3174XJV4</v>
          </cell>
          <cell r="B1804" t="str">
            <v>SMT</v>
          </cell>
          <cell r="C1804">
            <v>1</v>
          </cell>
          <cell r="D1804">
            <v>440</v>
          </cell>
        </row>
        <row r="1805">
          <cell r="A1805" t="str">
            <v>1RE2TDA3174XJV4</v>
          </cell>
          <cell r="B1805" t="str">
            <v>SMT</v>
          </cell>
          <cell r="C1805">
            <v>1</v>
          </cell>
          <cell r="D1805">
            <v>315</v>
          </cell>
        </row>
        <row r="1806">
          <cell r="A1806" t="str">
            <v>1RH1TDA3174XJV4</v>
          </cell>
          <cell r="B1806" t="str">
            <v>SMT</v>
          </cell>
          <cell r="C1806">
            <v>1</v>
          </cell>
          <cell r="D1806">
            <v>80</v>
          </cell>
          <cell r="E1806">
            <v>2210</v>
          </cell>
          <cell r="F1806" t="str">
            <v>VC01</v>
          </cell>
          <cell r="G1806" t="str">
            <v>Auto</v>
          </cell>
          <cell r="H1806">
            <v>311</v>
          </cell>
          <cell r="I1806">
            <v>2210</v>
          </cell>
          <cell r="J1806">
            <v>2310</v>
          </cell>
          <cell r="K1806" t="str">
            <v>VC01</v>
          </cell>
        </row>
        <row r="1807">
          <cell r="A1807" t="str">
            <v>1AP1TDA3174XJV4</v>
          </cell>
          <cell r="B1807" t="str">
            <v>DIP</v>
          </cell>
          <cell r="C1807">
            <v>1</v>
          </cell>
          <cell r="D1807" t="e">
            <v>#N/A</v>
          </cell>
          <cell r="E1807">
            <v>2210</v>
          </cell>
          <cell r="F1807" t="str">
            <v>VC01</v>
          </cell>
          <cell r="G1807" t="str">
            <v>Auto</v>
          </cell>
          <cell r="H1807">
            <v>311</v>
          </cell>
          <cell r="I1807">
            <v>2210</v>
          </cell>
          <cell r="J1807">
            <v>2310</v>
          </cell>
          <cell r="K1807" t="str">
            <v>VC01</v>
          </cell>
        </row>
        <row r="1808">
          <cell r="A1808" t="str">
            <v>1CM1TDA5176V4</v>
          </cell>
          <cell r="B1808" t="str">
            <v>SMT</v>
          </cell>
          <cell r="C1808">
            <v>1</v>
          </cell>
          <cell r="D1808">
            <v>436</v>
          </cell>
        </row>
        <row r="1809">
          <cell r="A1809" t="str">
            <v>1RE2TDA5176V4</v>
          </cell>
          <cell r="B1809" t="str">
            <v>SMT</v>
          </cell>
          <cell r="C1809">
            <v>1</v>
          </cell>
          <cell r="D1809">
            <v>411</v>
          </cell>
        </row>
        <row r="1810">
          <cell r="A1810" t="str">
            <v>1RH1TDA5176V4</v>
          </cell>
          <cell r="B1810" t="str">
            <v>SMT</v>
          </cell>
          <cell r="C1810">
            <v>1</v>
          </cell>
          <cell r="D1810">
            <v>50</v>
          </cell>
          <cell r="E1810">
            <v>2210</v>
          </cell>
          <cell r="F1810" t="str">
            <v>VC01</v>
          </cell>
          <cell r="G1810" t="str">
            <v>Auto</v>
          </cell>
          <cell r="H1810">
            <v>311</v>
          </cell>
          <cell r="I1810">
            <v>2210</v>
          </cell>
          <cell r="J1810">
            <v>2310</v>
          </cell>
          <cell r="K1810" t="str">
            <v>VC01</v>
          </cell>
        </row>
        <row r="1811">
          <cell r="A1811" t="str">
            <v>1AP1TDA5176V4</v>
          </cell>
          <cell r="B1811" t="str">
            <v>DIP</v>
          </cell>
          <cell r="C1811">
            <v>1</v>
          </cell>
          <cell r="D1811" t="e">
            <v>#N/A</v>
          </cell>
          <cell r="E1811">
            <v>2210</v>
          </cell>
          <cell r="F1811" t="str">
            <v>VC01</v>
          </cell>
          <cell r="G1811" t="str">
            <v>Auto</v>
          </cell>
          <cell r="H1811">
            <v>311</v>
          </cell>
          <cell r="I1811">
            <v>2210</v>
          </cell>
          <cell r="J1811">
            <v>2310</v>
          </cell>
          <cell r="K1811" t="str">
            <v>VC01</v>
          </cell>
        </row>
        <row r="1812">
          <cell r="A1812" t="str">
            <v>1RE1TDA6110CNV4</v>
          </cell>
          <cell r="B1812" t="str">
            <v>SMT</v>
          </cell>
          <cell r="C1812">
            <v>1</v>
          </cell>
          <cell r="D1812">
            <v>400</v>
          </cell>
          <cell r="E1812">
            <v>2210</v>
          </cell>
          <cell r="F1812" t="str">
            <v>VC01</v>
          </cell>
          <cell r="G1812" t="str">
            <v>Auto</v>
          </cell>
          <cell r="H1812">
            <v>311</v>
          </cell>
          <cell r="I1812">
            <v>2210</v>
          </cell>
          <cell r="J1812">
            <v>2310</v>
          </cell>
          <cell r="K1812" t="str">
            <v>VC01</v>
          </cell>
        </row>
        <row r="1813">
          <cell r="A1813" t="str">
            <v>1AP1TDA6110CNV4</v>
          </cell>
          <cell r="B1813" t="str">
            <v>DIP</v>
          </cell>
          <cell r="C1813">
            <v>1</v>
          </cell>
          <cell r="D1813" t="e">
            <v>#N/A</v>
          </cell>
          <cell r="E1813">
            <v>2210</v>
          </cell>
          <cell r="F1813" t="str">
            <v>VC01</v>
          </cell>
          <cell r="G1813" t="str">
            <v>Auto</v>
          </cell>
          <cell r="H1813">
            <v>311</v>
          </cell>
          <cell r="I1813">
            <v>2210</v>
          </cell>
          <cell r="J1813">
            <v>2310</v>
          </cell>
          <cell r="K1813" t="str">
            <v>VC01</v>
          </cell>
        </row>
        <row r="1814">
          <cell r="A1814" t="str">
            <v>1RE1TDA0166XJV4</v>
          </cell>
          <cell r="B1814" t="str">
            <v>SMT</v>
          </cell>
          <cell r="C1814">
            <v>1</v>
          </cell>
          <cell r="D1814">
            <v>87</v>
          </cell>
          <cell r="E1814">
            <v>2210</v>
          </cell>
          <cell r="F1814" t="str">
            <v>VC01</v>
          </cell>
          <cell r="G1814" t="str">
            <v>Auto</v>
          </cell>
          <cell r="H1814">
            <v>311</v>
          </cell>
          <cell r="I1814">
            <v>2210</v>
          </cell>
          <cell r="J1814">
            <v>2310</v>
          </cell>
          <cell r="K1814" t="str">
            <v>VC01</v>
          </cell>
        </row>
        <row r="1815">
          <cell r="A1815" t="str">
            <v>1RE1NS0110CN</v>
          </cell>
          <cell r="B1815" t="str">
            <v>SMT</v>
          </cell>
          <cell r="C1815">
            <v>1</v>
          </cell>
          <cell r="D1815">
            <v>114</v>
          </cell>
        </row>
        <row r="1816">
          <cell r="A1816" t="str">
            <v>1RE2NS0110CN</v>
          </cell>
          <cell r="B1816" t="str">
            <v>SMT</v>
          </cell>
          <cell r="C1816">
            <v>1</v>
          </cell>
          <cell r="D1816">
            <v>195</v>
          </cell>
          <cell r="E1816">
            <v>2210</v>
          </cell>
          <cell r="F1816" t="str">
            <v>VC01</v>
          </cell>
          <cell r="G1816" t="str">
            <v>Auto</v>
          </cell>
          <cell r="H1816">
            <v>311</v>
          </cell>
          <cell r="I1816">
            <v>2210</v>
          </cell>
          <cell r="J1816">
            <v>2310</v>
          </cell>
          <cell r="K1816" t="str">
            <v>VC01</v>
          </cell>
        </row>
        <row r="1817">
          <cell r="A1817" t="str">
            <v>1VJ1TDA3194XJ</v>
          </cell>
          <cell r="B1817" t="str">
            <v>SMT</v>
          </cell>
          <cell r="C1817">
            <v>1</v>
          </cell>
          <cell r="D1817" t="e">
            <v>#N/A</v>
          </cell>
        </row>
        <row r="1818">
          <cell r="A1818" t="str">
            <v>1RE1TDA3194XJ</v>
          </cell>
          <cell r="B1818" t="str">
            <v>SMT</v>
          </cell>
          <cell r="C1818">
            <v>1</v>
          </cell>
          <cell r="D1818">
            <v>88</v>
          </cell>
        </row>
        <row r="1819">
          <cell r="A1819" t="str">
            <v>1RE2TDA3194XJ</v>
          </cell>
          <cell r="B1819" t="str">
            <v>SMT</v>
          </cell>
          <cell r="C1819">
            <v>1</v>
          </cell>
          <cell r="D1819">
            <v>130</v>
          </cell>
          <cell r="E1819">
            <v>2210</v>
          </cell>
          <cell r="F1819" t="str">
            <v>VC01</v>
          </cell>
          <cell r="G1819" t="str">
            <v>Auto</v>
          </cell>
          <cell r="H1819">
            <v>311</v>
          </cell>
          <cell r="I1819">
            <v>2210</v>
          </cell>
          <cell r="J1819">
            <v>2310</v>
          </cell>
          <cell r="K1819" t="str">
            <v>VC01</v>
          </cell>
        </row>
        <row r="1820">
          <cell r="A1820" t="str">
            <v>1RE1TDA6111CNV4</v>
          </cell>
          <cell r="B1820" t="str">
            <v>SMT</v>
          </cell>
          <cell r="C1820">
            <v>1</v>
          </cell>
          <cell r="D1820">
            <v>32</v>
          </cell>
        </row>
        <row r="1821">
          <cell r="A1821" t="str">
            <v>1RE2TDA6111CNV4</v>
          </cell>
          <cell r="B1821" t="str">
            <v>SMT</v>
          </cell>
          <cell r="C1821">
            <v>1</v>
          </cell>
          <cell r="D1821">
            <v>65</v>
          </cell>
          <cell r="E1821">
            <v>2210</v>
          </cell>
          <cell r="F1821" t="str">
            <v>VC01</v>
          </cell>
          <cell r="G1821" t="str">
            <v>Auto</v>
          </cell>
          <cell r="H1821">
            <v>311</v>
          </cell>
          <cell r="I1821">
            <v>2210</v>
          </cell>
          <cell r="J1821">
            <v>2310</v>
          </cell>
          <cell r="K1821" t="str">
            <v>VC01</v>
          </cell>
        </row>
        <row r="1822">
          <cell r="A1822" t="str">
            <v>2RE1PSLP1569ZA</v>
          </cell>
          <cell r="B1822" t="str">
            <v>SMT</v>
          </cell>
          <cell r="C1822">
            <v>1</v>
          </cell>
          <cell r="D1822">
            <v>67</v>
          </cell>
          <cell r="E1822">
            <v>2210</v>
          </cell>
          <cell r="F1822" t="str">
            <v>VC01</v>
          </cell>
          <cell r="G1822" t="str">
            <v>Auto</v>
          </cell>
          <cell r="H1822">
            <v>311</v>
          </cell>
          <cell r="I1822">
            <v>2210</v>
          </cell>
          <cell r="J1822">
            <v>2310</v>
          </cell>
          <cell r="K1822" t="str">
            <v>VC01</v>
          </cell>
        </row>
        <row r="1823">
          <cell r="A1823" t="str">
            <v>2AP1PSLP1569ZA</v>
          </cell>
          <cell r="B1823" t="str">
            <v>DIP</v>
          </cell>
          <cell r="C1823">
            <v>1</v>
          </cell>
          <cell r="D1823" t="e">
            <v>#N/A</v>
          </cell>
          <cell r="E1823">
            <v>2210</v>
          </cell>
          <cell r="F1823" t="str">
            <v>VC01</v>
          </cell>
          <cell r="G1823" t="str">
            <v>Auto</v>
          </cell>
          <cell r="H1823">
            <v>311</v>
          </cell>
          <cell r="I1823">
            <v>2210</v>
          </cell>
          <cell r="J1823">
            <v>2310</v>
          </cell>
          <cell r="K1823" t="str">
            <v>VC01</v>
          </cell>
        </row>
        <row r="1824">
          <cell r="A1824" t="str">
            <v>1AE1ARBPC1A01971</v>
          </cell>
          <cell r="B1824" t="str">
            <v>SMT</v>
          </cell>
          <cell r="C1824">
            <v>1</v>
          </cell>
          <cell r="D1824">
            <v>55</v>
          </cell>
        </row>
        <row r="1825">
          <cell r="A1825" t="str">
            <v>1RH1ARBPC1A01971</v>
          </cell>
          <cell r="B1825" t="str">
            <v>SMT</v>
          </cell>
          <cell r="C1825">
            <v>1</v>
          </cell>
          <cell r="D1825">
            <v>10</v>
          </cell>
        </row>
        <row r="1826">
          <cell r="A1826" t="str">
            <v>1CM1ARBPC1A01971</v>
          </cell>
          <cell r="B1826" t="str">
            <v>SMT</v>
          </cell>
          <cell r="C1826">
            <v>1</v>
          </cell>
          <cell r="D1826">
            <v>278</v>
          </cell>
        </row>
        <row r="1827">
          <cell r="A1827" t="str">
            <v>1AP1ARBPC1A01973</v>
          </cell>
          <cell r="B1827" t="str">
            <v>DIP</v>
          </cell>
          <cell r="C1827">
            <v>1</v>
          </cell>
          <cell r="D1827" t="e">
            <v>#N/A</v>
          </cell>
          <cell r="E1827">
            <v>2210</v>
          </cell>
        </row>
        <row r="1828">
          <cell r="A1828" t="str">
            <v>1RE1LPS8127DZA</v>
          </cell>
          <cell r="B1828" t="str">
            <v>SMT</v>
          </cell>
          <cell r="C1828">
            <v>1</v>
          </cell>
          <cell r="D1828">
            <v>133</v>
          </cell>
        </row>
        <row r="1829">
          <cell r="A1829" t="str">
            <v>1RE2LPS8127DZA</v>
          </cell>
          <cell r="B1829" t="str">
            <v>SMT</v>
          </cell>
          <cell r="C1829">
            <v>1</v>
          </cell>
          <cell r="D1829">
            <v>456</v>
          </cell>
          <cell r="E1829">
            <v>2210</v>
          </cell>
          <cell r="F1829" t="str">
            <v>VC01</v>
          </cell>
          <cell r="G1829" t="str">
            <v>Auto</v>
          </cell>
          <cell r="H1829">
            <v>311</v>
          </cell>
          <cell r="I1829">
            <v>2210</v>
          </cell>
          <cell r="J1829">
            <v>2250</v>
          </cell>
          <cell r="K1829" t="str">
            <v>VC01</v>
          </cell>
        </row>
        <row r="1830">
          <cell r="A1830" t="str">
            <v>1AP1LPS8127DZA</v>
          </cell>
          <cell r="B1830" t="str">
            <v>DIP</v>
          </cell>
          <cell r="C1830">
            <v>1</v>
          </cell>
          <cell r="D1830" t="e">
            <v>#N/A</v>
          </cell>
          <cell r="E1830">
            <v>2210</v>
          </cell>
          <cell r="F1830" t="str">
            <v>VC01</v>
          </cell>
          <cell r="G1830" t="str">
            <v>Auto</v>
          </cell>
          <cell r="H1830">
            <v>311</v>
          </cell>
          <cell r="I1830">
            <v>2210</v>
          </cell>
          <cell r="J1830">
            <v>2250</v>
          </cell>
          <cell r="K1830" t="str">
            <v>VC01</v>
          </cell>
        </row>
        <row r="1831">
          <cell r="A1831" t="str">
            <v>1VI1LPS8147MZA</v>
          </cell>
          <cell r="B1831" t="str">
            <v>SMT</v>
          </cell>
          <cell r="C1831">
            <v>1</v>
          </cell>
          <cell r="D1831" t="e">
            <v>#N/A</v>
          </cell>
        </row>
        <row r="1832">
          <cell r="A1832" t="str">
            <v>1RE1LPS8127MZA</v>
          </cell>
          <cell r="B1832" t="str">
            <v>SMT</v>
          </cell>
          <cell r="C1832">
            <v>1</v>
          </cell>
          <cell r="D1832">
            <v>950</v>
          </cell>
        </row>
        <row r="1833">
          <cell r="A1833" t="str">
            <v>1RE2LPS8127MZA</v>
          </cell>
          <cell r="B1833" t="str">
            <v>SMT</v>
          </cell>
          <cell r="C1833">
            <v>1</v>
          </cell>
          <cell r="D1833">
            <v>1023</v>
          </cell>
          <cell r="E1833">
            <v>2210</v>
          </cell>
          <cell r="F1833" t="str">
            <v>VC01</v>
          </cell>
          <cell r="G1833" t="str">
            <v>Auto</v>
          </cell>
          <cell r="H1833">
            <v>311</v>
          </cell>
          <cell r="I1833">
            <v>2210</v>
          </cell>
          <cell r="J1833">
            <v>2250</v>
          </cell>
          <cell r="K1833" t="str">
            <v>VC01</v>
          </cell>
        </row>
        <row r="1834">
          <cell r="A1834" t="str">
            <v>1AP1LPS8127MZA</v>
          </cell>
          <cell r="B1834" t="str">
            <v>DIP</v>
          </cell>
          <cell r="C1834">
            <v>1</v>
          </cell>
          <cell r="D1834" t="e">
            <v>#N/A</v>
          </cell>
          <cell r="E1834">
            <v>2210</v>
          </cell>
          <cell r="F1834" t="str">
            <v>VC01</v>
          </cell>
          <cell r="G1834" t="str">
            <v>Auto</v>
          </cell>
          <cell r="H1834">
            <v>311</v>
          </cell>
          <cell r="I1834">
            <v>2210</v>
          </cell>
          <cell r="J1834">
            <v>2250</v>
          </cell>
          <cell r="K1834" t="str">
            <v>VC01</v>
          </cell>
        </row>
        <row r="1835">
          <cell r="A1835" t="str">
            <v>1RE1LPS8147DZA</v>
          </cell>
          <cell r="B1835" t="str">
            <v>SMT</v>
          </cell>
          <cell r="C1835">
            <v>1</v>
          </cell>
          <cell r="D1835">
            <v>166</v>
          </cell>
        </row>
        <row r="1836">
          <cell r="A1836" t="str">
            <v>1RE2LPS8147DZA</v>
          </cell>
          <cell r="B1836" t="str">
            <v>SMT</v>
          </cell>
          <cell r="C1836">
            <v>1</v>
          </cell>
          <cell r="D1836">
            <v>484</v>
          </cell>
          <cell r="E1836">
            <v>2210</v>
          </cell>
          <cell r="F1836" t="str">
            <v>VC01</v>
          </cell>
          <cell r="G1836" t="str">
            <v>Auto</v>
          </cell>
          <cell r="H1836">
            <v>311</v>
          </cell>
          <cell r="I1836">
            <v>2210</v>
          </cell>
          <cell r="J1836">
            <v>2250</v>
          </cell>
          <cell r="K1836" t="str">
            <v>VC01</v>
          </cell>
        </row>
        <row r="1837">
          <cell r="A1837" t="str">
            <v>1AP1LPS8147DZA</v>
          </cell>
          <cell r="B1837" t="str">
            <v>DIP</v>
          </cell>
          <cell r="C1837">
            <v>1</v>
          </cell>
          <cell r="D1837" t="e">
            <v>#N/A</v>
          </cell>
          <cell r="E1837">
            <v>2210</v>
          </cell>
          <cell r="F1837" t="str">
            <v>VC01</v>
          </cell>
          <cell r="G1837" t="str">
            <v>Auto</v>
          </cell>
          <cell r="H1837">
            <v>311</v>
          </cell>
          <cell r="I1837">
            <v>2210</v>
          </cell>
          <cell r="J1837">
            <v>2250</v>
          </cell>
          <cell r="K1837" t="str">
            <v>VC01</v>
          </cell>
        </row>
        <row r="1838">
          <cell r="A1838" t="str">
            <v>1VI1LPS8147LZA</v>
          </cell>
          <cell r="B1838" t="str">
            <v>SMT</v>
          </cell>
          <cell r="C1838">
            <v>1</v>
          </cell>
          <cell r="D1838" t="e">
            <v>#N/A</v>
          </cell>
        </row>
        <row r="1839">
          <cell r="A1839" t="str">
            <v>1RE1LPS8147LZA</v>
          </cell>
          <cell r="B1839" t="str">
            <v>SMT</v>
          </cell>
          <cell r="C1839">
            <v>1</v>
          </cell>
          <cell r="D1839">
            <v>50</v>
          </cell>
        </row>
        <row r="1840">
          <cell r="A1840" t="str">
            <v>1RE2LPS8147LZA</v>
          </cell>
          <cell r="B1840" t="str">
            <v>SMT</v>
          </cell>
          <cell r="C1840">
            <v>1</v>
          </cell>
          <cell r="D1840">
            <v>79</v>
          </cell>
          <cell r="E1840">
            <v>2210</v>
          </cell>
          <cell r="F1840" t="str">
            <v>VC01</v>
          </cell>
          <cell r="G1840" t="str">
            <v>Auto</v>
          </cell>
          <cell r="H1840">
            <v>311</v>
          </cell>
          <cell r="I1840">
            <v>2210</v>
          </cell>
          <cell r="J1840">
            <v>2250</v>
          </cell>
          <cell r="K1840" t="str">
            <v>VC01</v>
          </cell>
        </row>
        <row r="1841">
          <cell r="A1841" t="str">
            <v>1AP1LPS8147LZA</v>
          </cell>
          <cell r="B1841" t="str">
            <v>DIP</v>
          </cell>
          <cell r="C1841">
            <v>1</v>
          </cell>
          <cell r="D1841" t="e">
            <v>#N/A</v>
          </cell>
          <cell r="E1841">
            <v>2210</v>
          </cell>
          <cell r="F1841" t="str">
            <v>VC01</v>
          </cell>
          <cell r="G1841" t="str">
            <v>Auto</v>
          </cell>
          <cell r="H1841">
            <v>311</v>
          </cell>
          <cell r="I1841">
            <v>2210</v>
          </cell>
          <cell r="J1841">
            <v>2250</v>
          </cell>
          <cell r="K1841" t="str">
            <v>VC01</v>
          </cell>
        </row>
        <row r="1842">
          <cell r="A1842" t="str">
            <v>1RE1LPS8147MZA</v>
          </cell>
          <cell r="B1842" t="str">
            <v>SMT</v>
          </cell>
          <cell r="C1842">
            <v>1</v>
          </cell>
          <cell r="D1842">
            <v>958</v>
          </cell>
        </row>
        <row r="1843">
          <cell r="A1843" t="str">
            <v>1RE2LPS8147MZA</v>
          </cell>
          <cell r="B1843" t="str">
            <v>SMT</v>
          </cell>
          <cell r="C1843">
            <v>1</v>
          </cell>
          <cell r="D1843">
            <v>1043</v>
          </cell>
          <cell r="E1843">
            <v>2210</v>
          </cell>
          <cell r="F1843" t="str">
            <v>VC01</v>
          </cell>
          <cell r="G1843" t="str">
            <v>Auto</v>
          </cell>
          <cell r="H1843">
            <v>311</v>
          </cell>
          <cell r="I1843">
            <v>2210</v>
          </cell>
          <cell r="J1843">
            <v>2250</v>
          </cell>
          <cell r="K1843" t="str">
            <v>VC01</v>
          </cell>
        </row>
        <row r="1844">
          <cell r="A1844" t="str">
            <v>1AP1LPS8147MZA</v>
          </cell>
          <cell r="B1844" t="str">
            <v>DIP</v>
          </cell>
          <cell r="C1844">
            <v>1</v>
          </cell>
          <cell r="D1844" t="e">
            <v>#N/A</v>
          </cell>
          <cell r="E1844">
            <v>2210</v>
          </cell>
          <cell r="F1844" t="str">
            <v>VC01</v>
          </cell>
          <cell r="G1844" t="str">
            <v>Auto</v>
          </cell>
          <cell r="H1844">
            <v>311</v>
          </cell>
          <cell r="I1844">
            <v>2210</v>
          </cell>
          <cell r="J1844">
            <v>2250</v>
          </cell>
          <cell r="K1844" t="str">
            <v>VC01</v>
          </cell>
        </row>
        <row r="1845">
          <cell r="A1845" t="str">
            <v>1RE1LPS8127RZA</v>
          </cell>
          <cell r="B1845" t="str">
            <v>SMT</v>
          </cell>
          <cell r="C1845">
            <v>1</v>
          </cell>
          <cell r="D1845">
            <v>462</v>
          </cell>
        </row>
        <row r="1846">
          <cell r="A1846" t="str">
            <v>1RH1LPS8127RZA</v>
          </cell>
          <cell r="B1846" t="str">
            <v>SMT</v>
          </cell>
          <cell r="C1846">
            <v>1</v>
          </cell>
          <cell r="D1846">
            <v>12</v>
          </cell>
        </row>
        <row r="1847">
          <cell r="A1847" t="str">
            <v>1CM1LPS8127RZA</v>
          </cell>
          <cell r="B1847" t="str">
            <v>SMT</v>
          </cell>
          <cell r="C1847">
            <v>1</v>
          </cell>
          <cell r="D1847">
            <v>115</v>
          </cell>
          <cell r="E1847">
            <v>2210</v>
          </cell>
          <cell r="F1847" t="str">
            <v>VC01</v>
          </cell>
          <cell r="G1847" t="str">
            <v>Auto</v>
          </cell>
          <cell r="H1847">
            <v>311</v>
          </cell>
          <cell r="I1847">
            <v>2210</v>
          </cell>
          <cell r="J1847">
            <v>2250</v>
          </cell>
          <cell r="K1847" t="str">
            <v>VC01</v>
          </cell>
        </row>
        <row r="1848">
          <cell r="A1848" t="str">
            <v>1AP1LPS8127RZA</v>
          </cell>
          <cell r="B1848" t="str">
            <v>DIP</v>
          </cell>
          <cell r="C1848">
            <v>1</v>
          </cell>
          <cell r="D1848" t="e">
            <v>#N/A</v>
          </cell>
          <cell r="E1848">
            <v>2210</v>
          </cell>
          <cell r="F1848" t="str">
            <v>VC01</v>
          </cell>
          <cell r="G1848" t="str">
            <v>Auto</v>
          </cell>
          <cell r="H1848">
            <v>311</v>
          </cell>
          <cell r="I1848">
            <v>2210</v>
          </cell>
          <cell r="J1848">
            <v>2250</v>
          </cell>
          <cell r="K1848" t="str">
            <v>VC01</v>
          </cell>
        </row>
        <row r="1849">
          <cell r="A1849" t="str">
            <v>1CM1LPS8127SZA</v>
          </cell>
          <cell r="B1849" t="str">
            <v>SMT</v>
          </cell>
          <cell r="C1849">
            <v>1</v>
          </cell>
          <cell r="D1849">
            <v>43</v>
          </cell>
          <cell r="E1849">
            <v>2210</v>
          </cell>
          <cell r="F1849" t="str">
            <v>VC01</v>
          </cell>
          <cell r="G1849" t="str">
            <v>Auto</v>
          </cell>
          <cell r="H1849">
            <v>311</v>
          </cell>
          <cell r="I1849">
            <v>2210</v>
          </cell>
          <cell r="J1849">
            <v>2250</v>
          </cell>
          <cell r="K1849" t="str">
            <v>VC01</v>
          </cell>
        </row>
        <row r="1850">
          <cell r="A1850" t="str">
            <v>1AP1LPS8127SZA</v>
          </cell>
          <cell r="B1850" t="str">
            <v>DIP</v>
          </cell>
          <cell r="C1850">
            <v>1</v>
          </cell>
          <cell r="D1850" t="e">
            <v>#N/A</v>
          </cell>
          <cell r="E1850">
            <v>2210</v>
          </cell>
          <cell r="F1850" t="str">
            <v>VC01</v>
          </cell>
          <cell r="G1850" t="str">
            <v>Auto</v>
          </cell>
          <cell r="H1850">
            <v>311</v>
          </cell>
          <cell r="I1850">
            <v>2210</v>
          </cell>
          <cell r="J1850">
            <v>2250</v>
          </cell>
          <cell r="K1850" t="str">
            <v>VC01</v>
          </cell>
        </row>
        <row r="1851">
          <cell r="A1851" t="str">
            <v>1RE1LPS8147RZA</v>
          </cell>
          <cell r="B1851" t="str">
            <v>SMT</v>
          </cell>
          <cell r="C1851">
            <v>1</v>
          </cell>
          <cell r="D1851">
            <v>632</v>
          </cell>
        </row>
        <row r="1852">
          <cell r="A1852" t="str">
            <v>1RH1LPS8147RZA</v>
          </cell>
          <cell r="B1852" t="str">
            <v>SMT</v>
          </cell>
          <cell r="C1852">
            <v>1</v>
          </cell>
          <cell r="D1852">
            <v>12</v>
          </cell>
        </row>
        <row r="1853">
          <cell r="A1853" t="str">
            <v>1CM1LPS8147RZA</v>
          </cell>
          <cell r="B1853" t="str">
            <v>SMT</v>
          </cell>
          <cell r="C1853">
            <v>1</v>
          </cell>
          <cell r="D1853">
            <v>148</v>
          </cell>
          <cell r="E1853">
            <v>2210</v>
          </cell>
          <cell r="F1853" t="str">
            <v>VC01</v>
          </cell>
          <cell r="G1853" t="str">
            <v>Auto</v>
          </cell>
          <cell r="H1853">
            <v>311</v>
          </cell>
          <cell r="I1853">
            <v>2210</v>
          </cell>
          <cell r="J1853">
            <v>2250</v>
          </cell>
          <cell r="K1853" t="str">
            <v>VC01</v>
          </cell>
        </row>
        <row r="1854">
          <cell r="A1854" t="str">
            <v>1AP1LPS8147RZA</v>
          </cell>
          <cell r="B1854" t="str">
            <v>DIP</v>
          </cell>
          <cell r="C1854">
            <v>1</v>
          </cell>
          <cell r="D1854" t="e">
            <v>#N/A</v>
          </cell>
          <cell r="E1854">
            <v>2210</v>
          </cell>
          <cell r="F1854" t="str">
            <v>VC01</v>
          </cell>
          <cell r="G1854" t="str">
            <v>Auto</v>
          </cell>
          <cell r="H1854">
            <v>311</v>
          </cell>
          <cell r="I1854">
            <v>2210</v>
          </cell>
          <cell r="J1854">
            <v>2250</v>
          </cell>
          <cell r="K1854" t="str">
            <v>VC01</v>
          </cell>
        </row>
        <row r="1855">
          <cell r="A1855" t="str">
            <v>1CM1LPS8147SZA</v>
          </cell>
          <cell r="B1855" t="str">
            <v>SMT</v>
          </cell>
          <cell r="C1855">
            <v>1</v>
          </cell>
          <cell r="D1855">
            <v>43</v>
          </cell>
          <cell r="E1855">
            <v>2210</v>
          </cell>
          <cell r="F1855" t="str">
            <v>VC01</v>
          </cell>
          <cell r="G1855" t="str">
            <v>Auto</v>
          </cell>
          <cell r="H1855">
            <v>311</v>
          </cell>
          <cell r="I1855">
            <v>2210</v>
          </cell>
          <cell r="J1855">
            <v>2250</v>
          </cell>
          <cell r="K1855" t="str">
            <v>VC01</v>
          </cell>
        </row>
        <row r="1856">
          <cell r="A1856" t="str">
            <v>1AP1LPS8147SZA</v>
          </cell>
          <cell r="B1856" t="str">
            <v>DIP</v>
          </cell>
          <cell r="C1856">
            <v>1</v>
          </cell>
          <cell r="D1856" t="e">
            <v>#N/A</v>
          </cell>
          <cell r="E1856">
            <v>2210</v>
          </cell>
          <cell r="F1856" t="str">
            <v>VC01</v>
          </cell>
          <cell r="G1856" t="str">
            <v>Auto</v>
          </cell>
          <cell r="H1856">
            <v>311</v>
          </cell>
          <cell r="I1856">
            <v>2210</v>
          </cell>
          <cell r="J1856">
            <v>2250</v>
          </cell>
          <cell r="K1856" t="str">
            <v>VC01</v>
          </cell>
        </row>
        <row r="1857">
          <cell r="A1857" t="str">
            <v>1RE1NS5180XEU</v>
          </cell>
          <cell r="B1857" t="str">
            <v>SMT</v>
          </cell>
          <cell r="C1857">
            <v>1</v>
          </cell>
          <cell r="D1857">
            <v>166</v>
          </cell>
        </row>
        <row r="1858">
          <cell r="A1858" t="str">
            <v>1RE2NS5180XEU</v>
          </cell>
          <cell r="B1858" t="str">
            <v>SMT</v>
          </cell>
          <cell r="C1858">
            <v>1</v>
          </cell>
          <cell r="D1858">
            <v>404</v>
          </cell>
        </row>
        <row r="1859">
          <cell r="A1859" t="str">
            <v>1RH1NS5180XEU</v>
          </cell>
          <cell r="B1859" t="str">
            <v>SMT</v>
          </cell>
          <cell r="C1859">
            <v>1</v>
          </cell>
          <cell r="D1859">
            <v>1</v>
          </cell>
          <cell r="E1859">
            <v>2210</v>
          </cell>
          <cell r="F1859" t="str">
            <v>VC01</v>
          </cell>
          <cell r="G1859" t="str">
            <v>Auto</v>
          </cell>
          <cell r="H1859">
            <v>311</v>
          </cell>
          <cell r="I1859">
            <v>2210</v>
          </cell>
          <cell r="J1859">
            <v>2310</v>
          </cell>
          <cell r="K1859" t="str">
            <v>VC01</v>
          </cell>
        </row>
        <row r="1860">
          <cell r="A1860" t="str">
            <v>1AP1NS5180XEU</v>
          </cell>
          <cell r="B1860" t="str">
            <v>DIP</v>
          </cell>
          <cell r="C1860">
            <v>1</v>
          </cell>
          <cell r="D1860" t="e">
            <v>#N/A</v>
          </cell>
          <cell r="E1860">
            <v>2210</v>
          </cell>
          <cell r="F1860" t="str">
            <v>VC01</v>
          </cell>
          <cell r="G1860" t="str">
            <v>Auto</v>
          </cell>
          <cell r="H1860">
            <v>311</v>
          </cell>
          <cell r="I1860">
            <v>2210</v>
          </cell>
          <cell r="J1860">
            <v>2310</v>
          </cell>
          <cell r="K1860" t="str">
            <v>VC01</v>
          </cell>
        </row>
        <row r="1861">
          <cell r="A1861" t="str">
            <v>1VJ1NS5282XEU</v>
          </cell>
          <cell r="B1861" t="str">
            <v>SMT</v>
          </cell>
          <cell r="C1861">
            <v>1</v>
          </cell>
          <cell r="D1861" t="e">
            <v>#N/A</v>
          </cell>
        </row>
        <row r="1862">
          <cell r="A1862" t="str">
            <v>1RE1NS5282XEU</v>
          </cell>
          <cell r="B1862" t="str">
            <v>SMT</v>
          </cell>
          <cell r="C1862">
            <v>1</v>
          </cell>
          <cell r="D1862">
            <v>88</v>
          </cell>
        </row>
        <row r="1863">
          <cell r="A1863" t="str">
            <v>1RE2NS5282XEU</v>
          </cell>
          <cell r="B1863" t="str">
            <v>SMT</v>
          </cell>
          <cell r="C1863">
            <v>1</v>
          </cell>
          <cell r="D1863">
            <v>136</v>
          </cell>
        </row>
        <row r="1864">
          <cell r="A1864" t="str">
            <v>1RH1NS5282XEU</v>
          </cell>
          <cell r="B1864" t="str">
            <v>SMT</v>
          </cell>
          <cell r="C1864">
            <v>1</v>
          </cell>
          <cell r="D1864">
            <v>13</v>
          </cell>
          <cell r="E1864">
            <v>2210</v>
          </cell>
          <cell r="F1864" t="str">
            <v>VC01</v>
          </cell>
          <cell r="G1864" t="str">
            <v>Auto</v>
          </cell>
          <cell r="H1864">
            <v>311</v>
          </cell>
          <cell r="I1864">
            <v>2210</v>
          </cell>
          <cell r="J1864">
            <v>2310</v>
          </cell>
          <cell r="K1864" t="str">
            <v>VC01</v>
          </cell>
        </row>
        <row r="1865">
          <cell r="A1865" t="str">
            <v>1AP1NS5282XEU</v>
          </cell>
          <cell r="B1865" t="str">
            <v>DIP</v>
          </cell>
          <cell r="C1865">
            <v>1</v>
          </cell>
          <cell r="D1865" t="e">
            <v>#N/A</v>
          </cell>
          <cell r="E1865">
            <v>2210</v>
          </cell>
          <cell r="F1865" t="str">
            <v>VC01</v>
          </cell>
          <cell r="G1865" t="str">
            <v>Auto</v>
          </cell>
          <cell r="H1865">
            <v>311</v>
          </cell>
          <cell r="I1865">
            <v>2210</v>
          </cell>
          <cell r="J1865">
            <v>2310</v>
          </cell>
          <cell r="K1865" t="str">
            <v>VC01</v>
          </cell>
        </row>
        <row r="1866">
          <cell r="A1866" t="str">
            <v>1RE1TDA0161XEU</v>
          </cell>
          <cell r="B1866" t="str">
            <v>SMT</v>
          </cell>
          <cell r="C1866">
            <v>1</v>
          </cell>
          <cell r="D1866">
            <v>196</v>
          </cell>
        </row>
        <row r="1867">
          <cell r="A1867" t="str">
            <v>1RE2TDA0161XEU</v>
          </cell>
          <cell r="B1867" t="str">
            <v>SMT</v>
          </cell>
          <cell r="C1867">
            <v>1</v>
          </cell>
          <cell r="D1867">
            <v>67</v>
          </cell>
          <cell r="E1867">
            <v>2210</v>
          </cell>
          <cell r="F1867" t="str">
            <v>VC01</v>
          </cell>
          <cell r="G1867" t="str">
            <v>Auto</v>
          </cell>
          <cell r="H1867">
            <v>311</v>
          </cell>
          <cell r="I1867">
            <v>2210</v>
          </cell>
          <cell r="J1867">
            <v>2310</v>
          </cell>
          <cell r="K1867" t="str">
            <v>VC01</v>
          </cell>
        </row>
        <row r="1868">
          <cell r="A1868" t="str">
            <v>1AP1TDA0161XEU</v>
          </cell>
          <cell r="B1868" t="str">
            <v>DIP</v>
          </cell>
          <cell r="C1868">
            <v>1</v>
          </cell>
          <cell r="D1868" t="e">
            <v>#N/A</v>
          </cell>
          <cell r="E1868">
            <v>2210</v>
          </cell>
          <cell r="F1868" t="str">
            <v>VC01</v>
          </cell>
          <cell r="G1868" t="str">
            <v>Auto</v>
          </cell>
          <cell r="H1868">
            <v>311</v>
          </cell>
          <cell r="I1868">
            <v>2210</v>
          </cell>
          <cell r="J1868">
            <v>2310</v>
          </cell>
          <cell r="K1868" t="str">
            <v>VC01</v>
          </cell>
        </row>
        <row r="1869">
          <cell r="A1869" t="str">
            <v>1VI1TDA0172XEU</v>
          </cell>
          <cell r="B1869" t="str">
            <v>SMT</v>
          </cell>
          <cell r="C1869">
            <v>1</v>
          </cell>
          <cell r="D1869" t="e">
            <v>#N/A</v>
          </cell>
        </row>
        <row r="1870">
          <cell r="A1870" t="str">
            <v>1RE1TDA0172XEU</v>
          </cell>
          <cell r="B1870" t="str">
            <v>SMT</v>
          </cell>
          <cell r="C1870">
            <v>1</v>
          </cell>
          <cell r="D1870">
            <v>626</v>
          </cell>
        </row>
        <row r="1871">
          <cell r="A1871" t="str">
            <v>1RE2TDA0172XEU</v>
          </cell>
          <cell r="B1871" t="str">
            <v>SMT</v>
          </cell>
          <cell r="C1871">
            <v>1</v>
          </cell>
          <cell r="D1871">
            <v>595</v>
          </cell>
        </row>
        <row r="1872">
          <cell r="A1872" t="str">
            <v>1RH1TDA0172XEU</v>
          </cell>
          <cell r="B1872" t="str">
            <v>SMT</v>
          </cell>
          <cell r="C1872">
            <v>1</v>
          </cell>
          <cell r="D1872">
            <v>41</v>
          </cell>
          <cell r="E1872">
            <v>2210</v>
          </cell>
          <cell r="F1872" t="str">
            <v>VC01</v>
          </cell>
          <cell r="G1872" t="str">
            <v>Auto</v>
          </cell>
          <cell r="H1872">
            <v>311</v>
          </cell>
          <cell r="I1872">
            <v>2210</v>
          </cell>
          <cell r="J1872">
            <v>2310</v>
          </cell>
          <cell r="K1872" t="str">
            <v>VC01</v>
          </cell>
        </row>
        <row r="1873">
          <cell r="A1873" t="str">
            <v>1AP1TDA0172XEU</v>
          </cell>
          <cell r="B1873" t="str">
            <v>DIP</v>
          </cell>
          <cell r="C1873">
            <v>1</v>
          </cell>
          <cell r="D1873" t="e">
            <v>#N/A</v>
          </cell>
          <cell r="E1873">
            <v>2210</v>
          </cell>
          <cell r="F1873" t="str">
            <v>VC01</v>
          </cell>
          <cell r="G1873" t="str">
            <v>Auto</v>
          </cell>
          <cell r="H1873">
            <v>311</v>
          </cell>
          <cell r="I1873">
            <v>2210</v>
          </cell>
          <cell r="J1873">
            <v>2310</v>
          </cell>
          <cell r="K1873" t="str">
            <v>VC01</v>
          </cell>
        </row>
        <row r="1874">
          <cell r="A1874" t="str">
            <v>1VJ1TDA0173XEU</v>
          </cell>
          <cell r="B1874" t="str">
            <v>SMT</v>
          </cell>
          <cell r="C1874">
            <v>1</v>
          </cell>
          <cell r="D1874" t="e">
            <v>#N/A</v>
          </cell>
        </row>
        <row r="1875">
          <cell r="A1875" t="str">
            <v>1RE1TDA0173XEU</v>
          </cell>
          <cell r="B1875" t="str">
            <v>SMT</v>
          </cell>
          <cell r="C1875">
            <v>1</v>
          </cell>
          <cell r="D1875">
            <v>577</v>
          </cell>
        </row>
        <row r="1876">
          <cell r="A1876" t="str">
            <v>1RE2TDA0173XEU</v>
          </cell>
          <cell r="B1876" t="str">
            <v>SMT</v>
          </cell>
          <cell r="C1876">
            <v>1</v>
          </cell>
          <cell r="D1876">
            <v>286</v>
          </cell>
        </row>
        <row r="1877">
          <cell r="A1877" t="str">
            <v>1RH1TDA0173XEU</v>
          </cell>
          <cell r="B1877" t="str">
            <v>SMT</v>
          </cell>
          <cell r="C1877">
            <v>1</v>
          </cell>
          <cell r="D1877">
            <v>76</v>
          </cell>
          <cell r="E1877">
            <v>2210</v>
          </cell>
          <cell r="F1877" t="str">
            <v>VC01</v>
          </cell>
          <cell r="G1877" t="str">
            <v>Auto</v>
          </cell>
          <cell r="H1877">
            <v>311</v>
          </cell>
          <cell r="I1877">
            <v>2210</v>
          </cell>
          <cell r="J1877">
            <v>2310</v>
          </cell>
          <cell r="K1877" t="str">
            <v>VC01</v>
          </cell>
        </row>
        <row r="1878">
          <cell r="A1878" t="str">
            <v>1AP1TDA0173XEU</v>
          </cell>
          <cell r="B1878" t="str">
            <v>DIP</v>
          </cell>
          <cell r="C1878">
            <v>1</v>
          </cell>
          <cell r="D1878" t="e">
            <v>#N/A</v>
          </cell>
          <cell r="E1878">
            <v>2210</v>
          </cell>
          <cell r="F1878" t="str">
            <v>VC01</v>
          </cell>
          <cell r="G1878" t="str">
            <v>Auto</v>
          </cell>
          <cell r="H1878">
            <v>311</v>
          </cell>
          <cell r="I1878">
            <v>2210</v>
          </cell>
          <cell r="J1878">
            <v>2310</v>
          </cell>
          <cell r="K1878" t="str">
            <v>VC01</v>
          </cell>
        </row>
        <row r="1879">
          <cell r="A1879" t="str">
            <v>1RE1TDA0174XEU</v>
          </cell>
          <cell r="B1879" t="str">
            <v>SMT</v>
          </cell>
          <cell r="C1879">
            <v>1</v>
          </cell>
          <cell r="D1879">
            <v>197</v>
          </cell>
        </row>
        <row r="1880">
          <cell r="A1880" t="str">
            <v>1RE2TDA0174XEU</v>
          </cell>
          <cell r="B1880" t="str">
            <v>SMT</v>
          </cell>
          <cell r="C1880">
            <v>1</v>
          </cell>
          <cell r="D1880">
            <v>381</v>
          </cell>
        </row>
        <row r="1881">
          <cell r="A1881" t="str">
            <v>1RH1TDA0174XEU</v>
          </cell>
          <cell r="B1881" t="str">
            <v>SMT</v>
          </cell>
          <cell r="C1881">
            <v>1</v>
          </cell>
          <cell r="D1881">
            <v>101</v>
          </cell>
          <cell r="E1881">
            <v>2210</v>
          </cell>
          <cell r="F1881" t="str">
            <v>VC01</v>
          </cell>
          <cell r="G1881" t="str">
            <v>Auto</v>
          </cell>
          <cell r="H1881">
            <v>311</v>
          </cell>
          <cell r="I1881">
            <v>2210</v>
          </cell>
          <cell r="J1881">
            <v>2310</v>
          </cell>
          <cell r="K1881" t="str">
            <v>VC01</v>
          </cell>
        </row>
        <row r="1882">
          <cell r="A1882" t="str">
            <v>1AP1TDA0174XEU</v>
          </cell>
          <cell r="B1882" t="str">
            <v>DIP</v>
          </cell>
          <cell r="C1882">
            <v>1</v>
          </cell>
          <cell r="D1882" t="e">
            <v>#N/A</v>
          </cell>
          <cell r="E1882">
            <v>2210</v>
          </cell>
          <cell r="F1882" t="str">
            <v>VC01</v>
          </cell>
          <cell r="G1882" t="str">
            <v>Auto</v>
          </cell>
          <cell r="H1882">
            <v>311</v>
          </cell>
          <cell r="I1882">
            <v>2210</v>
          </cell>
          <cell r="J1882">
            <v>2310</v>
          </cell>
          <cell r="K1882" t="str">
            <v>VC01</v>
          </cell>
        </row>
        <row r="1883">
          <cell r="A1883" t="str">
            <v>1RE1TDA0175XEU</v>
          </cell>
          <cell r="B1883" t="str">
            <v>SMT</v>
          </cell>
          <cell r="C1883">
            <v>1</v>
          </cell>
          <cell r="D1883">
            <v>280</v>
          </cell>
        </row>
        <row r="1884">
          <cell r="A1884" t="str">
            <v>1RE2TDA0175XEU</v>
          </cell>
          <cell r="B1884" t="str">
            <v>SMT</v>
          </cell>
          <cell r="C1884">
            <v>1</v>
          </cell>
          <cell r="D1884">
            <v>509</v>
          </cell>
        </row>
        <row r="1885">
          <cell r="A1885" t="str">
            <v>1RH1TDA0175XEU</v>
          </cell>
          <cell r="B1885" t="str">
            <v>SMT</v>
          </cell>
          <cell r="C1885">
            <v>1</v>
          </cell>
          <cell r="D1885">
            <v>117</v>
          </cell>
          <cell r="E1885">
            <v>2210</v>
          </cell>
          <cell r="F1885" t="str">
            <v>VC01</v>
          </cell>
          <cell r="G1885" t="str">
            <v>Auto</v>
          </cell>
          <cell r="H1885">
            <v>311</v>
          </cell>
          <cell r="I1885">
            <v>2210</v>
          </cell>
          <cell r="J1885">
            <v>2310</v>
          </cell>
          <cell r="K1885" t="str">
            <v>VC01</v>
          </cell>
        </row>
        <row r="1886">
          <cell r="A1886" t="str">
            <v>1AP1TDA0175XEU</v>
          </cell>
          <cell r="B1886" t="str">
            <v>DIP</v>
          </cell>
          <cell r="C1886">
            <v>1</v>
          </cell>
          <cell r="D1886" t="e">
            <v>#N/A</v>
          </cell>
          <cell r="E1886">
            <v>2210</v>
          </cell>
          <cell r="F1886" t="str">
            <v>VC01</v>
          </cell>
          <cell r="G1886" t="str">
            <v>Auto</v>
          </cell>
          <cell r="H1886">
            <v>311</v>
          </cell>
          <cell r="I1886">
            <v>2210</v>
          </cell>
          <cell r="J1886">
            <v>2310</v>
          </cell>
          <cell r="K1886" t="str">
            <v>VC01</v>
          </cell>
        </row>
        <row r="1887">
          <cell r="A1887" t="str">
            <v>1RE1LPDTU100C2ZA</v>
          </cell>
          <cell r="B1887" t="str">
            <v>SMT</v>
          </cell>
          <cell r="C1887">
            <v>1</v>
          </cell>
          <cell r="D1887">
            <v>66</v>
          </cell>
          <cell r="E1887">
            <v>2210</v>
          </cell>
          <cell r="F1887" t="str">
            <v>VC01</v>
          </cell>
          <cell r="G1887" t="str">
            <v>Auto</v>
          </cell>
          <cell r="H1887">
            <v>311</v>
          </cell>
          <cell r="I1887">
            <v>2210</v>
          </cell>
          <cell r="J1887">
            <v>2220</v>
          </cell>
          <cell r="K1887" t="str">
            <v>VC01</v>
          </cell>
        </row>
        <row r="1888">
          <cell r="A1888" t="str">
            <v>1VJ1LPDTU100C1ZA</v>
          </cell>
          <cell r="B1888" t="str">
            <v>SMT</v>
          </cell>
          <cell r="C1888">
            <v>1</v>
          </cell>
          <cell r="D1888" t="e">
            <v>#N/A</v>
          </cell>
        </row>
        <row r="1889">
          <cell r="A1889" t="str">
            <v>1RE1LPDTU100C1ZA</v>
          </cell>
          <cell r="B1889" t="str">
            <v>SMT</v>
          </cell>
          <cell r="C1889">
            <v>1</v>
          </cell>
          <cell r="D1889">
            <v>77</v>
          </cell>
        </row>
        <row r="1890">
          <cell r="A1890" t="str">
            <v>1RE2LPDTU100C1ZA</v>
          </cell>
          <cell r="B1890" t="str">
            <v>SMT</v>
          </cell>
          <cell r="C1890">
            <v>1</v>
          </cell>
          <cell r="D1890">
            <v>164</v>
          </cell>
          <cell r="E1890">
            <v>2210</v>
          </cell>
          <cell r="F1890" t="str">
            <v>VC01</v>
          </cell>
          <cell r="G1890" t="str">
            <v>Auto</v>
          </cell>
          <cell r="H1890">
            <v>311</v>
          </cell>
          <cell r="I1890">
            <v>2210</v>
          </cell>
          <cell r="J1890">
            <v>2220</v>
          </cell>
          <cell r="K1890" t="str">
            <v>VC01</v>
          </cell>
        </row>
        <row r="1891">
          <cell r="A1891" t="str">
            <v>1VJ1NCP1190XEU</v>
          </cell>
          <cell r="B1891" t="str">
            <v>SMT</v>
          </cell>
          <cell r="C1891">
            <v>1</v>
          </cell>
          <cell r="D1891" t="e">
            <v>#N/A</v>
          </cell>
        </row>
        <row r="1892">
          <cell r="A1892" t="str">
            <v>1CM1NCP1190XEU</v>
          </cell>
          <cell r="B1892" t="str">
            <v>SMT</v>
          </cell>
          <cell r="C1892">
            <v>1</v>
          </cell>
          <cell r="D1892">
            <v>177</v>
          </cell>
        </row>
        <row r="1893">
          <cell r="A1893" t="str">
            <v>1RE2NCP1190XEU</v>
          </cell>
          <cell r="B1893" t="str">
            <v>SMT</v>
          </cell>
          <cell r="C1893">
            <v>1</v>
          </cell>
          <cell r="D1893">
            <v>207</v>
          </cell>
        </row>
        <row r="1894">
          <cell r="A1894" t="str">
            <v>1RH1NCP1190XEU</v>
          </cell>
          <cell r="B1894" t="str">
            <v>SMT</v>
          </cell>
          <cell r="C1894">
            <v>1</v>
          </cell>
          <cell r="D1894">
            <v>1</v>
          </cell>
          <cell r="E1894">
            <v>2210</v>
          </cell>
          <cell r="F1894" t="str">
            <v>VC01</v>
          </cell>
          <cell r="G1894" t="str">
            <v>Auto</v>
          </cell>
          <cell r="H1894">
            <v>311</v>
          </cell>
          <cell r="I1894">
            <v>2210</v>
          </cell>
          <cell r="J1894">
            <v>2310</v>
          </cell>
          <cell r="K1894" t="str">
            <v>VC01</v>
          </cell>
        </row>
        <row r="1895">
          <cell r="A1895" t="str">
            <v>1AP1NCP1190XEU</v>
          </cell>
          <cell r="B1895" t="str">
            <v>DIP</v>
          </cell>
          <cell r="C1895">
            <v>1</v>
          </cell>
          <cell r="D1895" t="e">
            <v>#N/A</v>
          </cell>
          <cell r="E1895">
            <v>2210</v>
          </cell>
          <cell r="F1895" t="str">
            <v>VC01</v>
          </cell>
          <cell r="G1895" t="str">
            <v>Auto</v>
          </cell>
          <cell r="H1895">
            <v>311</v>
          </cell>
          <cell r="I1895">
            <v>2210</v>
          </cell>
          <cell r="J1895">
            <v>2310</v>
          </cell>
          <cell r="K1895" t="str">
            <v>VC01</v>
          </cell>
        </row>
        <row r="1896">
          <cell r="A1896" t="str">
            <v>1VJ1NS0130XEU</v>
          </cell>
          <cell r="B1896" t="str">
            <v>SMT</v>
          </cell>
          <cell r="C1896">
            <v>1</v>
          </cell>
          <cell r="D1896" t="e">
            <v>#N/A</v>
          </cell>
        </row>
        <row r="1897">
          <cell r="A1897" t="str">
            <v>1RE1NS0130XEU</v>
          </cell>
          <cell r="B1897" t="str">
            <v>SMT</v>
          </cell>
          <cell r="C1897">
            <v>1</v>
          </cell>
          <cell r="D1897">
            <v>51</v>
          </cell>
        </row>
        <row r="1898">
          <cell r="A1898" t="str">
            <v>1RE2NS0130XEU</v>
          </cell>
          <cell r="B1898" t="str">
            <v>SMT</v>
          </cell>
          <cell r="C1898">
            <v>1</v>
          </cell>
          <cell r="D1898">
            <v>511</v>
          </cell>
          <cell r="E1898">
            <v>2210</v>
          </cell>
          <cell r="F1898" t="str">
            <v>VC01</v>
          </cell>
          <cell r="G1898" t="str">
            <v>Auto</v>
          </cell>
          <cell r="H1898">
            <v>311</v>
          </cell>
          <cell r="I1898">
            <v>2210</v>
          </cell>
          <cell r="J1898">
            <v>2310</v>
          </cell>
          <cell r="K1898" t="str">
            <v>VC01</v>
          </cell>
        </row>
        <row r="1899">
          <cell r="A1899" t="str">
            <v>1AP1NS0130XEU</v>
          </cell>
          <cell r="B1899" t="str">
            <v>DIP</v>
          </cell>
          <cell r="C1899">
            <v>1</v>
          </cell>
          <cell r="D1899" t="e">
            <v>#N/A</v>
          </cell>
          <cell r="E1899">
            <v>2210</v>
          </cell>
          <cell r="F1899" t="str">
            <v>VC01</v>
          </cell>
          <cell r="G1899" t="str">
            <v>Auto</v>
          </cell>
          <cell r="H1899">
            <v>311</v>
          </cell>
          <cell r="I1899">
            <v>2210</v>
          </cell>
          <cell r="J1899">
            <v>2310</v>
          </cell>
          <cell r="K1899" t="str">
            <v>VC01</v>
          </cell>
        </row>
        <row r="1900">
          <cell r="A1900" t="str">
            <v>1VI1NS0131XEU</v>
          </cell>
          <cell r="B1900" t="str">
            <v>SMT</v>
          </cell>
          <cell r="C1900">
            <v>1</v>
          </cell>
          <cell r="D1900" t="e">
            <v>#N/A</v>
          </cell>
        </row>
        <row r="1901">
          <cell r="A1901" t="str">
            <v>1VI2NS0131XEU</v>
          </cell>
          <cell r="B1901" t="str">
            <v>SMT</v>
          </cell>
          <cell r="C1901">
            <v>1</v>
          </cell>
          <cell r="D1901" t="e">
            <v>#N/A</v>
          </cell>
        </row>
        <row r="1902">
          <cell r="A1902" t="str">
            <v>1RE1NS0131XEU</v>
          </cell>
          <cell r="B1902" t="str">
            <v>SMT</v>
          </cell>
          <cell r="C1902">
            <v>1</v>
          </cell>
          <cell r="D1902">
            <v>685</v>
          </cell>
          <cell r="E1902">
            <v>2210</v>
          </cell>
          <cell r="F1902" t="str">
            <v>VC01</v>
          </cell>
          <cell r="G1902" t="str">
            <v>Auto</v>
          </cell>
          <cell r="H1902">
            <v>311</v>
          </cell>
          <cell r="I1902">
            <v>2210</v>
          </cell>
          <cell r="J1902">
            <v>2310</v>
          </cell>
          <cell r="K1902" t="str">
            <v>VC01</v>
          </cell>
        </row>
        <row r="1903">
          <cell r="A1903" t="str">
            <v>1AP1NS0131XEU</v>
          </cell>
          <cell r="B1903" t="str">
            <v>DIP</v>
          </cell>
          <cell r="C1903">
            <v>1</v>
          </cell>
          <cell r="D1903" t="e">
            <v>#N/A</v>
          </cell>
          <cell r="E1903">
            <v>2210</v>
          </cell>
          <cell r="F1903" t="str">
            <v>VC01</v>
          </cell>
          <cell r="G1903" t="str">
            <v>Auto</v>
          </cell>
          <cell r="H1903">
            <v>311</v>
          </cell>
          <cell r="I1903">
            <v>2210</v>
          </cell>
          <cell r="J1903">
            <v>2310</v>
          </cell>
          <cell r="K1903" t="str">
            <v>VC01</v>
          </cell>
        </row>
        <row r="1904">
          <cell r="A1904" t="str">
            <v>1VI1NS0132XEU</v>
          </cell>
          <cell r="B1904" t="str">
            <v>SMT</v>
          </cell>
          <cell r="C1904">
            <v>1</v>
          </cell>
          <cell r="D1904" t="e">
            <v>#N/A</v>
          </cell>
        </row>
        <row r="1905">
          <cell r="A1905" t="str">
            <v>1VI2NS0132XEU</v>
          </cell>
          <cell r="B1905" t="str">
            <v>SMT</v>
          </cell>
          <cell r="C1905">
            <v>1</v>
          </cell>
          <cell r="D1905" t="e">
            <v>#N/A</v>
          </cell>
        </row>
        <row r="1906">
          <cell r="A1906" t="str">
            <v>1RE1NS0132XEU</v>
          </cell>
          <cell r="B1906" t="str">
            <v>SMT</v>
          </cell>
          <cell r="C1906">
            <v>1</v>
          </cell>
          <cell r="D1906">
            <v>685</v>
          </cell>
          <cell r="E1906">
            <v>2210</v>
          </cell>
          <cell r="F1906" t="str">
            <v>VC01</v>
          </cell>
          <cell r="G1906" t="str">
            <v>Auto</v>
          </cell>
          <cell r="H1906">
            <v>311</v>
          </cell>
          <cell r="I1906">
            <v>2210</v>
          </cell>
          <cell r="J1906">
            <v>2310</v>
          </cell>
          <cell r="K1906" t="str">
            <v>VC01</v>
          </cell>
        </row>
        <row r="1907">
          <cell r="A1907" t="str">
            <v>1AP1NS0132XEU</v>
          </cell>
          <cell r="B1907" t="str">
            <v>DIP</v>
          </cell>
          <cell r="C1907">
            <v>1</v>
          </cell>
          <cell r="D1907" t="e">
            <v>#N/A</v>
          </cell>
          <cell r="E1907">
            <v>2210</v>
          </cell>
          <cell r="F1907" t="str">
            <v>VC01</v>
          </cell>
          <cell r="G1907" t="str">
            <v>Auto</v>
          </cell>
          <cell r="H1907">
            <v>311</v>
          </cell>
          <cell r="I1907">
            <v>2210</v>
          </cell>
          <cell r="J1907">
            <v>2310</v>
          </cell>
          <cell r="K1907" t="str">
            <v>VC01</v>
          </cell>
        </row>
        <row r="1908">
          <cell r="A1908" t="str">
            <v>1RE1NS0180XEU</v>
          </cell>
          <cell r="B1908" t="str">
            <v>SMT</v>
          </cell>
          <cell r="C1908">
            <v>1</v>
          </cell>
          <cell r="D1908">
            <v>198</v>
          </cell>
        </row>
        <row r="1909">
          <cell r="A1909" t="str">
            <v>1RE2NS0180XEU</v>
          </cell>
          <cell r="B1909" t="str">
            <v>SMT</v>
          </cell>
          <cell r="C1909">
            <v>1</v>
          </cell>
          <cell r="D1909">
            <v>247</v>
          </cell>
        </row>
        <row r="1910">
          <cell r="A1910" t="str">
            <v>1RH1NS0180XEU</v>
          </cell>
          <cell r="B1910" t="str">
            <v>SMT</v>
          </cell>
          <cell r="C1910">
            <v>1</v>
          </cell>
          <cell r="D1910">
            <v>24</v>
          </cell>
          <cell r="E1910">
            <v>2210</v>
          </cell>
          <cell r="F1910" t="str">
            <v>VC01</v>
          </cell>
          <cell r="G1910" t="str">
            <v>Auto</v>
          </cell>
          <cell r="H1910">
            <v>311</v>
          </cell>
          <cell r="I1910">
            <v>2210</v>
          </cell>
          <cell r="J1910">
            <v>2310</v>
          </cell>
          <cell r="K1910" t="str">
            <v>VC01</v>
          </cell>
        </row>
        <row r="1911">
          <cell r="A1911" t="str">
            <v>1AP1NS0180XEU</v>
          </cell>
          <cell r="B1911" t="str">
            <v>DIP</v>
          </cell>
          <cell r="C1911">
            <v>1</v>
          </cell>
          <cell r="D1911" t="e">
            <v>#N/A</v>
          </cell>
          <cell r="E1911">
            <v>2210</v>
          </cell>
          <cell r="F1911" t="str">
            <v>VC01</v>
          </cell>
          <cell r="G1911" t="str">
            <v>Auto</v>
          </cell>
          <cell r="H1911">
            <v>311</v>
          </cell>
          <cell r="I1911">
            <v>2210</v>
          </cell>
          <cell r="J1911">
            <v>2310</v>
          </cell>
          <cell r="K1911" t="str">
            <v>VC01</v>
          </cell>
        </row>
        <row r="1912">
          <cell r="A1912" t="str">
            <v>1RE1NS5130XEU</v>
          </cell>
          <cell r="B1912" t="str">
            <v>SMT</v>
          </cell>
          <cell r="C1912">
            <v>1</v>
          </cell>
          <cell r="D1912">
            <v>127</v>
          </cell>
          <cell r="E1912">
            <v>2210</v>
          </cell>
          <cell r="F1912" t="str">
            <v>VC01</v>
          </cell>
          <cell r="G1912" t="str">
            <v>Auto</v>
          </cell>
          <cell r="H1912">
            <v>311</v>
          </cell>
          <cell r="I1912">
            <v>2210</v>
          </cell>
          <cell r="J1912">
            <v>2310</v>
          </cell>
          <cell r="K1912" t="str">
            <v>VC01</v>
          </cell>
        </row>
        <row r="1913">
          <cell r="A1913" t="str">
            <v>1AP1NS5130XEU</v>
          </cell>
          <cell r="B1913" t="str">
            <v>DIP</v>
          </cell>
          <cell r="C1913">
            <v>1</v>
          </cell>
          <cell r="D1913" t="e">
            <v>#N/A</v>
          </cell>
          <cell r="E1913">
            <v>2210</v>
          </cell>
          <cell r="F1913" t="str">
            <v>VC01</v>
          </cell>
          <cell r="G1913" t="str">
            <v>Auto</v>
          </cell>
          <cell r="H1913">
            <v>311</v>
          </cell>
          <cell r="I1913">
            <v>2210</v>
          </cell>
          <cell r="J1913">
            <v>2310</v>
          </cell>
          <cell r="K1913" t="str">
            <v>VC01</v>
          </cell>
        </row>
        <row r="1914">
          <cell r="A1914" t="str">
            <v>1VJ1NS5284XEU</v>
          </cell>
          <cell r="B1914" t="str">
            <v>SMT</v>
          </cell>
          <cell r="C1914">
            <v>1</v>
          </cell>
          <cell r="D1914" t="e">
            <v>#N/A</v>
          </cell>
        </row>
        <row r="1915">
          <cell r="A1915" t="str">
            <v>1RE1NS5284XEU</v>
          </cell>
          <cell r="B1915" t="str">
            <v>SMT</v>
          </cell>
          <cell r="C1915">
            <v>1</v>
          </cell>
          <cell r="D1915">
            <v>122</v>
          </cell>
        </row>
        <row r="1916">
          <cell r="A1916" t="str">
            <v>1RE2NS5284XEU</v>
          </cell>
          <cell r="B1916" t="str">
            <v>SMT</v>
          </cell>
          <cell r="C1916">
            <v>1</v>
          </cell>
          <cell r="D1916">
            <v>181</v>
          </cell>
        </row>
        <row r="1917">
          <cell r="A1917" t="str">
            <v>1RH1NS5284XEU</v>
          </cell>
          <cell r="B1917" t="str">
            <v>SMT</v>
          </cell>
          <cell r="C1917">
            <v>1</v>
          </cell>
          <cell r="D1917">
            <v>25</v>
          </cell>
          <cell r="E1917">
            <v>2210</v>
          </cell>
          <cell r="F1917" t="str">
            <v>VC01</v>
          </cell>
          <cell r="G1917" t="str">
            <v>Auto</v>
          </cell>
          <cell r="H1917">
            <v>311</v>
          </cell>
          <cell r="I1917">
            <v>2210</v>
          </cell>
          <cell r="J1917">
            <v>2310</v>
          </cell>
          <cell r="K1917" t="str">
            <v>VC01</v>
          </cell>
        </row>
        <row r="1918">
          <cell r="A1918" t="str">
            <v>1AP1NS5284XEU</v>
          </cell>
          <cell r="B1918" t="str">
            <v>DIP</v>
          </cell>
          <cell r="C1918">
            <v>1</v>
          </cell>
          <cell r="D1918" t="e">
            <v>#N/A</v>
          </cell>
          <cell r="E1918">
            <v>2210</v>
          </cell>
          <cell r="F1918" t="str">
            <v>VC01</v>
          </cell>
          <cell r="G1918" t="str">
            <v>Auto</v>
          </cell>
          <cell r="H1918">
            <v>311</v>
          </cell>
          <cell r="I1918">
            <v>2210</v>
          </cell>
          <cell r="J1918">
            <v>2310</v>
          </cell>
          <cell r="K1918" t="str">
            <v>VC01</v>
          </cell>
        </row>
        <row r="1919">
          <cell r="A1919" t="str">
            <v>1VJ1TDA0170XEU</v>
          </cell>
          <cell r="B1919" t="str">
            <v>SMT</v>
          </cell>
          <cell r="C1919">
            <v>1</v>
          </cell>
          <cell r="D1919" t="e">
            <v>#N/A</v>
          </cell>
        </row>
        <row r="1920">
          <cell r="A1920" t="str">
            <v>1RE1TDA0170XEU</v>
          </cell>
          <cell r="B1920" t="str">
            <v>SMT</v>
          </cell>
          <cell r="C1920">
            <v>1</v>
          </cell>
          <cell r="D1920">
            <v>778</v>
          </cell>
        </row>
        <row r="1921">
          <cell r="A1921" t="str">
            <v>1RE2TDA0170XEU</v>
          </cell>
          <cell r="B1921" t="str">
            <v>SMT</v>
          </cell>
          <cell r="C1921">
            <v>1</v>
          </cell>
          <cell r="D1921">
            <v>502</v>
          </cell>
        </row>
        <row r="1922">
          <cell r="A1922" t="str">
            <v>1RH1TDA0170XEU</v>
          </cell>
          <cell r="B1922" t="str">
            <v>SMT</v>
          </cell>
          <cell r="C1922">
            <v>1</v>
          </cell>
          <cell r="D1922">
            <v>102</v>
          </cell>
          <cell r="E1922">
            <v>2210</v>
          </cell>
          <cell r="F1922" t="str">
            <v>VC01</v>
          </cell>
          <cell r="G1922" t="str">
            <v>Auto</v>
          </cell>
          <cell r="H1922">
            <v>311</v>
          </cell>
          <cell r="I1922">
            <v>2210</v>
          </cell>
          <cell r="J1922">
            <v>2310</v>
          </cell>
          <cell r="K1922" t="str">
            <v>VC01</v>
          </cell>
        </row>
        <row r="1923">
          <cell r="A1923" t="str">
            <v>1AP1TDA0170XEU</v>
          </cell>
          <cell r="B1923" t="str">
            <v>DIP</v>
          </cell>
          <cell r="C1923">
            <v>1</v>
          </cell>
          <cell r="D1923" t="e">
            <v>#N/A</v>
          </cell>
          <cell r="E1923">
            <v>2210</v>
          </cell>
          <cell r="F1923" t="str">
            <v>VC01</v>
          </cell>
          <cell r="G1923" t="str">
            <v>Auto</v>
          </cell>
          <cell r="H1923">
            <v>311</v>
          </cell>
          <cell r="I1923">
            <v>2210</v>
          </cell>
          <cell r="J1923">
            <v>2310</v>
          </cell>
          <cell r="K1923" t="str">
            <v>VC01</v>
          </cell>
        </row>
        <row r="1924">
          <cell r="A1924" t="str">
            <v>1VJ1TDA0171XEU</v>
          </cell>
          <cell r="B1924" t="str">
            <v>SMT</v>
          </cell>
          <cell r="C1924">
            <v>1</v>
          </cell>
          <cell r="D1924" t="e">
            <v>#N/A</v>
          </cell>
        </row>
        <row r="1925">
          <cell r="A1925" t="str">
            <v>1RE1TDA0171XEU</v>
          </cell>
          <cell r="B1925" t="str">
            <v>SMT</v>
          </cell>
          <cell r="C1925">
            <v>1</v>
          </cell>
          <cell r="D1925">
            <v>399</v>
          </cell>
        </row>
        <row r="1926">
          <cell r="A1926" t="str">
            <v>1RE2TDA0171XEU</v>
          </cell>
          <cell r="B1926" t="str">
            <v>SMT</v>
          </cell>
          <cell r="C1926">
            <v>1</v>
          </cell>
          <cell r="D1926">
            <v>318</v>
          </cell>
        </row>
        <row r="1927">
          <cell r="A1927" t="str">
            <v>1RH1TDA0171XEU</v>
          </cell>
          <cell r="B1927" t="str">
            <v>SMT</v>
          </cell>
          <cell r="C1927">
            <v>1</v>
          </cell>
          <cell r="D1927">
            <v>33</v>
          </cell>
          <cell r="E1927">
            <v>2210</v>
          </cell>
          <cell r="F1927" t="str">
            <v>VC01</v>
          </cell>
          <cell r="G1927" t="str">
            <v>Auto</v>
          </cell>
          <cell r="H1927">
            <v>311</v>
          </cell>
          <cell r="I1927">
            <v>2210</v>
          </cell>
          <cell r="J1927">
            <v>2310</v>
          </cell>
          <cell r="K1927" t="str">
            <v>VC01</v>
          </cell>
        </row>
        <row r="1928">
          <cell r="A1928" t="str">
            <v>1AP1TDA0171XEU</v>
          </cell>
          <cell r="B1928" t="str">
            <v>DIP</v>
          </cell>
          <cell r="C1928">
            <v>1</v>
          </cell>
          <cell r="D1928" t="e">
            <v>#N/A</v>
          </cell>
          <cell r="E1928">
            <v>2210</v>
          </cell>
          <cell r="F1928" t="str">
            <v>VC01</v>
          </cell>
          <cell r="G1928" t="str">
            <v>Auto</v>
          </cell>
          <cell r="H1928">
            <v>311</v>
          </cell>
          <cell r="I1928">
            <v>2210</v>
          </cell>
          <cell r="J1928">
            <v>2310</v>
          </cell>
          <cell r="K1928" t="str">
            <v>VC01</v>
          </cell>
        </row>
        <row r="1929">
          <cell r="A1929" t="str">
            <v>1RE1TDA6110XEU</v>
          </cell>
          <cell r="B1929" t="str">
            <v>SMT</v>
          </cell>
          <cell r="C1929">
            <v>1</v>
          </cell>
          <cell r="D1929">
            <v>400</v>
          </cell>
          <cell r="E1929">
            <v>2210</v>
          </cell>
          <cell r="F1929" t="str">
            <v>VC01</v>
          </cell>
          <cell r="G1929" t="str">
            <v>Auto</v>
          </cell>
          <cell r="H1929">
            <v>311</v>
          </cell>
          <cell r="I1929">
            <v>2210</v>
          </cell>
          <cell r="J1929">
            <v>2310</v>
          </cell>
          <cell r="K1929" t="str">
            <v>VC01</v>
          </cell>
        </row>
        <row r="1930">
          <cell r="A1930" t="str">
            <v>1AP1TDA6110XEU</v>
          </cell>
          <cell r="B1930" t="str">
            <v>DIP</v>
          </cell>
          <cell r="C1930">
            <v>1</v>
          </cell>
          <cell r="D1930" t="e">
            <v>#N/A</v>
          </cell>
          <cell r="E1930">
            <v>2210</v>
          </cell>
          <cell r="F1930" t="str">
            <v>VC01</v>
          </cell>
          <cell r="G1930" t="str">
            <v>Auto</v>
          </cell>
          <cell r="H1930">
            <v>311</v>
          </cell>
          <cell r="I1930">
            <v>2210</v>
          </cell>
          <cell r="J1930">
            <v>2310</v>
          </cell>
          <cell r="K1930" t="str">
            <v>VC01</v>
          </cell>
        </row>
        <row r="1931">
          <cell r="A1931" t="str">
            <v>1RE1NS0110XEU</v>
          </cell>
          <cell r="B1931" t="str">
            <v>SMT</v>
          </cell>
          <cell r="C1931">
            <v>1</v>
          </cell>
          <cell r="D1931">
            <v>114</v>
          </cell>
        </row>
        <row r="1932">
          <cell r="A1932" t="str">
            <v>1RE2NS0110XEU</v>
          </cell>
          <cell r="B1932" t="str">
            <v>SMT</v>
          </cell>
          <cell r="C1932">
            <v>1</v>
          </cell>
          <cell r="D1932">
            <v>195</v>
          </cell>
          <cell r="E1932">
            <v>2210</v>
          </cell>
          <cell r="F1932" t="str">
            <v>VC01</v>
          </cell>
          <cell r="G1932" t="str">
            <v>Auto</v>
          </cell>
          <cell r="H1932">
            <v>311</v>
          </cell>
          <cell r="I1932">
            <v>2210</v>
          </cell>
          <cell r="J1932">
            <v>2310</v>
          </cell>
          <cell r="K1932" t="str">
            <v>VC01</v>
          </cell>
        </row>
        <row r="1933">
          <cell r="A1933" t="str">
            <v>1RE1NS0111XEU</v>
          </cell>
          <cell r="B1933" t="str">
            <v>SMT</v>
          </cell>
          <cell r="C1933">
            <v>1</v>
          </cell>
          <cell r="D1933">
            <v>114</v>
          </cell>
        </row>
        <row r="1934">
          <cell r="A1934" t="str">
            <v>1RE2NS0111XEU</v>
          </cell>
          <cell r="B1934" t="str">
            <v>SMT</v>
          </cell>
          <cell r="C1934">
            <v>1</v>
          </cell>
          <cell r="D1934">
            <v>195</v>
          </cell>
          <cell r="E1934">
            <v>2210</v>
          </cell>
          <cell r="F1934" t="str">
            <v>VC01</v>
          </cell>
          <cell r="G1934" t="str">
            <v>Auto</v>
          </cell>
          <cell r="H1934">
            <v>311</v>
          </cell>
          <cell r="I1934">
            <v>2210</v>
          </cell>
          <cell r="J1934">
            <v>2310</v>
          </cell>
          <cell r="K1934" t="str">
            <v>VC01</v>
          </cell>
        </row>
        <row r="1935">
          <cell r="A1935" t="str">
            <v>1RE1NS0112XEU</v>
          </cell>
          <cell r="B1935" t="str">
            <v>SMT</v>
          </cell>
          <cell r="C1935">
            <v>1</v>
          </cell>
          <cell r="D1935">
            <v>207</v>
          </cell>
        </row>
        <row r="1936">
          <cell r="A1936" t="str">
            <v>1RE2NS0112XEU</v>
          </cell>
          <cell r="B1936" t="str">
            <v>SMT</v>
          </cell>
          <cell r="C1936">
            <v>1</v>
          </cell>
          <cell r="D1936">
            <v>290</v>
          </cell>
          <cell r="E1936">
            <v>2210</v>
          </cell>
          <cell r="F1936" t="str">
            <v>VC01</v>
          </cell>
          <cell r="G1936" t="str">
            <v>Auto</v>
          </cell>
          <cell r="H1936">
            <v>311</v>
          </cell>
          <cell r="I1936">
            <v>2210</v>
          </cell>
          <cell r="J1936">
            <v>2310</v>
          </cell>
          <cell r="K1936" t="str">
            <v>VC01</v>
          </cell>
        </row>
        <row r="1937">
          <cell r="A1937" t="str">
            <v>1VJ1TDA0192XEU</v>
          </cell>
          <cell r="B1937" t="str">
            <v>SMT</v>
          </cell>
          <cell r="C1937">
            <v>1</v>
          </cell>
          <cell r="D1937" t="e">
            <v>#N/A</v>
          </cell>
        </row>
        <row r="1938">
          <cell r="A1938" t="str">
            <v>1RE1TDA0192XEU</v>
          </cell>
          <cell r="B1938" t="str">
            <v>SMT</v>
          </cell>
          <cell r="C1938">
            <v>1</v>
          </cell>
          <cell r="D1938">
            <v>104</v>
          </cell>
        </row>
        <row r="1939">
          <cell r="A1939" t="str">
            <v>1RE2TDA0192XEU</v>
          </cell>
          <cell r="B1939" t="str">
            <v>SMT</v>
          </cell>
          <cell r="C1939">
            <v>1</v>
          </cell>
          <cell r="D1939">
            <v>223</v>
          </cell>
          <cell r="E1939">
            <v>2210</v>
          </cell>
          <cell r="F1939" t="str">
            <v>VC01</v>
          </cell>
          <cell r="G1939" t="str">
            <v>Auto</v>
          </cell>
          <cell r="H1939">
            <v>311</v>
          </cell>
          <cell r="I1939">
            <v>2210</v>
          </cell>
          <cell r="J1939">
            <v>2310</v>
          </cell>
          <cell r="K1939" t="str">
            <v>VC01</v>
          </cell>
        </row>
        <row r="1940">
          <cell r="A1940" t="str">
            <v>1RE1TDE0110XEU</v>
          </cell>
          <cell r="B1940" t="str">
            <v>SMT</v>
          </cell>
          <cell r="C1940">
            <v>1</v>
          </cell>
          <cell r="D1940">
            <v>127</v>
          </cell>
        </row>
        <row r="1941">
          <cell r="A1941" t="str">
            <v>1RE2TDE0110XEU</v>
          </cell>
          <cell r="B1941" t="str">
            <v>SMT</v>
          </cell>
          <cell r="C1941">
            <v>1</v>
          </cell>
          <cell r="D1941">
            <v>116</v>
          </cell>
          <cell r="E1941">
            <v>2210</v>
          </cell>
          <cell r="F1941" t="str">
            <v>VC01</v>
          </cell>
          <cell r="G1941" t="str">
            <v>Auto</v>
          </cell>
          <cell r="H1941">
            <v>311</v>
          </cell>
          <cell r="I1941">
            <v>2210</v>
          </cell>
          <cell r="J1941">
            <v>2310</v>
          </cell>
          <cell r="K1941" t="str">
            <v>VC01</v>
          </cell>
        </row>
        <row r="1942">
          <cell r="A1942" t="str">
            <v>1RE1TDE0111XEU</v>
          </cell>
          <cell r="B1942" t="str">
            <v>SMT</v>
          </cell>
          <cell r="C1942">
            <v>1</v>
          </cell>
          <cell r="D1942">
            <v>127</v>
          </cell>
        </row>
        <row r="1943">
          <cell r="A1943" t="str">
            <v>1RE2TDE0111XEU</v>
          </cell>
          <cell r="B1943" t="str">
            <v>SMT</v>
          </cell>
          <cell r="C1943">
            <v>1</v>
          </cell>
          <cell r="D1943">
            <v>116</v>
          </cell>
          <cell r="E1943">
            <v>2210</v>
          </cell>
          <cell r="F1943" t="str">
            <v>VC01</v>
          </cell>
          <cell r="G1943" t="str">
            <v>Auto</v>
          </cell>
          <cell r="H1943">
            <v>311</v>
          </cell>
          <cell r="I1943">
            <v>2210</v>
          </cell>
          <cell r="J1943">
            <v>2310</v>
          </cell>
          <cell r="K1943" t="str">
            <v>VC01</v>
          </cell>
        </row>
        <row r="1944">
          <cell r="A1944" t="str">
            <v>1RE1LPFG510RAAZA</v>
          </cell>
          <cell r="B1944" t="str">
            <v>SMT</v>
          </cell>
          <cell r="C1944">
            <v>1</v>
          </cell>
          <cell r="D1944">
            <v>101</v>
          </cell>
        </row>
        <row r="1945">
          <cell r="A1945" t="str">
            <v>1AE1LPFG510RAAZA</v>
          </cell>
          <cell r="B1945" t="str">
            <v>SMT</v>
          </cell>
          <cell r="C1945">
            <v>1</v>
          </cell>
          <cell r="D1945">
            <v>0</v>
          </cell>
        </row>
        <row r="1946">
          <cell r="A1946" t="str">
            <v>1RH1LPFG510RAAZA</v>
          </cell>
          <cell r="B1946" t="str">
            <v>SMT</v>
          </cell>
          <cell r="C1946">
            <v>1</v>
          </cell>
          <cell r="D1946">
            <v>6</v>
          </cell>
          <cell r="E1946">
            <v>2210</v>
          </cell>
          <cell r="F1946" t="str">
            <v>VC01</v>
          </cell>
          <cell r="G1946" t="str">
            <v>Auto</v>
          </cell>
          <cell r="H1946">
            <v>311</v>
          </cell>
          <cell r="I1946">
            <v>2210</v>
          </cell>
          <cell r="J1946">
            <v>2280</v>
          </cell>
          <cell r="K1946" t="str">
            <v>VC01</v>
          </cell>
        </row>
        <row r="1947">
          <cell r="A1947" t="str">
            <v>1AP1LPFG510RAAZA</v>
          </cell>
          <cell r="B1947" t="str">
            <v>DIP</v>
          </cell>
          <cell r="C1947">
            <v>1</v>
          </cell>
          <cell r="D1947" t="e">
            <v>#N/A</v>
          </cell>
          <cell r="E1947">
            <v>2210</v>
          </cell>
          <cell r="F1947" t="str">
            <v>VC01</v>
          </cell>
          <cell r="G1947" t="str">
            <v>Auto</v>
          </cell>
          <cell r="H1947">
            <v>311</v>
          </cell>
          <cell r="I1947">
            <v>2210</v>
          </cell>
          <cell r="J1947">
            <v>2280</v>
          </cell>
          <cell r="K1947" t="str">
            <v>VC01</v>
          </cell>
        </row>
        <row r="1948">
          <cell r="A1948" t="str">
            <v>1VI1LPFG510RDMZC</v>
          </cell>
          <cell r="B1948" t="str">
            <v>SMT</v>
          </cell>
          <cell r="C1948">
            <v>1</v>
          </cell>
          <cell r="D1948" t="e">
            <v>#N/A</v>
          </cell>
        </row>
        <row r="1949">
          <cell r="A1949" t="str">
            <v>1RE1LPFG510RDMZC</v>
          </cell>
          <cell r="B1949" t="str">
            <v>SMT</v>
          </cell>
          <cell r="C1949">
            <v>1</v>
          </cell>
          <cell r="D1949">
            <v>200</v>
          </cell>
        </row>
        <row r="1950">
          <cell r="A1950" t="str">
            <v>1RE2LPFG510RDMZC</v>
          </cell>
          <cell r="B1950" t="str">
            <v>SMT</v>
          </cell>
          <cell r="C1950">
            <v>1</v>
          </cell>
          <cell r="D1950">
            <v>168</v>
          </cell>
          <cell r="E1950">
            <v>2210</v>
          </cell>
          <cell r="F1950" t="str">
            <v>VC01</v>
          </cell>
          <cell r="G1950" t="str">
            <v>Auto</v>
          </cell>
          <cell r="H1950">
            <v>311</v>
          </cell>
          <cell r="I1950">
            <v>2210</v>
          </cell>
          <cell r="J1950">
            <v>2280</v>
          </cell>
          <cell r="K1950" t="str">
            <v>VC01</v>
          </cell>
        </row>
        <row r="1951">
          <cell r="A1951" t="str">
            <v>1AP1LPFG510RDMZC</v>
          </cell>
          <cell r="B1951" t="str">
            <v>DIP</v>
          </cell>
          <cell r="C1951">
            <v>1</v>
          </cell>
          <cell r="D1951" t="e">
            <v>#N/A</v>
          </cell>
          <cell r="E1951">
            <v>2210</v>
          </cell>
          <cell r="F1951" t="str">
            <v>VC01</v>
          </cell>
          <cell r="G1951" t="str">
            <v>Auto</v>
          </cell>
          <cell r="H1951">
            <v>311</v>
          </cell>
          <cell r="I1951">
            <v>2210</v>
          </cell>
          <cell r="J1951">
            <v>2280</v>
          </cell>
          <cell r="K1951" t="str">
            <v>VC01</v>
          </cell>
        </row>
        <row r="1952">
          <cell r="A1952" t="str">
            <v>1RE1LPFG520RAAZA</v>
          </cell>
          <cell r="B1952" t="str">
            <v>SMT</v>
          </cell>
          <cell r="C1952">
            <v>1</v>
          </cell>
          <cell r="D1952">
            <v>97</v>
          </cell>
        </row>
        <row r="1953">
          <cell r="A1953" t="str">
            <v>1AE1LPFG520RAAZA</v>
          </cell>
          <cell r="B1953" t="str">
            <v>SMT</v>
          </cell>
          <cell r="C1953">
            <v>1</v>
          </cell>
          <cell r="D1953">
            <v>0</v>
          </cell>
        </row>
        <row r="1954">
          <cell r="A1954" t="str">
            <v>1RH1LPFG520RAAZA</v>
          </cell>
          <cell r="B1954" t="str">
            <v>SMT</v>
          </cell>
          <cell r="C1954">
            <v>1</v>
          </cell>
          <cell r="D1954">
            <v>8</v>
          </cell>
          <cell r="E1954">
            <v>2210</v>
          </cell>
          <cell r="F1954" t="str">
            <v>VC01</v>
          </cell>
          <cell r="G1954" t="str">
            <v>Auto</v>
          </cell>
          <cell r="H1954">
            <v>311</v>
          </cell>
          <cell r="I1954">
            <v>2210</v>
          </cell>
          <cell r="J1954">
            <v>2280</v>
          </cell>
          <cell r="K1954" t="str">
            <v>VC01</v>
          </cell>
        </row>
        <row r="1955">
          <cell r="A1955" t="str">
            <v>1AP1LPFG520RAAZA</v>
          </cell>
          <cell r="B1955" t="str">
            <v>DIP</v>
          </cell>
          <cell r="C1955">
            <v>1</v>
          </cell>
          <cell r="D1955" t="e">
            <v>#N/A</v>
          </cell>
          <cell r="E1955">
            <v>2210</v>
          </cell>
          <cell r="F1955" t="str">
            <v>VC01</v>
          </cell>
          <cell r="G1955" t="str">
            <v>Auto</v>
          </cell>
          <cell r="H1955">
            <v>311</v>
          </cell>
          <cell r="I1955">
            <v>2210</v>
          </cell>
          <cell r="J1955">
            <v>2280</v>
          </cell>
          <cell r="K1955" t="str">
            <v>VC01</v>
          </cell>
        </row>
        <row r="1956">
          <cell r="A1956" t="str">
            <v>1AE1LPFG520RBAZA</v>
          </cell>
          <cell r="B1956" t="str">
            <v>SMT</v>
          </cell>
          <cell r="C1956">
            <v>1</v>
          </cell>
          <cell r="D1956">
            <v>0</v>
          </cell>
        </row>
        <row r="1957">
          <cell r="A1957" t="str">
            <v>1RH1LPFG520RBAZA</v>
          </cell>
          <cell r="B1957" t="str">
            <v>SMT</v>
          </cell>
          <cell r="C1957">
            <v>1</v>
          </cell>
          <cell r="D1957">
            <v>6</v>
          </cell>
          <cell r="E1957">
            <v>2210</v>
          </cell>
          <cell r="F1957" t="str">
            <v>VC01</v>
          </cell>
          <cell r="G1957" t="str">
            <v>Auto</v>
          </cell>
          <cell r="H1957">
            <v>311</v>
          </cell>
          <cell r="I1957">
            <v>2210</v>
          </cell>
          <cell r="J1957">
            <v>2280</v>
          </cell>
          <cell r="K1957" t="str">
            <v>VC01</v>
          </cell>
        </row>
        <row r="1958">
          <cell r="A1958" t="str">
            <v>1AP1LPFG520RBAZA</v>
          </cell>
          <cell r="B1958" t="str">
            <v>DIP</v>
          </cell>
          <cell r="C1958">
            <v>1</v>
          </cell>
          <cell r="D1958" t="e">
            <v>#N/A</v>
          </cell>
          <cell r="E1958">
            <v>2210</v>
          </cell>
          <cell r="F1958" t="str">
            <v>VC01</v>
          </cell>
          <cell r="G1958" t="str">
            <v>Auto</v>
          </cell>
          <cell r="H1958">
            <v>311</v>
          </cell>
          <cell r="I1958">
            <v>2210</v>
          </cell>
          <cell r="J1958">
            <v>2280</v>
          </cell>
          <cell r="K1958" t="str">
            <v>VC01</v>
          </cell>
        </row>
        <row r="1959">
          <cell r="A1959" t="str">
            <v>1AE1LPFG520RDAZA</v>
          </cell>
          <cell r="B1959" t="str">
            <v>SMT</v>
          </cell>
          <cell r="C1959">
            <v>1</v>
          </cell>
          <cell r="D1959">
            <v>0</v>
          </cell>
        </row>
        <row r="1960">
          <cell r="A1960" t="str">
            <v>1RH1LPFG520RDAZA</v>
          </cell>
          <cell r="B1960" t="str">
            <v>SMT</v>
          </cell>
          <cell r="C1960">
            <v>1</v>
          </cell>
          <cell r="D1960">
            <v>7</v>
          </cell>
          <cell r="E1960">
            <v>2210</v>
          </cell>
          <cell r="F1960" t="str">
            <v>VC01</v>
          </cell>
          <cell r="G1960" t="str">
            <v>Auto</v>
          </cell>
          <cell r="H1960">
            <v>311</v>
          </cell>
          <cell r="I1960">
            <v>2210</v>
          </cell>
          <cell r="J1960">
            <v>2280</v>
          </cell>
          <cell r="K1960" t="str">
            <v>VC01</v>
          </cell>
        </row>
        <row r="1961">
          <cell r="A1961" t="str">
            <v>1AP1LPFG520RDAZA</v>
          </cell>
          <cell r="B1961" t="str">
            <v>DIP</v>
          </cell>
          <cell r="C1961">
            <v>1</v>
          </cell>
          <cell r="D1961" t="e">
            <v>#N/A</v>
          </cell>
          <cell r="E1961">
            <v>2210</v>
          </cell>
          <cell r="F1961" t="str">
            <v>VC01</v>
          </cell>
          <cell r="G1961" t="str">
            <v>Auto</v>
          </cell>
          <cell r="H1961">
            <v>311</v>
          </cell>
          <cell r="I1961">
            <v>2210</v>
          </cell>
          <cell r="J1961">
            <v>2280</v>
          </cell>
          <cell r="K1961" t="str">
            <v>VC01</v>
          </cell>
        </row>
        <row r="1962">
          <cell r="A1962" t="str">
            <v>1RE1LPFG520REAZA</v>
          </cell>
          <cell r="B1962" t="str">
            <v>SMT</v>
          </cell>
          <cell r="C1962">
            <v>1</v>
          </cell>
          <cell r="D1962">
            <v>55</v>
          </cell>
        </row>
        <row r="1963">
          <cell r="A1963" t="str">
            <v>1AE1LPFG520REAZA</v>
          </cell>
          <cell r="B1963" t="str">
            <v>SMT</v>
          </cell>
          <cell r="C1963">
            <v>1</v>
          </cell>
          <cell r="D1963">
            <v>0</v>
          </cell>
        </row>
        <row r="1964">
          <cell r="A1964" t="str">
            <v>1RH1LPFG520REAZA</v>
          </cell>
          <cell r="B1964" t="str">
            <v>SMT</v>
          </cell>
          <cell r="C1964">
            <v>1</v>
          </cell>
          <cell r="D1964">
            <v>6</v>
          </cell>
          <cell r="E1964">
            <v>2210</v>
          </cell>
          <cell r="F1964" t="str">
            <v>VC01</v>
          </cell>
          <cell r="G1964" t="str">
            <v>Auto</v>
          </cell>
          <cell r="H1964">
            <v>311</v>
          </cell>
          <cell r="I1964">
            <v>2210</v>
          </cell>
          <cell r="J1964">
            <v>2280</v>
          </cell>
          <cell r="K1964" t="str">
            <v>VC01</v>
          </cell>
        </row>
        <row r="1965">
          <cell r="A1965" t="str">
            <v>1AP1LPFG520REAZA</v>
          </cell>
          <cell r="B1965" t="str">
            <v>DIP</v>
          </cell>
          <cell r="C1965">
            <v>1</v>
          </cell>
          <cell r="D1965" t="e">
            <v>#N/A</v>
          </cell>
          <cell r="E1965">
            <v>2210</v>
          </cell>
          <cell r="F1965" t="str">
            <v>VC01</v>
          </cell>
          <cell r="G1965" t="str">
            <v>Auto</v>
          </cell>
          <cell r="H1965">
            <v>311</v>
          </cell>
          <cell r="I1965">
            <v>2210</v>
          </cell>
          <cell r="J1965">
            <v>2280</v>
          </cell>
          <cell r="K1965" t="str">
            <v>VC01</v>
          </cell>
        </row>
        <row r="1966">
          <cell r="A1966" t="str">
            <v>1VI1LPFG520REMWA</v>
          </cell>
          <cell r="B1966" t="str">
            <v>SMT</v>
          </cell>
          <cell r="C1966">
            <v>1</v>
          </cell>
          <cell r="D1966" t="e">
            <v>#N/A</v>
          </cell>
        </row>
        <row r="1967">
          <cell r="A1967" t="str">
            <v>1RE1LPFG520REMWA</v>
          </cell>
          <cell r="B1967" t="str">
            <v>SMT</v>
          </cell>
          <cell r="C1967">
            <v>1</v>
          </cell>
          <cell r="D1967">
            <v>174</v>
          </cell>
        </row>
        <row r="1968">
          <cell r="A1968" t="str">
            <v>1RE2LPFG520REMWA</v>
          </cell>
          <cell r="B1968" t="str">
            <v>SMT</v>
          </cell>
          <cell r="C1968">
            <v>1</v>
          </cell>
          <cell r="D1968">
            <v>134</v>
          </cell>
          <cell r="E1968">
            <v>2210</v>
          </cell>
          <cell r="F1968" t="str">
            <v>VC01</v>
          </cell>
          <cell r="G1968" t="str">
            <v>Auto</v>
          </cell>
          <cell r="H1968">
            <v>311</v>
          </cell>
          <cell r="I1968">
            <v>2210</v>
          </cell>
          <cell r="J1968">
            <v>2280</v>
          </cell>
          <cell r="K1968" t="str">
            <v>VC01</v>
          </cell>
        </row>
        <row r="1969">
          <cell r="A1969" t="str">
            <v>1AP1LPFG520REMWA</v>
          </cell>
          <cell r="B1969" t="str">
            <v>DIP</v>
          </cell>
          <cell r="C1969">
            <v>1</v>
          </cell>
          <cell r="D1969" t="e">
            <v>#N/A</v>
          </cell>
          <cell r="E1969">
            <v>2210</v>
          </cell>
          <cell r="F1969" t="str">
            <v>VC01</v>
          </cell>
          <cell r="G1969" t="str">
            <v>Auto</v>
          </cell>
          <cell r="H1969">
            <v>311</v>
          </cell>
          <cell r="I1969">
            <v>2210</v>
          </cell>
          <cell r="J1969">
            <v>2280</v>
          </cell>
          <cell r="K1969" t="str">
            <v>VC01</v>
          </cell>
        </row>
        <row r="1970">
          <cell r="A1970" t="str">
            <v>1VI1LPFG810RAMZA</v>
          </cell>
          <cell r="B1970" t="str">
            <v>SMT</v>
          </cell>
          <cell r="C1970">
            <v>1</v>
          </cell>
          <cell r="D1970" t="e">
            <v>#N/A</v>
          </cell>
        </row>
        <row r="1971">
          <cell r="A1971" t="str">
            <v>1RE1LPFG810RAMZAK4</v>
          </cell>
          <cell r="B1971" t="str">
            <v>SMT</v>
          </cell>
          <cell r="C1971">
            <v>1</v>
          </cell>
          <cell r="D1971">
            <v>225</v>
          </cell>
        </row>
        <row r="1972">
          <cell r="A1972" t="str">
            <v>1RE2LPFG810RAMZAK4</v>
          </cell>
          <cell r="B1972" t="str">
            <v>SMT</v>
          </cell>
          <cell r="C1972">
            <v>1</v>
          </cell>
          <cell r="D1972">
            <v>319</v>
          </cell>
        </row>
        <row r="1973">
          <cell r="A1973" t="str">
            <v>1RH1LPFG810RAMZAK4</v>
          </cell>
          <cell r="B1973" t="str">
            <v>SMT</v>
          </cell>
          <cell r="C1973">
            <v>1</v>
          </cell>
          <cell r="D1973">
            <v>12</v>
          </cell>
        </row>
        <row r="1974">
          <cell r="A1974" t="str">
            <v>1AP1LPFG810RAMZAK4</v>
          </cell>
          <cell r="B1974" t="str">
            <v>DIP</v>
          </cell>
          <cell r="C1974">
            <v>1</v>
          </cell>
          <cell r="D1974" t="e">
            <v>#N/A</v>
          </cell>
          <cell r="E1974">
            <v>2210</v>
          </cell>
        </row>
        <row r="1975">
          <cell r="A1975" t="str">
            <v>1VI1LPFG810RDMZA</v>
          </cell>
          <cell r="B1975" t="str">
            <v>SMT</v>
          </cell>
          <cell r="C1975">
            <v>1</v>
          </cell>
          <cell r="D1975" t="e">
            <v>#N/A</v>
          </cell>
        </row>
        <row r="1976">
          <cell r="A1976" t="str">
            <v>1RE1LPFG810RDMZAK4</v>
          </cell>
          <cell r="B1976" t="str">
            <v>SMT</v>
          </cell>
          <cell r="C1976">
            <v>1</v>
          </cell>
          <cell r="D1976">
            <v>223</v>
          </cell>
        </row>
        <row r="1977">
          <cell r="A1977" t="str">
            <v>1RE2LPFG810RDMZAK4</v>
          </cell>
          <cell r="B1977" t="str">
            <v>SMT</v>
          </cell>
          <cell r="C1977">
            <v>1</v>
          </cell>
          <cell r="D1977">
            <v>268</v>
          </cell>
        </row>
        <row r="1978">
          <cell r="A1978" t="str">
            <v>1RH1LPFG810RDMZAK4</v>
          </cell>
          <cell r="B1978" t="str">
            <v>SMT</v>
          </cell>
          <cell r="C1978">
            <v>1</v>
          </cell>
          <cell r="D1978">
            <v>10</v>
          </cell>
        </row>
        <row r="1979">
          <cell r="A1979" t="str">
            <v>1AP1LPFG810RDMZAK4</v>
          </cell>
          <cell r="B1979" t="str">
            <v>DIP</v>
          </cell>
          <cell r="C1979">
            <v>1</v>
          </cell>
          <cell r="D1979" t="e">
            <v>#N/A</v>
          </cell>
          <cell r="E1979">
            <v>2210</v>
          </cell>
        </row>
        <row r="1980">
          <cell r="A1980" t="str">
            <v>1VI1LPFG810REMZA</v>
          </cell>
          <cell r="B1980" t="str">
            <v>SMT</v>
          </cell>
          <cell r="C1980">
            <v>1</v>
          </cell>
          <cell r="D1980" t="e">
            <v>#N/A</v>
          </cell>
        </row>
        <row r="1981">
          <cell r="A1981" t="str">
            <v>1RE1LPFG810REMZAK4</v>
          </cell>
          <cell r="B1981" t="str">
            <v>SMT</v>
          </cell>
          <cell r="C1981">
            <v>1</v>
          </cell>
          <cell r="D1981">
            <v>223</v>
          </cell>
        </row>
        <row r="1982">
          <cell r="A1982" t="str">
            <v>1RE2LPFG810REMZAK4</v>
          </cell>
          <cell r="B1982" t="str">
            <v>SMT</v>
          </cell>
          <cell r="C1982">
            <v>1</v>
          </cell>
          <cell r="D1982">
            <v>266</v>
          </cell>
        </row>
        <row r="1983">
          <cell r="A1983" t="str">
            <v>1RH1LPFG810REMZAK4</v>
          </cell>
          <cell r="B1983" t="str">
            <v>SMT</v>
          </cell>
          <cell r="C1983">
            <v>1</v>
          </cell>
          <cell r="D1983">
            <v>9</v>
          </cell>
        </row>
        <row r="1984">
          <cell r="A1984" t="str">
            <v>1AP1LPFG810REMZAK4</v>
          </cell>
          <cell r="B1984" t="str">
            <v>DIP</v>
          </cell>
          <cell r="C1984">
            <v>1</v>
          </cell>
          <cell r="D1984" t="e">
            <v>#N/A</v>
          </cell>
          <cell r="E1984">
            <v>2210</v>
          </cell>
        </row>
        <row r="1985">
          <cell r="A1985" t="str">
            <v>1VJ1NS0130</v>
          </cell>
          <cell r="B1985" t="str">
            <v>SMT</v>
          </cell>
          <cell r="C1985">
            <v>1</v>
          </cell>
          <cell r="D1985" t="e">
            <v>#N/A</v>
          </cell>
        </row>
        <row r="1986">
          <cell r="A1986" t="str">
            <v>1RE1NS0130</v>
          </cell>
          <cell r="B1986" t="str">
            <v>SMT</v>
          </cell>
          <cell r="C1986">
            <v>1</v>
          </cell>
          <cell r="D1986">
            <v>52</v>
          </cell>
        </row>
        <row r="1987">
          <cell r="A1987" t="str">
            <v>1RE2NS0130</v>
          </cell>
          <cell r="B1987" t="str">
            <v>SMT</v>
          </cell>
          <cell r="C1987">
            <v>1</v>
          </cell>
          <cell r="D1987">
            <v>506</v>
          </cell>
          <cell r="E1987">
            <v>2210</v>
          </cell>
          <cell r="F1987" t="str">
            <v>VC01</v>
          </cell>
          <cell r="G1987" t="str">
            <v>Auto</v>
          </cell>
          <cell r="H1987">
            <v>311</v>
          </cell>
          <cell r="I1987">
            <v>2210</v>
          </cell>
          <cell r="J1987">
            <v>2310</v>
          </cell>
          <cell r="K1987" t="str">
            <v>VC01</v>
          </cell>
        </row>
        <row r="1988">
          <cell r="A1988" t="str">
            <v>1AP1NS0130</v>
          </cell>
          <cell r="B1988" t="str">
            <v>DIP</v>
          </cell>
          <cell r="C1988">
            <v>1</v>
          </cell>
          <cell r="D1988" t="e">
            <v>#N/A</v>
          </cell>
          <cell r="E1988">
            <v>2210</v>
          </cell>
          <cell r="F1988" t="str">
            <v>VC01</v>
          </cell>
          <cell r="G1988" t="str">
            <v>Auto</v>
          </cell>
          <cell r="H1988">
            <v>311</v>
          </cell>
          <cell r="I1988">
            <v>2210</v>
          </cell>
          <cell r="J1988">
            <v>2310</v>
          </cell>
          <cell r="K1988" t="str">
            <v>VC01</v>
          </cell>
        </row>
        <row r="1989">
          <cell r="A1989" t="str">
            <v>1RE1NS0161XEU</v>
          </cell>
          <cell r="B1989" t="str">
            <v>SMT</v>
          </cell>
          <cell r="C1989">
            <v>1</v>
          </cell>
          <cell r="D1989">
            <v>81</v>
          </cell>
        </row>
        <row r="1990">
          <cell r="A1990" t="str">
            <v>1RH1NS0161XEU</v>
          </cell>
          <cell r="B1990" t="str">
            <v>SMT</v>
          </cell>
          <cell r="C1990">
            <v>1</v>
          </cell>
          <cell r="D1990">
            <v>6</v>
          </cell>
          <cell r="E1990">
            <v>2210</v>
          </cell>
          <cell r="F1990" t="str">
            <v>VC01</v>
          </cell>
          <cell r="G1990" t="str">
            <v>Auto</v>
          </cell>
          <cell r="H1990">
            <v>311</v>
          </cell>
          <cell r="I1990">
            <v>2210</v>
          </cell>
          <cell r="J1990">
            <v>2310</v>
          </cell>
          <cell r="K1990" t="str">
            <v>VC01</v>
          </cell>
        </row>
        <row r="1991">
          <cell r="A1991" t="str">
            <v>1AP1NS0161XEU</v>
          </cell>
          <cell r="B1991" t="str">
            <v>DIP</v>
          </cell>
          <cell r="C1991">
            <v>1</v>
          </cell>
          <cell r="D1991" t="e">
            <v>#N/A</v>
          </cell>
          <cell r="E1991">
            <v>2210</v>
          </cell>
          <cell r="F1991" t="str">
            <v>VC01</v>
          </cell>
          <cell r="G1991" t="str">
            <v>Auto</v>
          </cell>
          <cell r="H1991">
            <v>311</v>
          </cell>
          <cell r="I1991">
            <v>2210</v>
          </cell>
          <cell r="J1991">
            <v>2310</v>
          </cell>
          <cell r="K1991" t="str">
            <v>VC01</v>
          </cell>
        </row>
        <row r="1992">
          <cell r="A1992" t="str">
            <v>1RE1NS0280XEU</v>
          </cell>
          <cell r="B1992" t="str">
            <v>SMT</v>
          </cell>
          <cell r="C1992">
            <v>1</v>
          </cell>
          <cell r="D1992">
            <v>63</v>
          </cell>
        </row>
        <row r="1993">
          <cell r="A1993" t="str">
            <v>1RE2NS0280XEU</v>
          </cell>
          <cell r="B1993" t="str">
            <v>SMT</v>
          </cell>
          <cell r="C1993">
            <v>1</v>
          </cell>
          <cell r="D1993">
            <v>343</v>
          </cell>
        </row>
        <row r="1994">
          <cell r="A1994" t="str">
            <v>1RH1NS0280XEU</v>
          </cell>
          <cell r="B1994" t="str">
            <v>SMT</v>
          </cell>
          <cell r="C1994">
            <v>1</v>
          </cell>
          <cell r="D1994">
            <v>35</v>
          </cell>
          <cell r="E1994">
            <v>2210</v>
          </cell>
          <cell r="F1994" t="str">
            <v>VC01</v>
          </cell>
          <cell r="G1994" t="str">
            <v>Auto</v>
          </cell>
          <cell r="H1994">
            <v>311</v>
          </cell>
          <cell r="I1994">
            <v>2210</v>
          </cell>
          <cell r="J1994">
            <v>2310</v>
          </cell>
          <cell r="K1994" t="str">
            <v>VC01</v>
          </cell>
        </row>
        <row r="1995">
          <cell r="A1995" t="str">
            <v>1AP1NS0280XEU</v>
          </cell>
          <cell r="B1995" t="str">
            <v>DIP</v>
          </cell>
          <cell r="C1995">
            <v>1</v>
          </cell>
          <cell r="D1995" t="e">
            <v>#N/A</v>
          </cell>
          <cell r="E1995">
            <v>2210</v>
          </cell>
          <cell r="F1995" t="str">
            <v>VC01</v>
          </cell>
          <cell r="G1995" t="str">
            <v>Auto</v>
          </cell>
          <cell r="H1995">
            <v>311</v>
          </cell>
          <cell r="I1995">
            <v>2210</v>
          </cell>
          <cell r="J1995">
            <v>2310</v>
          </cell>
          <cell r="K1995" t="str">
            <v>VC01</v>
          </cell>
        </row>
        <row r="1996">
          <cell r="A1996" t="str">
            <v>1RE1NS0290</v>
          </cell>
          <cell r="B1996" t="str">
            <v>SMT</v>
          </cell>
          <cell r="C1996">
            <v>1</v>
          </cell>
          <cell r="D1996">
            <v>46</v>
          </cell>
        </row>
        <row r="1997">
          <cell r="A1997" t="str">
            <v>1RE2NS0290</v>
          </cell>
          <cell r="B1997" t="str">
            <v>SMT</v>
          </cell>
          <cell r="C1997">
            <v>1</v>
          </cell>
          <cell r="D1997">
            <v>240</v>
          </cell>
        </row>
        <row r="1998">
          <cell r="A1998" t="str">
            <v>1RH1NS0290</v>
          </cell>
          <cell r="B1998" t="str">
            <v>SMT</v>
          </cell>
          <cell r="C1998">
            <v>1</v>
          </cell>
          <cell r="D1998">
            <v>16</v>
          </cell>
          <cell r="E1998">
            <v>2210</v>
          </cell>
          <cell r="F1998" t="str">
            <v>VC01</v>
          </cell>
          <cell r="G1998" t="str">
            <v>Auto</v>
          </cell>
          <cell r="H1998">
            <v>311</v>
          </cell>
          <cell r="I1998">
            <v>2210</v>
          </cell>
          <cell r="J1998">
            <v>2310</v>
          </cell>
          <cell r="K1998" t="str">
            <v>VC01</v>
          </cell>
        </row>
        <row r="1999">
          <cell r="A1999" t="str">
            <v>1AP1NS0290</v>
          </cell>
          <cell r="B1999" t="str">
            <v>DIP</v>
          </cell>
          <cell r="C1999">
            <v>1</v>
          </cell>
          <cell r="D1999" t="e">
            <v>#N/A</v>
          </cell>
          <cell r="E1999">
            <v>2210</v>
          </cell>
          <cell r="F1999" t="str">
            <v>VC01</v>
          </cell>
          <cell r="G1999" t="str">
            <v>Auto</v>
          </cell>
          <cell r="H1999">
            <v>311</v>
          </cell>
          <cell r="I1999">
            <v>2210</v>
          </cell>
          <cell r="J1999">
            <v>2310</v>
          </cell>
          <cell r="K1999" t="str">
            <v>VC01</v>
          </cell>
        </row>
        <row r="2000">
          <cell r="A2000" t="str">
            <v>1VI1NS5170</v>
          </cell>
          <cell r="B2000" t="str">
            <v>SMT</v>
          </cell>
          <cell r="C2000">
            <v>1</v>
          </cell>
          <cell r="D2000" t="e">
            <v>#N/A</v>
          </cell>
        </row>
        <row r="2001">
          <cell r="A2001" t="str">
            <v>1VJ1NS5170</v>
          </cell>
          <cell r="B2001" t="str">
            <v>SMT</v>
          </cell>
          <cell r="C2001">
            <v>1</v>
          </cell>
          <cell r="D2001" t="e">
            <v>#N/A</v>
          </cell>
        </row>
        <row r="2002">
          <cell r="A2002" t="str">
            <v>1RE1NS5170</v>
          </cell>
          <cell r="B2002" t="str">
            <v>SMT</v>
          </cell>
          <cell r="C2002">
            <v>1</v>
          </cell>
          <cell r="D2002">
            <v>231</v>
          </cell>
        </row>
        <row r="2003">
          <cell r="A2003" t="str">
            <v>1RE2NS5170</v>
          </cell>
          <cell r="B2003" t="str">
            <v>SMT</v>
          </cell>
          <cell r="C2003">
            <v>1</v>
          </cell>
          <cell r="D2003">
            <v>425</v>
          </cell>
        </row>
        <row r="2004">
          <cell r="A2004" t="str">
            <v>1RH1NS5170</v>
          </cell>
          <cell r="B2004" t="str">
            <v>SMT</v>
          </cell>
          <cell r="C2004">
            <v>1</v>
          </cell>
          <cell r="D2004">
            <v>10</v>
          </cell>
          <cell r="E2004">
            <v>2210</v>
          </cell>
          <cell r="F2004" t="str">
            <v>VC01</v>
          </cell>
          <cell r="G2004" t="str">
            <v>Auto</v>
          </cell>
          <cell r="H2004">
            <v>311</v>
          </cell>
          <cell r="I2004">
            <v>2210</v>
          </cell>
          <cell r="J2004">
            <v>2310</v>
          </cell>
          <cell r="K2004" t="str">
            <v>VC01</v>
          </cell>
        </row>
        <row r="2005">
          <cell r="A2005" t="str">
            <v>1AP1NS5170</v>
          </cell>
          <cell r="B2005" t="str">
            <v>DIP</v>
          </cell>
          <cell r="C2005">
            <v>1</v>
          </cell>
          <cell r="D2005" t="e">
            <v>#N/A</v>
          </cell>
          <cell r="E2005">
            <v>2210</v>
          </cell>
          <cell r="F2005" t="str">
            <v>VC01</v>
          </cell>
          <cell r="G2005" t="str">
            <v>Auto</v>
          </cell>
          <cell r="H2005">
            <v>311</v>
          </cell>
          <cell r="I2005">
            <v>2210</v>
          </cell>
          <cell r="J2005">
            <v>2310</v>
          </cell>
          <cell r="K2005" t="str">
            <v>VC01</v>
          </cell>
        </row>
        <row r="2006">
          <cell r="A2006" t="str">
            <v>1VI1NS5170XEU</v>
          </cell>
          <cell r="B2006" t="str">
            <v>SMT</v>
          </cell>
          <cell r="C2006">
            <v>1</v>
          </cell>
          <cell r="D2006" t="e">
            <v>#N/A</v>
          </cell>
        </row>
        <row r="2007">
          <cell r="A2007" t="str">
            <v>1VJ1NS5170XEU</v>
          </cell>
          <cell r="B2007" t="str">
            <v>SMT</v>
          </cell>
          <cell r="C2007">
            <v>1</v>
          </cell>
          <cell r="D2007" t="e">
            <v>#N/A</v>
          </cell>
        </row>
        <row r="2008">
          <cell r="A2008" t="str">
            <v>1RE1NS5170XEU</v>
          </cell>
          <cell r="B2008" t="str">
            <v>SMT</v>
          </cell>
          <cell r="C2008">
            <v>1</v>
          </cell>
          <cell r="D2008">
            <v>231</v>
          </cell>
        </row>
        <row r="2009">
          <cell r="A2009" t="str">
            <v>1RE2NS5170XEU</v>
          </cell>
          <cell r="B2009" t="str">
            <v>SMT</v>
          </cell>
          <cell r="C2009">
            <v>1</v>
          </cell>
          <cell r="D2009">
            <v>425</v>
          </cell>
        </row>
        <row r="2010">
          <cell r="A2010" t="str">
            <v>1RH1NS5170XEU</v>
          </cell>
          <cell r="B2010" t="str">
            <v>SMT</v>
          </cell>
          <cell r="C2010">
            <v>1</v>
          </cell>
          <cell r="D2010">
            <v>10</v>
          </cell>
          <cell r="E2010">
            <v>2210</v>
          </cell>
          <cell r="F2010" t="str">
            <v>VC01</v>
          </cell>
          <cell r="G2010" t="str">
            <v>Auto</v>
          </cell>
          <cell r="H2010">
            <v>311</v>
          </cell>
          <cell r="I2010">
            <v>2210</v>
          </cell>
          <cell r="J2010">
            <v>2310</v>
          </cell>
          <cell r="K2010" t="str">
            <v>VC01</v>
          </cell>
        </row>
        <row r="2011">
          <cell r="A2011" t="str">
            <v>1AP1NS5170XEU</v>
          </cell>
          <cell r="B2011" t="str">
            <v>DIP</v>
          </cell>
          <cell r="C2011">
            <v>1</v>
          </cell>
          <cell r="D2011" t="e">
            <v>#N/A</v>
          </cell>
          <cell r="E2011">
            <v>2210</v>
          </cell>
          <cell r="F2011" t="str">
            <v>VC01</v>
          </cell>
          <cell r="G2011" t="str">
            <v>Auto</v>
          </cell>
          <cell r="H2011">
            <v>311</v>
          </cell>
          <cell r="I2011">
            <v>2210</v>
          </cell>
          <cell r="J2011">
            <v>2310</v>
          </cell>
          <cell r="K2011" t="str">
            <v>VC01</v>
          </cell>
        </row>
        <row r="2012">
          <cell r="A2012" t="str">
            <v>1RE1NS5173</v>
          </cell>
          <cell r="B2012" t="str">
            <v>SMT</v>
          </cell>
          <cell r="C2012">
            <v>1</v>
          </cell>
          <cell r="D2012">
            <v>146</v>
          </cell>
        </row>
        <row r="2013">
          <cell r="A2013" t="str">
            <v>1RE2NS5173</v>
          </cell>
          <cell r="B2013" t="str">
            <v>SMT</v>
          </cell>
          <cell r="C2013">
            <v>1</v>
          </cell>
          <cell r="D2013">
            <v>214</v>
          </cell>
        </row>
        <row r="2014">
          <cell r="A2014" t="str">
            <v>1RH1NS5173</v>
          </cell>
          <cell r="B2014" t="str">
            <v>SMT</v>
          </cell>
          <cell r="C2014">
            <v>1</v>
          </cell>
          <cell r="D2014">
            <v>4</v>
          </cell>
          <cell r="E2014">
            <v>2210</v>
          </cell>
          <cell r="F2014" t="str">
            <v>VC01</v>
          </cell>
          <cell r="G2014" t="str">
            <v>Auto</v>
          </cell>
          <cell r="H2014">
            <v>311</v>
          </cell>
          <cell r="I2014">
            <v>2210</v>
          </cell>
          <cell r="J2014">
            <v>2310</v>
          </cell>
          <cell r="K2014" t="str">
            <v>VC01</v>
          </cell>
        </row>
        <row r="2015">
          <cell r="A2015" t="str">
            <v>1AP1NS5173</v>
          </cell>
          <cell r="B2015" t="str">
            <v>DIP</v>
          </cell>
          <cell r="C2015">
            <v>1</v>
          </cell>
          <cell r="D2015" t="e">
            <v>#N/A</v>
          </cell>
          <cell r="E2015">
            <v>2210</v>
          </cell>
          <cell r="F2015" t="str">
            <v>VC01</v>
          </cell>
          <cell r="G2015" t="str">
            <v>Auto</v>
          </cell>
          <cell r="H2015">
            <v>311</v>
          </cell>
          <cell r="I2015">
            <v>2210</v>
          </cell>
          <cell r="J2015">
            <v>2310</v>
          </cell>
          <cell r="K2015" t="str">
            <v>VC01</v>
          </cell>
        </row>
        <row r="2016">
          <cell r="A2016" t="str">
            <v>1RE1NS5174</v>
          </cell>
          <cell r="B2016" t="str">
            <v>SMT</v>
          </cell>
          <cell r="C2016">
            <v>1</v>
          </cell>
          <cell r="D2016">
            <v>266</v>
          </cell>
        </row>
        <row r="2017">
          <cell r="A2017" t="str">
            <v>1RE2NS5174</v>
          </cell>
          <cell r="B2017" t="str">
            <v>SMT</v>
          </cell>
          <cell r="C2017">
            <v>1</v>
          </cell>
          <cell r="D2017">
            <v>375</v>
          </cell>
        </row>
        <row r="2018">
          <cell r="A2018" t="str">
            <v>1RH1NS5174</v>
          </cell>
          <cell r="B2018" t="str">
            <v>SMT</v>
          </cell>
          <cell r="C2018">
            <v>1</v>
          </cell>
          <cell r="D2018">
            <v>8</v>
          </cell>
          <cell r="E2018">
            <v>2210</v>
          </cell>
          <cell r="F2018" t="str">
            <v>VC01</v>
          </cell>
          <cell r="G2018" t="str">
            <v>Auto</v>
          </cell>
          <cell r="H2018">
            <v>311</v>
          </cell>
          <cell r="I2018">
            <v>2210</v>
          </cell>
          <cell r="J2018">
            <v>2310</v>
          </cell>
          <cell r="K2018" t="str">
            <v>VC01</v>
          </cell>
        </row>
        <row r="2019">
          <cell r="A2019" t="str">
            <v>1AP1NS5174</v>
          </cell>
          <cell r="B2019" t="str">
            <v>DIP</v>
          </cell>
          <cell r="C2019">
            <v>1</v>
          </cell>
          <cell r="D2019" t="e">
            <v>#N/A</v>
          </cell>
          <cell r="E2019">
            <v>2210</v>
          </cell>
          <cell r="F2019" t="str">
            <v>VC01</v>
          </cell>
          <cell r="G2019" t="str">
            <v>Auto</v>
          </cell>
          <cell r="H2019">
            <v>311</v>
          </cell>
          <cell r="I2019">
            <v>2210</v>
          </cell>
          <cell r="J2019">
            <v>2310</v>
          </cell>
          <cell r="K2019" t="str">
            <v>VC01</v>
          </cell>
        </row>
        <row r="2020">
          <cell r="A2020" t="str">
            <v>1VJ1NS5290</v>
          </cell>
          <cell r="B2020" t="str">
            <v>SMT</v>
          </cell>
          <cell r="C2020">
            <v>1</v>
          </cell>
          <cell r="D2020" t="e">
            <v>#N/A</v>
          </cell>
        </row>
        <row r="2021">
          <cell r="A2021" t="str">
            <v>1RE1NS5290</v>
          </cell>
          <cell r="B2021" t="str">
            <v>SMT</v>
          </cell>
          <cell r="C2021">
            <v>1</v>
          </cell>
          <cell r="D2021">
            <v>59</v>
          </cell>
        </row>
        <row r="2022">
          <cell r="A2022" t="str">
            <v>1RE2NS5290</v>
          </cell>
          <cell r="B2022" t="str">
            <v>SMT</v>
          </cell>
          <cell r="C2022">
            <v>1</v>
          </cell>
          <cell r="D2022">
            <v>151</v>
          </cell>
        </row>
        <row r="2023">
          <cell r="A2023" t="str">
            <v>1RH1NS5290</v>
          </cell>
          <cell r="B2023" t="str">
            <v>SMT</v>
          </cell>
          <cell r="C2023">
            <v>1</v>
          </cell>
          <cell r="D2023">
            <v>5</v>
          </cell>
          <cell r="E2023">
            <v>2210</v>
          </cell>
          <cell r="F2023" t="str">
            <v>VC01</v>
          </cell>
          <cell r="G2023" t="str">
            <v>Auto</v>
          </cell>
          <cell r="H2023">
            <v>311</v>
          </cell>
          <cell r="I2023">
            <v>2210</v>
          </cell>
          <cell r="J2023">
            <v>2310</v>
          </cell>
          <cell r="K2023" t="str">
            <v>VC01</v>
          </cell>
        </row>
        <row r="2024">
          <cell r="A2024" t="str">
            <v>1AP1NS5290</v>
          </cell>
          <cell r="B2024" t="str">
            <v>DIP</v>
          </cell>
          <cell r="C2024">
            <v>1</v>
          </cell>
          <cell r="D2024" t="e">
            <v>#N/A</v>
          </cell>
          <cell r="E2024">
            <v>2210</v>
          </cell>
          <cell r="F2024" t="str">
            <v>VC01</v>
          </cell>
          <cell r="G2024" t="str">
            <v>Auto</v>
          </cell>
          <cell r="H2024">
            <v>311</v>
          </cell>
          <cell r="I2024">
            <v>2210</v>
          </cell>
          <cell r="J2024">
            <v>2310</v>
          </cell>
          <cell r="K2024" t="str">
            <v>VC01</v>
          </cell>
        </row>
        <row r="2025">
          <cell r="A2025" t="str">
            <v>1RE1NS7130</v>
          </cell>
          <cell r="B2025" t="str">
            <v>SMT</v>
          </cell>
          <cell r="C2025">
            <v>1</v>
          </cell>
          <cell r="D2025">
            <v>252</v>
          </cell>
          <cell r="E2025">
            <v>2210</v>
          </cell>
          <cell r="F2025" t="str">
            <v>VC01</v>
          </cell>
          <cell r="G2025" t="str">
            <v>Auto</v>
          </cell>
          <cell r="H2025">
            <v>311</v>
          </cell>
          <cell r="I2025">
            <v>2210</v>
          </cell>
          <cell r="J2025">
            <v>2310</v>
          </cell>
          <cell r="K2025" t="str">
            <v>VC01</v>
          </cell>
        </row>
        <row r="2026">
          <cell r="A2026" t="str">
            <v>1AP1NS7130</v>
          </cell>
          <cell r="B2026" t="str">
            <v>DIP</v>
          </cell>
          <cell r="C2026">
            <v>1</v>
          </cell>
          <cell r="D2026" t="e">
            <v>#N/A</v>
          </cell>
          <cell r="E2026">
            <v>2210</v>
          </cell>
          <cell r="F2026" t="str">
            <v>VC01</v>
          </cell>
          <cell r="G2026" t="str">
            <v>Auto</v>
          </cell>
          <cell r="H2026">
            <v>311</v>
          </cell>
          <cell r="I2026">
            <v>2210</v>
          </cell>
          <cell r="J2026">
            <v>2310</v>
          </cell>
          <cell r="K2026" t="str">
            <v>VC01</v>
          </cell>
        </row>
        <row r="2027">
          <cell r="A2027" t="str">
            <v>1VJ1TDA0190XEU</v>
          </cell>
          <cell r="B2027" t="str">
            <v>SMT</v>
          </cell>
          <cell r="C2027">
            <v>1</v>
          </cell>
          <cell r="D2027" t="e">
            <v>#N/A</v>
          </cell>
        </row>
        <row r="2028">
          <cell r="A2028" t="str">
            <v>1CM1TDA0190XEU</v>
          </cell>
          <cell r="B2028" t="str">
            <v>SMT</v>
          </cell>
          <cell r="C2028">
            <v>1</v>
          </cell>
          <cell r="D2028">
            <v>176</v>
          </cell>
        </row>
        <row r="2029">
          <cell r="A2029" t="str">
            <v>1RE2TDA0190XEU</v>
          </cell>
          <cell r="B2029" t="str">
            <v>SMT</v>
          </cell>
          <cell r="C2029">
            <v>1</v>
          </cell>
          <cell r="D2029">
            <v>207</v>
          </cell>
        </row>
        <row r="2030">
          <cell r="A2030" t="str">
            <v>1RH1TDA0190XEU</v>
          </cell>
          <cell r="B2030" t="str">
            <v>SMT</v>
          </cell>
          <cell r="C2030">
            <v>1</v>
          </cell>
          <cell r="D2030">
            <v>1</v>
          </cell>
          <cell r="E2030">
            <v>2210</v>
          </cell>
          <cell r="F2030" t="str">
            <v>VC01</v>
          </cell>
          <cell r="G2030" t="str">
            <v>Auto</v>
          </cell>
          <cell r="H2030">
            <v>311</v>
          </cell>
          <cell r="I2030">
            <v>2210</v>
          </cell>
          <cell r="J2030">
            <v>2310</v>
          </cell>
          <cell r="K2030" t="str">
            <v>VC01</v>
          </cell>
        </row>
        <row r="2031">
          <cell r="A2031" t="str">
            <v>1AP1TDA0190XEU</v>
          </cell>
          <cell r="B2031" t="str">
            <v>DIP</v>
          </cell>
          <cell r="C2031">
            <v>1</v>
          </cell>
          <cell r="D2031" t="e">
            <v>#N/A</v>
          </cell>
          <cell r="E2031">
            <v>2210</v>
          </cell>
          <cell r="F2031" t="str">
            <v>VC01</v>
          </cell>
          <cell r="G2031" t="str">
            <v>Auto</v>
          </cell>
          <cell r="H2031">
            <v>311</v>
          </cell>
          <cell r="I2031">
            <v>2210</v>
          </cell>
          <cell r="J2031">
            <v>2310</v>
          </cell>
          <cell r="K2031" t="str">
            <v>VC01</v>
          </cell>
        </row>
        <row r="2032">
          <cell r="A2032" t="str">
            <v>1VJ1TDA0470XEU</v>
          </cell>
          <cell r="B2032" t="str">
            <v>SMT</v>
          </cell>
          <cell r="C2032">
            <v>1</v>
          </cell>
          <cell r="D2032" t="e">
            <v>#N/A</v>
          </cell>
        </row>
        <row r="2033">
          <cell r="A2033" t="str">
            <v>1VJ2TDA0470XEU</v>
          </cell>
          <cell r="B2033" t="str">
            <v>SMT</v>
          </cell>
          <cell r="C2033">
            <v>1</v>
          </cell>
          <cell r="D2033" t="e">
            <v>#N/A</v>
          </cell>
        </row>
        <row r="2034">
          <cell r="A2034" t="str">
            <v>1RE1TDA0470XEU</v>
          </cell>
          <cell r="B2034" t="str">
            <v>SMT</v>
          </cell>
          <cell r="C2034">
            <v>1</v>
          </cell>
          <cell r="D2034">
            <v>257</v>
          </cell>
        </row>
        <row r="2035">
          <cell r="A2035" t="str">
            <v>1RE2TDA0470XEU</v>
          </cell>
          <cell r="B2035" t="str">
            <v>SMT</v>
          </cell>
          <cell r="C2035">
            <v>1</v>
          </cell>
          <cell r="D2035">
            <v>437</v>
          </cell>
          <cell r="E2035">
            <v>2210</v>
          </cell>
          <cell r="F2035" t="str">
            <v>VC01</v>
          </cell>
          <cell r="G2035" t="str">
            <v>Auto</v>
          </cell>
          <cell r="H2035">
            <v>311</v>
          </cell>
          <cell r="I2035">
            <v>2210</v>
          </cell>
          <cell r="J2035">
            <v>2310</v>
          </cell>
          <cell r="K2035" t="str">
            <v>VC01</v>
          </cell>
        </row>
        <row r="2036">
          <cell r="A2036" t="str">
            <v>1AP1TDA0470XEU</v>
          </cell>
          <cell r="B2036" t="str">
            <v>DIP</v>
          </cell>
          <cell r="C2036">
            <v>1</v>
          </cell>
          <cell r="D2036" t="e">
            <v>#N/A</v>
          </cell>
          <cell r="E2036">
            <v>2210</v>
          </cell>
          <cell r="F2036" t="str">
            <v>VC01</v>
          </cell>
          <cell r="G2036" t="str">
            <v>Auto</v>
          </cell>
          <cell r="H2036">
            <v>311</v>
          </cell>
          <cell r="I2036">
            <v>2210</v>
          </cell>
          <cell r="J2036">
            <v>2310</v>
          </cell>
          <cell r="K2036" t="str">
            <v>VC01</v>
          </cell>
        </row>
        <row r="2037">
          <cell r="A2037" t="str">
            <v>1CM1TDA5180V4</v>
          </cell>
          <cell r="B2037" t="str">
            <v>SMT</v>
          </cell>
          <cell r="C2037">
            <v>1</v>
          </cell>
          <cell r="D2037">
            <v>168</v>
          </cell>
        </row>
        <row r="2038">
          <cell r="A2038" t="str">
            <v>1RE2TDA5180V4</v>
          </cell>
          <cell r="B2038" t="str">
            <v>SMT</v>
          </cell>
          <cell r="C2038">
            <v>1</v>
          </cell>
          <cell r="D2038">
            <v>143</v>
          </cell>
        </row>
        <row r="2039">
          <cell r="A2039" t="str">
            <v>1RH1TDA5180V4</v>
          </cell>
          <cell r="B2039" t="str">
            <v>SMT</v>
          </cell>
          <cell r="C2039">
            <v>1</v>
          </cell>
          <cell r="D2039">
            <v>21</v>
          </cell>
          <cell r="E2039">
            <v>2210</v>
          </cell>
          <cell r="F2039" t="str">
            <v>VC01</v>
          </cell>
          <cell r="G2039" t="str">
            <v>Auto</v>
          </cell>
          <cell r="H2039">
            <v>311</v>
          </cell>
          <cell r="I2039">
            <v>2210</v>
          </cell>
          <cell r="J2039">
            <v>2310</v>
          </cell>
          <cell r="K2039" t="str">
            <v>VC01</v>
          </cell>
        </row>
        <row r="2040">
          <cell r="A2040" t="str">
            <v>1AP1TDA5180V4</v>
          </cell>
          <cell r="B2040" t="str">
            <v>DIP</v>
          </cell>
          <cell r="C2040">
            <v>1</v>
          </cell>
          <cell r="D2040" t="e">
            <v>#N/A</v>
          </cell>
          <cell r="E2040">
            <v>2210</v>
          </cell>
          <cell r="F2040" t="str">
            <v>VC01</v>
          </cell>
          <cell r="G2040" t="str">
            <v>Auto</v>
          </cell>
          <cell r="H2040">
            <v>311</v>
          </cell>
          <cell r="I2040">
            <v>2210</v>
          </cell>
          <cell r="J2040">
            <v>2310</v>
          </cell>
          <cell r="K2040" t="str">
            <v>VC01</v>
          </cell>
        </row>
        <row r="2041">
          <cell r="A2041" t="str">
            <v>1RE1TVA296V4</v>
          </cell>
          <cell r="B2041" t="str">
            <v>SMT</v>
          </cell>
          <cell r="C2041">
            <v>1</v>
          </cell>
          <cell r="D2041">
            <v>96</v>
          </cell>
        </row>
        <row r="2042">
          <cell r="A2042" t="str">
            <v>1RH1TVA296V4</v>
          </cell>
          <cell r="B2042" t="str">
            <v>SMT</v>
          </cell>
          <cell r="C2042">
            <v>1</v>
          </cell>
          <cell r="D2042">
            <v>6</v>
          </cell>
          <cell r="E2042">
            <v>2210</v>
          </cell>
          <cell r="F2042" t="str">
            <v>VC01</v>
          </cell>
          <cell r="G2042" t="str">
            <v>Auto</v>
          </cell>
          <cell r="H2042">
            <v>311</v>
          </cell>
          <cell r="I2042">
            <v>2210</v>
          </cell>
          <cell r="J2042">
            <v>2310</v>
          </cell>
          <cell r="K2042" t="str">
            <v>VC01</v>
          </cell>
        </row>
        <row r="2043">
          <cell r="A2043" t="str">
            <v>1AP1TVA296V4</v>
          </cell>
          <cell r="B2043" t="str">
            <v>DIP</v>
          </cell>
          <cell r="C2043">
            <v>1</v>
          </cell>
          <cell r="D2043" t="e">
            <v>#N/A</v>
          </cell>
          <cell r="E2043">
            <v>2210</v>
          </cell>
          <cell r="F2043" t="str">
            <v>VC01</v>
          </cell>
          <cell r="G2043" t="str">
            <v>Auto</v>
          </cell>
          <cell r="H2043">
            <v>311</v>
          </cell>
          <cell r="I2043">
            <v>2210</v>
          </cell>
          <cell r="J2043">
            <v>2310</v>
          </cell>
          <cell r="K2043" t="str">
            <v>VC01</v>
          </cell>
        </row>
        <row r="2044">
          <cell r="A2044" t="str">
            <v>1VJ1LPUDT111RZA</v>
          </cell>
          <cell r="B2044" t="str">
            <v>SMT</v>
          </cell>
          <cell r="C2044">
            <v>1</v>
          </cell>
          <cell r="D2044" t="e">
            <v>#N/A</v>
          </cell>
        </row>
        <row r="2045">
          <cell r="A2045" t="str">
            <v>1RE1LPUDT111RZA</v>
          </cell>
          <cell r="B2045" t="str">
            <v>SMT</v>
          </cell>
          <cell r="C2045">
            <v>1</v>
          </cell>
          <cell r="D2045">
            <v>15</v>
          </cell>
        </row>
        <row r="2046">
          <cell r="A2046" t="str">
            <v>1RE2LPUDT111RZA</v>
          </cell>
          <cell r="B2046" t="str">
            <v>SMT</v>
          </cell>
          <cell r="C2046">
            <v>1</v>
          </cell>
          <cell r="D2046">
            <v>196</v>
          </cell>
          <cell r="E2046">
            <v>2210</v>
          </cell>
          <cell r="F2046" t="str">
            <v>VC01</v>
          </cell>
          <cell r="G2046" t="str">
            <v>Auto</v>
          </cell>
          <cell r="H2046">
            <v>311</v>
          </cell>
          <cell r="I2046">
            <v>2210</v>
          </cell>
          <cell r="J2046">
            <v>2220</v>
          </cell>
          <cell r="K2046" t="str">
            <v>VC01</v>
          </cell>
        </row>
        <row r="2047">
          <cell r="A2047" t="str">
            <v>1VJ1NS0106XEU</v>
          </cell>
          <cell r="B2047" t="str">
            <v>SMT</v>
          </cell>
          <cell r="C2047">
            <v>1</v>
          </cell>
          <cell r="D2047" t="e">
            <v>#N/A</v>
          </cell>
        </row>
        <row r="2048">
          <cell r="A2048" t="str">
            <v>1RE1NS0106XEU</v>
          </cell>
          <cell r="B2048" t="str">
            <v>SMT</v>
          </cell>
          <cell r="C2048">
            <v>1</v>
          </cell>
          <cell r="D2048">
            <v>145</v>
          </cell>
        </row>
        <row r="2049">
          <cell r="A2049" t="str">
            <v>1RE2NS0106XEU</v>
          </cell>
          <cell r="B2049" t="str">
            <v>SMT</v>
          </cell>
          <cell r="C2049">
            <v>1</v>
          </cell>
          <cell r="D2049">
            <v>131</v>
          </cell>
          <cell r="E2049">
            <v>2210</v>
          </cell>
          <cell r="F2049" t="str">
            <v>VC01</v>
          </cell>
          <cell r="G2049" t="str">
            <v>Auto</v>
          </cell>
          <cell r="H2049">
            <v>311</v>
          </cell>
          <cell r="I2049">
            <v>2210</v>
          </cell>
          <cell r="J2049">
            <v>2310</v>
          </cell>
          <cell r="K2049" t="str">
            <v>VC01</v>
          </cell>
        </row>
        <row r="2050">
          <cell r="A2050" t="str">
            <v>1RE1NS5111</v>
          </cell>
          <cell r="B2050" t="str">
            <v>SMT</v>
          </cell>
          <cell r="C2050">
            <v>1</v>
          </cell>
          <cell r="D2050">
            <v>113</v>
          </cell>
        </row>
        <row r="2051">
          <cell r="A2051" t="str">
            <v>1RE2NS5111</v>
          </cell>
          <cell r="B2051" t="str">
            <v>SMT</v>
          </cell>
          <cell r="C2051">
            <v>1</v>
          </cell>
          <cell r="D2051">
            <v>195</v>
          </cell>
          <cell r="E2051">
            <v>2210</v>
          </cell>
          <cell r="F2051" t="str">
            <v>VC01</v>
          </cell>
          <cell r="G2051" t="str">
            <v>Auto</v>
          </cell>
          <cell r="H2051">
            <v>311</v>
          </cell>
          <cell r="I2051">
            <v>2210</v>
          </cell>
          <cell r="J2051">
            <v>2310</v>
          </cell>
          <cell r="K2051" t="str">
            <v>VC01</v>
          </cell>
        </row>
        <row r="2052">
          <cell r="A2052" t="str">
            <v>1RE1NS5112CN</v>
          </cell>
          <cell r="B2052" t="str">
            <v>SMT</v>
          </cell>
          <cell r="C2052">
            <v>1</v>
          </cell>
          <cell r="D2052">
            <v>206</v>
          </cell>
        </row>
        <row r="2053">
          <cell r="A2053" t="str">
            <v>1RE2NS5112CN</v>
          </cell>
          <cell r="B2053" t="str">
            <v>SMT</v>
          </cell>
          <cell r="C2053">
            <v>1</v>
          </cell>
          <cell r="D2053">
            <v>290</v>
          </cell>
          <cell r="E2053">
            <v>2210</v>
          </cell>
          <cell r="F2053" t="str">
            <v>VC01</v>
          </cell>
          <cell r="G2053" t="str">
            <v>Auto</v>
          </cell>
          <cell r="H2053">
            <v>311</v>
          </cell>
          <cell r="I2053">
            <v>2210</v>
          </cell>
          <cell r="J2053">
            <v>2310</v>
          </cell>
          <cell r="K2053" t="str">
            <v>VC01</v>
          </cell>
        </row>
        <row r="2054">
          <cell r="A2054" t="str">
            <v>1VJ1TDA0191XEU</v>
          </cell>
          <cell r="B2054" t="str">
            <v>SMT</v>
          </cell>
          <cell r="C2054">
            <v>1</v>
          </cell>
          <cell r="D2054" t="e">
            <v>#N/A</v>
          </cell>
        </row>
        <row r="2055">
          <cell r="A2055" t="str">
            <v>1RE1TDA0191XEU</v>
          </cell>
          <cell r="B2055" t="str">
            <v>SMT</v>
          </cell>
          <cell r="C2055">
            <v>1</v>
          </cell>
          <cell r="D2055">
            <v>166</v>
          </cell>
        </row>
        <row r="2056">
          <cell r="A2056" t="str">
            <v>1RE2TDA0191XEU</v>
          </cell>
          <cell r="B2056" t="str">
            <v>SMT</v>
          </cell>
          <cell r="C2056">
            <v>1</v>
          </cell>
          <cell r="D2056">
            <v>162</v>
          </cell>
          <cell r="E2056">
            <v>2210</v>
          </cell>
          <cell r="F2056" t="str">
            <v>VC01</v>
          </cell>
          <cell r="G2056" t="str">
            <v>Auto</v>
          </cell>
          <cell r="H2056">
            <v>311</v>
          </cell>
          <cell r="I2056">
            <v>2210</v>
          </cell>
          <cell r="J2056">
            <v>2310</v>
          </cell>
          <cell r="K2056" t="str">
            <v>VC01</v>
          </cell>
        </row>
        <row r="2057">
          <cell r="A2057" t="str">
            <v>1VJ1TDA0194XEU</v>
          </cell>
          <cell r="B2057" t="str">
            <v>SMT</v>
          </cell>
          <cell r="C2057">
            <v>1</v>
          </cell>
          <cell r="D2057" t="e">
            <v>#N/A</v>
          </cell>
        </row>
        <row r="2058">
          <cell r="A2058" t="str">
            <v>1RE1TDA0194XEU</v>
          </cell>
          <cell r="B2058" t="str">
            <v>SMT</v>
          </cell>
          <cell r="C2058">
            <v>1</v>
          </cell>
          <cell r="D2058">
            <v>165</v>
          </cell>
        </row>
        <row r="2059">
          <cell r="A2059" t="str">
            <v>1RE2TDA0194XEU</v>
          </cell>
          <cell r="B2059" t="str">
            <v>SMT</v>
          </cell>
          <cell r="C2059">
            <v>1</v>
          </cell>
          <cell r="D2059">
            <v>162</v>
          </cell>
          <cell r="E2059">
            <v>2210</v>
          </cell>
          <cell r="F2059" t="str">
            <v>VC01</v>
          </cell>
          <cell r="G2059" t="str">
            <v>Auto</v>
          </cell>
          <cell r="H2059">
            <v>311</v>
          </cell>
          <cell r="I2059">
            <v>2210</v>
          </cell>
          <cell r="J2059">
            <v>2310</v>
          </cell>
          <cell r="K2059" t="str">
            <v>VC01</v>
          </cell>
        </row>
        <row r="2060">
          <cell r="A2060" t="str">
            <v>1RE1TDA0196XEU</v>
          </cell>
          <cell r="B2060" t="str">
            <v>SMT</v>
          </cell>
          <cell r="C2060">
            <v>1</v>
          </cell>
          <cell r="D2060">
            <v>30</v>
          </cell>
        </row>
        <row r="2061">
          <cell r="A2061" t="str">
            <v>1RE2TDA0196XEU</v>
          </cell>
          <cell r="B2061" t="str">
            <v>SMT</v>
          </cell>
          <cell r="C2061">
            <v>1</v>
          </cell>
          <cell r="D2061">
            <v>50</v>
          </cell>
          <cell r="E2061">
            <v>2210</v>
          </cell>
          <cell r="F2061" t="str">
            <v>VC01</v>
          </cell>
          <cell r="G2061" t="str">
            <v>Auto</v>
          </cell>
          <cell r="H2061">
            <v>311</v>
          </cell>
          <cell r="I2061">
            <v>2210</v>
          </cell>
          <cell r="J2061">
            <v>2310</v>
          </cell>
          <cell r="K2061" t="str">
            <v>VC01</v>
          </cell>
        </row>
        <row r="2062">
          <cell r="A2062" t="str">
            <v>VBD880PBBMV1V4</v>
          </cell>
          <cell r="B2062" t="str">
            <v>SMT</v>
          </cell>
          <cell r="C2062">
            <v>1</v>
          </cell>
          <cell r="D2062">
            <v>330</v>
          </cell>
        </row>
        <row r="2063">
          <cell r="A2063" t="str">
            <v>VBD880PBBTVV4</v>
          </cell>
          <cell r="B2063" t="str">
            <v>SMT</v>
          </cell>
          <cell r="C2063">
            <v>1</v>
          </cell>
          <cell r="D2063">
            <v>66</v>
          </cell>
        </row>
        <row r="2064">
          <cell r="A2064" t="str">
            <v>VBD880PBBMV2V4</v>
          </cell>
          <cell r="B2064" t="str">
            <v>SMT</v>
          </cell>
          <cell r="C2064">
            <v>1</v>
          </cell>
          <cell r="D2064">
            <v>80</v>
          </cell>
          <cell r="E2064">
            <v>2210</v>
          </cell>
          <cell r="F2064" t="str">
            <v>VC01</v>
          </cell>
          <cell r="G2064" t="str">
            <v>Auto</v>
          </cell>
          <cell r="H2064">
            <v>311</v>
          </cell>
          <cell r="I2064">
            <v>2210</v>
          </cell>
          <cell r="J2064">
            <v>2310</v>
          </cell>
          <cell r="K2064" t="str">
            <v>VC01</v>
          </cell>
        </row>
        <row r="2065">
          <cell r="A2065" t="str">
            <v>VBD880PBBV4</v>
          </cell>
          <cell r="B2065" t="str">
            <v>DIP</v>
          </cell>
          <cell r="C2065">
            <v>1</v>
          </cell>
          <cell r="D2065" t="e">
            <v>#N/A</v>
          </cell>
          <cell r="E2065">
            <v>2210</v>
          </cell>
          <cell r="F2065" t="str">
            <v>VC01</v>
          </cell>
          <cell r="G2065" t="str">
            <v>Auto</v>
          </cell>
          <cell r="H2065">
            <v>311</v>
          </cell>
          <cell r="I2065">
            <v>2210</v>
          </cell>
          <cell r="J2065">
            <v>2310</v>
          </cell>
          <cell r="K2065" t="str">
            <v>VC01</v>
          </cell>
        </row>
        <row r="2066">
          <cell r="A2066" t="str">
            <v>1RE1NS0112CN</v>
          </cell>
          <cell r="B2066" t="str">
            <v>SMT</v>
          </cell>
          <cell r="C2066">
            <v>1</v>
          </cell>
          <cell r="D2066">
            <v>207</v>
          </cell>
        </row>
        <row r="2067">
          <cell r="A2067" t="str">
            <v>1RE2NS0112CN</v>
          </cell>
          <cell r="B2067" t="str">
            <v>SMT</v>
          </cell>
          <cell r="C2067">
            <v>1</v>
          </cell>
          <cell r="D2067">
            <v>290</v>
          </cell>
          <cell r="E2067">
            <v>2210</v>
          </cell>
          <cell r="F2067" t="str">
            <v>VC01</v>
          </cell>
          <cell r="G2067" t="str">
            <v>Auto</v>
          </cell>
          <cell r="H2067">
            <v>311</v>
          </cell>
          <cell r="I2067">
            <v>2210</v>
          </cell>
          <cell r="J2067">
            <v>2310</v>
          </cell>
          <cell r="K2067" t="str">
            <v>VC01</v>
          </cell>
        </row>
        <row r="2068">
          <cell r="A2068" t="str">
            <v>1VI1TDA0290V4</v>
          </cell>
          <cell r="B2068" t="str">
            <v>SMT</v>
          </cell>
          <cell r="C2068">
            <v>1</v>
          </cell>
          <cell r="D2068" t="e">
            <v>#N/A</v>
          </cell>
        </row>
        <row r="2069">
          <cell r="A2069" t="str">
            <v>1RE1TDA0290V4</v>
          </cell>
          <cell r="B2069" t="str">
            <v>SMT</v>
          </cell>
          <cell r="C2069">
            <v>1</v>
          </cell>
          <cell r="D2069">
            <v>482</v>
          </cell>
        </row>
        <row r="2070">
          <cell r="A2070" t="str">
            <v>1RH1TDA0290V4</v>
          </cell>
          <cell r="B2070" t="str">
            <v>SMT</v>
          </cell>
          <cell r="C2070">
            <v>1</v>
          </cell>
          <cell r="D2070">
            <v>6</v>
          </cell>
          <cell r="E2070">
            <v>2210</v>
          </cell>
          <cell r="F2070" t="str">
            <v>VC01</v>
          </cell>
          <cell r="G2070" t="str">
            <v>Auto</v>
          </cell>
          <cell r="H2070">
            <v>311</v>
          </cell>
          <cell r="I2070">
            <v>2210</v>
          </cell>
          <cell r="J2070">
            <v>2310</v>
          </cell>
          <cell r="K2070" t="str">
            <v>VC01</v>
          </cell>
        </row>
        <row r="2071">
          <cell r="A2071" t="str">
            <v>1AP1TDA0290V4</v>
          </cell>
          <cell r="B2071" t="str">
            <v>DIP</v>
          </cell>
          <cell r="C2071">
            <v>1</v>
          </cell>
          <cell r="D2071" t="e">
            <v>#N/A</v>
          </cell>
          <cell r="E2071">
            <v>2210</v>
          </cell>
          <cell r="F2071" t="str">
            <v>VC01</v>
          </cell>
          <cell r="G2071" t="str">
            <v>Auto</v>
          </cell>
          <cell r="H2071">
            <v>311</v>
          </cell>
          <cell r="I2071">
            <v>2210</v>
          </cell>
          <cell r="J2071">
            <v>2310</v>
          </cell>
          <cell r="K2071" t="str">
            <v>VC01</v>
          </cell>
        </row>
        <row r="2072">
          <cell r="A2072" t="str">
            <v>1VI1LPSL3066M-S1</v>
          </cell>
          <cell r="B2072" t="str">
            <v>SMT</v>
          </cell>
          <cell r="C2072">
            <v>1</v>
          </cell>
          <cell r="D2072" t="e">
            <v>#N/A</v>
          </cell>
        </row>
        <row r="2073">
          <cell r="A2073" t="str">
            <v>1RE1LPSL3056M-S1</v>
          </cell>
          <cell r="B2073" t="str">
            <v>SMT</v>
          </cell>
          <cell r="C2073">
            <v>1</v>
          </cell>
          <cell r="D2073">
            <v>595</v>
          </cell>
        </row>
        <row r="2074">
          <cell r="A2074" t="str">
            <v>1RE2LPSL3056M-S1</v>
          </cell>
          <cell r="B2074" t="str">
            <v>SMT</v>
          </cell>
          <cell r="C2074">
            <v>1</v>
          </cell>
          <cell r="D2074">
            <v>546</v>
          </cell>
        </row>
        <row r="2075">
          <cell r="A2075" t="str">
            <v>1RE1LPSL3066M-S1</v>
          </cell>
          <cell r="B2075" t="str">
            <v>SMT</v>
          </cell>
          <cell r="C2075">
            <v>1</v>
          </cell>
          <cell r="D2075">
            <v>618</v>
          </cell>
        </row>
        <row r="2076">
          <cell r="A2076" t="str">
            <v>1RE2LPSL3066M-S1</v>
          </cell>
          <cell r="B2076" t="str">
            <v>SMT</v>
          </cell>
          <cell r="C2076">
            <v>1</v>
          </cell>
          <cell r="D2076">
            <v>591</v>
          </cell>
        </row>
        <row r="2077">
          <cell r="A2077" t="str">
            <v>1RE1NCP1174XJ</v>
          </cell>
          <cell r="B2077" t="str">
            <v>SMT</v>
          </cell>
          <cell r="C2077">
            <v>1</v>
          </cell>
          <cell r="D2077">
            <v>211</v>
          </cell>
        </row>
        <row r="2078">
          <cell r="A2078" t="str">
            <v>1RE2NCP1174XJ</v>
          </cell>
          <cell r="B2078" t="str">
            <v>SMT</v>
          </cell>
          <cell r="C2078">
            <v>1</v>
          </cell>
          <cell r="D2078">
            <v>441</v>
          </cell>
        </row>
        <row r="2079">
          <cell r="A2079" t="str">
            <v>1RH1NCP1174XJ</v>
          </cell>
          <cell r="B2079" t="str">
            <v>SMT</v>
          </cell>
          <cell r="C2079">
            <v>1</v>
          </cell>
          <cell r="D2079">
            <v>101</v>
          </cell>
          <cell r="E2079">
            <v>2210</v>
          </cell>
          <cell r="F2079" t="str">
            <v>VC01</v>
          </cell>
          <cell r="G2079" t="str">
            <v>Auto</v>
          </cell>
          <cell r="H2079">
            <v>311</v>
          </cell>
          <cell r="I2079">
            <v>2210</v>
          </cell>
          <cell r="J2079">
            <v>2310</v>
          </cell>
          <cell r="K2079" t="str">
            <v>VC01</v>
          </cell>
        </row>
        <row r="2080">
          <cell r="A2080" t="str">
            <v>1AP1NCP1174XJ</v>
          </cell>
          <cell r="B2080" t="str">
            <v>DIP</v>
          </cell>
          <cell r="C2080">
            <v>1</v>
          </cell>
          <cell r="D2080" t="e">
            <v>#N/A</v>
          </cell>
          <cell r="E2080">
            <v>2210</v>
          </cell>
          <cell r="F2080" t="str">
            <v>VC01</v>
          </cell>
          <cell r="G2080" t="str">
            <v>Auto</v>
          </cell>
          <cell r="H2080">
            <v>311</v>
          </cell>
          <cell r="I2080">
            <v>2210</v>
          </cell>
          <cell r="J2080">
            <v>2310</v>
          </cell>
          <cell r="K2080" t="str">
            <v>VC01</v>
          </cell>
        </row>
        <row r="2081">
          <cell r="A2081" t="str">
            <v>1RE1NCP1180X</v>
          </cell>
          <cell r="B2081" t="str">
            <v>SMT</v>
          </cell>
          <cell r="C2081">
            <v>1</v>
          </cell>
          <cell r="D2081">
            <v>224</v>
          </cell>
        </row>
        <row r="2082">
          <cell r="A2082" t="str">
            <v>1RE2NCP1180X</v>
          </cell>
          <cell r="B2082" t="str">
            <v>SMT</v>
          </cell>
          <cell r="C2082">
            <v>1</v>
          </cell>
          <cell r="D2082">
            <v>319</v>
          </cell>
        </row>
        <row r="2083">
          <cell r="A2083" t="str">
            <v>1RH1NCP1180X</v>
          </cell>
          <cell r="B2083" t="str">
            <v>SMT</v>
          </cell>
          <cell r="C2083">
            <v>1</v>
          </cell>
          <cell r="D2083">
            <v>21</v>
          </cell>
          <cell r="E2083">
            <v>2210</v>
          </cell>
          <cell r="F2083" t="str">
            <v>VC01</v>
          </cell>
          <cell r="G2083" t="str">
            <v>Auto</v>
          </cell>
          <cell r="H2083">
            <v>311</v>
          </cell>
          <cell r="I2083">
            <v>2210</v>
          </cell>
          <cell r="J2083">
            <v>2310</v>
          </cell>
          <cell r="K2083" t="str">
            <v>VC01</v>
          </cell>
        </row>
        <row r="2084">
          <cell r="A2084" t="str">
            <v>1AP1NCP1180X</v>
          </cell>
          <cell r="B2084" t="str">
            <v>DIP</v>
          </cell>
          <cell r="C2084">
            <v>1</v>
          </cell>
          <cell r="D2084" t="e">
            <v>#N/A</v>
          </cell>
          <cell r="E2084">
            <v>2210</v>
          </cell>
          <cell r="F2084" t="str">
            <v>VC01</v>
          </cell>
          <cell r="G2084" t="str">
            <v>Auto</v>
          </cell>
          <cell r="H2084">
            <v>311</v>
          </cell>
          <cell r="I2084">
            <v>2210</v>
          </cell>
          <cell r="J2084">
            <v>2310</v>
          </cell>
          <cell r="K2084" t="str">
            <v>VC01</v>
          </cell>
        </row>
        <row r="2085">
          <cell r="A2085" t="str">
            <v>1RE1NS5180BR</v>
          </cell>
          <cell r="B2085" t="str">
            <v>SMT</v>
          </cell>
          <cell r="C2085">
            <v>1</v>
          </cell>
          <cell r="D2085">
            <v>166</v>
          </cell>
        </row>
        <row r="2086">
          <cell r="A2086" t="str">
            <v>1RE2NS5180BR</v>
          </cell>
          <cell r="B2086" t="str">
            <v>SMT</v>
          </cell>
          <cell r="C2086">
            <v>1</v>
          </cell>
          <cell r="D2086">
            <v>380</v>
          </cell>
        </row>
        <row r="2087">
          <cell r="A2087" t="str">
            <v>1RH1NS5180BR</v>
          </cell>
          <cell r="B2087" t="str">
            <v>SMT</v>
          </cell>
          <cell r="C2087">
            <v>1</v>
          </cell>
          <cell r="D2087">
            <v>7</v>
          </cell>
          <cell r="E2087">
            <v>2210</v>
          </cell>
          <cell r="F2087" t="str">
            <v>VC01</v>
          </cell>
          <cell r="G2087" t="str">
            <v>Auto</v>
          </cell>
          <cell r="H2087">
            <v>311</v>
          </cell>
          <cell r="I2087">
            <v>2210</v>
          </cell>
          <cell r="J2087">
            <v>2310</v>
          </cell>
          <cell r="K2087" t="str">
            <v>VC01</v>
          </cell>
        </row>
        <row r="2088">
          <cell r="A2088" t="str">
            <v>1AP1NS5180BR</v>
          </cell>
          <cell r="B2088" t="str">
            <v>DIP</v>
          </cell>
          <cell r="C2088">
            <v>1</v>
          </cell>
          <cell r="D2088" t="e">
            <v>#N/A</v>
          </cell>
          <cell r="E2088">
            <v>2210</v>
          </cell>
          <cell r="F2088" t="str">
            <v>VC01</v>
          </cell>
          <cell r="G2088" t="str">
            <v>Auto</v>
          </cell>
          <cell r="H2088">
            <v>311</v>
          </cell>
          <cell r="I2088">
            <v>2210</v>
          </cell>
          <cell r="J2088">
            <v>2310</v>
          </cell>
          <cell r="K2088" t="str">
            <v>VC01</v>
          </cell>
        </row>
        <row r="2089">
          <cell r="A2089" t="str">
            <v>1VJ1TDA0177XEU</v>
          </cell>
          <cell r="B2089" t="str">
            <v>SMT</v>
          </cell>
          <cell r="C2089">
            <v>1</v>
          </cell>
          <cell r="D2089" t="e">
            <v>#N/A</v>
          </cell>
        </row>
        <row r="2090">
          <cell r="A2090" t="str">
            <v>1RE1TDA0177XEU</v>
          </cell>
          <cell r="B2090" t="str">
            <v>SMT</v>
          </cell>
          <cell r="C2090">
            <v>1</v>
          </cell>
          <cell r="D2090">
            <v>239</v>
          </cell>
        </row>
        <row r="2091">
          <cell r="A2091" t="str">
            <v>1RE2TDA0177XEU</v>
          </cell>
          <cell r="B2091" t="str">
            <v>SMT</v>
          </cell>
          <cell r="C2091">
            <v>1</v>
          </cell>
          <cell r="D2091">
            <v>456</v>
          </cell>
        </row>
        <row r="2092">
          <cell r="A2092" t="str">
            <v>1RH1TDA0177XEU</v>
          </cell>
          <cell r="B2092" t="str">
            <v>SMT</v>
          </cell>
          <cell r="C2092">
            <v>1</v>
          </cell>
          <cell r="D2092">
            <v>101</v>
          </cell>
          <cell r="E2092">
            <v>2210</v>
          </cell>
          <cell r="F2092" t="str">
            <v>VC01</v>
          </cell>
          <cell r="G2092" t="str">
            <v>Auto</v>
          </cell>
          <cell r="H2092">
            <v>311</v>
          </cell>
          <cell r="I2092">
            <v>2210</v>
          </cell>
          <cell r="J2092">
            <v>2310</v>
          </cell>
          <cell r="K2092" t="str">
            <v>VC01</v>
          </cell>
        </row>
        <row r="2093">
          <cell r="A2093" t="str">
            <v>1AP1TDA0177XEU</v>
          </cell>
          <cell r="B2093" t="str">
            <v>DIP</v>
          </cell>
          <cell r="C2093">
            <v>1</v>
          </cell>
          <cell r="D2093" t="e">
            <v>#N/A</v>
          </cell>
          <cell r="E2093">
            <v>2210</v>
          </cell>
          <cell r="F2093" t="str">
            <v>VC01</v>
          </cell>
          <cell r="G2093" t="str">
            <v>Auto</v>
          </cell>
          <cell r="H2093">
            <v>311</v>
          </cell>
          <cell r="I2093">
            <v>2210</v>
          </cell>
          <cell r="J2093">
            <v>2310</v>
          </cell>
          <cell r="K2093" t="str">
            <v>VC01</v>
          </cell>
        </row>
        <row r="2094">
          <cell r="A2094" t="str">
            <v>1RE1TDA0180NEV4</v>
          </cell>
          <cell r="B2094" t="str">
            <v>SMT</v>
          </cell>
          <cell r="C2094">
            <v>1</v>
          </cell>
          <cell r="D2094">
            <v>440</v>
          </cell>
        </row>
        <row r="2095">
          <cell r="A2095" t="str">
            <v>1RH1TDA0180NEV4</v>
          </cell>
          <cell r="B2095" t="str">
            <v>SMT</v>
          </cell>
          <cell r="C2095">
            <v>1</v>
          </cell>
          <cell r="D2095">
            <v>41</v>
          </cell>
        </row>
        <row r="2096">
          <cell r="A2096" t="str">
            <v>1CM1TDA0180NEV4</v>
          </cell>
          <cell r="B2096" t="str">
            <v>SMT</v>
          </cell>
          <cell r="C2096">
            <v>1</v>
          </cell>
          <cell r="D2096">
            <v>275</v>
          </cell>
          <cell r="E2096">
            <v>2210</v>
          </cell>
          <cell r="F2096" t="str">
            <v>VC01</v>
          </cell>
          <cell r="G2096" t="str">
            <v>Auto</v>
          </cell>
          <cell r="H2096">
            <v>311</v>
          </cell>
          <cell r="I2096">
            <v>2210</v>
          </cell>
          <cell r="J2096">
            <v>2310</v>
          </cell>
          <cell r="K2096" t="str">
            <v>VC01</v>
          </cell>
        </row>
        <row r="2097">
          <cell r="A2097" t="str">
            <v>1AP1TDA0180NEV4</v>
          </cell>
          <cell r="B2097" t="str">
            <v>DIP</v>
          </cell>
          <cell r="C2097">
            <v>1</v>
          </cell>
          <cell r="D2097" t="e">
            <v>#N/A</v>
          </cell>
          <cell r="E2097">
            <v>2210</v>
          </cell>
          <cell r="F2097" t="str">
            <v>VC01</v>
          </cell>
          <cell r="G2097" t="str">
            <v>Auto</v>
          </cell>
          <cell r="H2097">
            <v>311</v>
          </cell>
          <cell r="I2097">
            <v>2210</v>
          </cell>
          <cell r="J2097">
            <v>2310</v>
          </cell>
          <cell r="K2097" t="str">
            <v>VC01</v>
          </cell>
        </row>
        <row r="2098">
          <cell r="A2098" t="str">
            <v>1RE1TDA0181XSX</v>
          </cell>
          <cell r="B2098" t="str">
            <v>SMT</v>
          </cell>
          <cell r="C2098">
            <v>1</v>
          </cell>
          <cell r="D2098">
            <v>878</v>
          </cell>
        </row>
        <row r="2099">
          <cell r="A2099" t="str">
            <v>1RE2TDA0181XSX</v>
          </cell>
          <cell r="B2099" t="str">
            <v>SMT</v>
          </cell>
          <cell r="C2099">
            <v>1</v>
          </cell>
          <cell r="D2099">
            <v>446</v>
          </cell>
          <cell r="E2099">
            <v>2210</v>
          </cell>
          <cell r="F2099" t="str">
            <v>VC01</v>
          </cell>
          <cell r="G2099" t="str">
            <v>Auto</v>
          </cell>
          <cell r="H2099">
            <v>311</v>
          </cell>
          <cell r="I2099">
            <v>2210</v>
          </cell>
          <cell r="J2099">
            <v>2310</v>
          </cell>
          <cell r="K2099" t="str">
            <v>VC01</v>
          </cell>
        </row>
        <row r="2100">
          <cell r="A2100" t="str">
            <v>1AP1TDA0181XSX</v>
          </cell>
          <cell r="B2100" t="str">
            <v>DIP</v>
          </cell>
          <cell r="C2100">
            <v>1</v>
          </cell>
          <cell r="D2100" t="e">
            <v>#N/A</v>
          </cell>
          <cell r="E2100">
            <v>2210</v>
          </cell>
          <cell r="F2100" t="str">
            <v>VC01</v>
          </cell>
          <cell r="G2100" t="str">
            <v>Auto</v>
          </cell>
          <cell r="H2100">
            <v>311</v>
          </cell>
          <cell r="I2100">
            <v>2210</v>
          </cell>
          <cell r="J2100">
            <v>2310</v>
          </cell>
          <cell r="K2100" t="str">
            <v>VC01</v>
          </cell>
        </row>
        <row r="2101">
          <cell r="A2101" t="str">
            <v>1VJ1TDA6175V4</v>
          </cell>
          <cell r="B2101" t="str">
            <v>SMT</v>
          </cell>
          <cell r="C2101">
            <v>1</v>
          </cell>
          <cell r="D2101" t="e">
            <v>#N/A</v>
          </cell>
        </row>
        <row r="2102">
          <cell r="A2102" t="str">
            <v>1CM1TDA6175V4</v>
          </cell>
          <cell r="B2102" t="str">
            <v>SMT</v>
          </cell>
          <cell r="C2102">
            <v>1</v>
          </cell>
          <cell r="D2102">
            <v>204</v>
          </cell>
        </row>
        <row r="2103">
          <cell r="A2103" t="str">
            <v>1RE2TDA6175V4</v>
          </cell>
          <cell r="B2103" t="str">
            <v>SMT</v>
          </cell>
          <cell r="C2103">
            <v>1</v>
          </cell>
          <cell r="D2103">
            <v>502</v>
          </cell>
        </row>
        <row r="2104">
          <cell r="A2104" t="str">
            <v>1RH1TDA6175V4</v>
          </cell>
          <cell r="B2104" t="str">
            <v>SMT</v>
          </cell>
          <cell r="C2104">
            <v>1</v>
          </cell>
          <cell r="D2104">
            <v>117</v>
          </cell>
          <cell r="E2104">
            <v>2210</v>
          </cell>
          <cell r="F2104" t="str">
            <v>VC01</v>
          </cell>
          <cell r="G2104" t="str">
            <v>Auto</v>
          </cell>
          <cell r="H2104">
            <v>311</v>
          </cell>
          <cell r="I2104">
            <v>2210</v>
          </cell>
          <cell r="J2104">
            <v>2310</v>
          </cell>
          <cell r="K2104" t="str">
            <v>VC01</v>
          </cell>
        </row>
        <row r="2105">
          <cell r="A2105" t="str">
            <v>1AP1TDA6175V4</v>
          </cell>
          <cell r="B2105" t="str">
            <v>DIP</v>
          </cell>
          <cell r="C2105">
            <v>1</v>
          </cell>
          <cell r="D2105" t="e">
            <v>#N/A</v>
          </cell>
          <cell r="E2105">
            <v>2210</v>
          </cell>
          <cell r="F2105" t="str">
            <v>VC01</v>
          </cell>
          <cell r="G2105" t="str">
            <v>Auto</v>
          </cell>
          <cell r="H2105">
            <v>311</v>
          </cell>
          <cell r="I2105">
            <v>2210</v>
          </cell>
          <cell r="J2105">
            <v>2310</v>
          </cell>
          <cell r="K2105" t="str">
            <v>VC01</v>
          </cell>
        </row>
        <row r="2106">
          <cell r="A2106" t="str">
            <v>1VJ1TDA6181ALV4</v>
          </cell>
          <cell r="B2106" t="str">
            <v>SMT</v>
          </cell>
          <cell r="C2106">
            <v>1</v>
          </cell>
          <cell r="D2106" t="e">
            <v>#N/A</v>
          </cell>
        </row>
        <row r="2107">
          <cell r="A2107" t="str">
            <v>1RE1TDA6181ALV4</v>
          </cell>
          <cell r="B2107" t="str">
            <v>SMT</v>
          </cell>
          <cell r="C2107">
            <v>1</v>
          </cell>
          <cell r="D2107">
            <v>751</v>
          </cell>
        </row>
        <row r="2108">
          <cell r="A2108" t="str">
            <v>1RE2TDA6181ALV4</v>
          </cell>
          <cell r="B2108" t="str">
            <v>SMT</v>
          </cell>
          <cell r="C2108">
            <v>1</v>
          </cell>
          <cell r="D2108">
            <v>540</v>
          </cell>
        </row>
        <row r="2109">
          <cell r="A2109" t="str">
            <v>1RH1TDA6181ALV4</v>
          </cell>
          <cell r="B2109" t="str">
            <v>SMT</v>
          </cell>
          <cell r="C2109">
            <v>1</v>
          </cell>
          <cell r="D2109">
            <v>0</v>
          </cell>
          <cell r="E2109">
            <v>2210</v>
          </cell>
          <cell r="F2109" t="str">
            <v>VC01</v>
          </cell>
          <cell r="G2109" t="str">
            <v>Auto</v>
          </cell>
          <cell r="H2109">
            <v>311</v>
          </cell>
          <cell r="I2109">
            <v>2210</v>
          </cell>
          <cell r="J2109">
            <v>2310</v>
          </cell>
          <cell r="K2109" t="str">
            <v>VC01</v>
          </cell>
        </row>
        <row r="2110">
          <cell r="A2110" t="str">
            <v>1AP1TDA6181ALV4</v>
          </cell>
          <cell r="B2110" t="str">
            <v>DIP</v>
          </cell>
          <cell r="C2110">
            <v>1</v>
          </cell>
          <cell r="D2110" t="e">
            <v>#N/A</v>
          </cell>
          <cell r="E2110">
            <v>2210</v>
          </cell>
          <cell r="F2110" t="str">
            <v>VC01</v>
          </cell>
          <cell r="G2110" t="str">
            <v>Auto</v>
          </cell>
          <cell r="H2110">
            <v>311</v>
          </cell>
          <cell r="I2110">
            <v>2210</v>
          </cell>
          <cell r="J2110">
            <v>2310</v>
          </cell>
          <cell r="K2110" t="str">
            <v>VC01</v>
          </cell>
        </row>
        <row r="2111">
          <cell r="A2111" t="str">
            <v>1RE1LPNS0110XZA</v>
          </cell>
          <cell r="B2111" t="str">
            <v>SMT</v>
          </cell>
          <cell r="C2111">
            <v>1</v>
          </cell>
          <cell r="D2111">
            <v>114</v>
          </cell>
        </row>
        <row r="2112">
          <cell r="A2112" t="str">
            <v>1RE2LPNS0110XZA</v>
          </cell>
          <cell r="B2112" t="str">
            <v>SMT</v>
          </cell>
          <cell r="C2112">
            <v>1</v>
          </cell>
          <cell r="D2112">
            <v>195</v>
          </cell>
          <cell r="E2112">
            <v>2210</v>
          </cell>
          <cell r="F2112" t="str">
            <v>VC01</v>
          </cell>
          <cell r="G2112" t="str">
            <v>Auto</v>
          </cell>
          <cell r="H2112">
            <v>311</v>
          </cell>
          <cell r="I2112">
            <v>2210</v>
          </cell>
          <cell r="J2112">
            <v>2310</v>
          </cell>
          <cell r="K2112" t="str">
            <v>VC01</v>
          </cell>
        </row>
        <row r="2113">
          <cell r="A2113" t="str">
            <v>1RE1NS5111SX</v>
          </cell>
          <cell r="B2113" t="str">
            <v>SMT</v>
          </cell>
          <cell r="C2113">
            <v>1</v>
          </cell>
          <cell r="D2113">
            <v>113</v>
          </cell>
        </row>
        <row r="2114">
          <cell r="A2114" t="str">
            <v>1RE2NS5111SX</v>
          </cell>
          <cell r="B2114" t="str">
            <v>SMT</v>
          </cell>
          <cell r="C2114">
            <v>1</v>
          </cell>
          <cell r="D2114">
            <v>195</v>
          </cell>
          <cell r="E2114">
            <v>2210</v>
          </cell>
          <cell r="F2114" t="str">
            <v>VC01</v>
          </cell>
          <cell r="G2114" t="str">
            <v>Auto</v>
          </cell>
          <cell r="H2114">
            <v>311</v>
          </cell>
          <cell r="I2114">
            <v>2210</v>
          </cell>
          <cell r="J2114">
            <v>2310</v>
          </cell>
          <cell r="K2114" t="str">
            <v>VC01</v>
          </cell>
        </row>
        <row r="2115">
          <cell r="A2115" t="str">
            <v>1RE1TDA5168V4</v>
          </cell>
          <cell r="B2115" t="str">
            <v>SMT</v>
          </cell>
          <cell r="C2115">
            <v>1</v>
          </cell>
          <cell r="D2115">
            <v>29</v>
          </cell>
        </row>
        <row r="2116">
          <cell r="A2116" t="str">
            <v>1RE2TDA5168V4</v>
          </cell>
          <cell r="B2116" t="str">
            <v>SMT</v>
          </cell>
          <cell r="C2116">
            <v>1</v>
          </cell>
          <cell r="D2116">
            <v>65</v>
          </cell>
          <cell r="E2116">
            <v>2210</v>
          </cell>
          <cell r="F2116" t="str">
            <v>VC01</v>
          </cell>
          <cell r="G2116" t="str">
            <v>Auto</v>
          </cell>
          <cell r="H2116">
            <v>311</v>
          </cell>
          <cell r="I2116">
            <v>2210</v>
          </cell>
          <cell r="J2116">
            <v>2310</v>
          </cell>
          <cell r="K2116" t="str">
            <v>VC01</v>
          </cell>
        </row>
        <row r="2117">
          <cell r="A2117" t="str">
            <v>1RE1TDA6111XEU</v>
          </cell>
          <cell r="B2117" t="str">
            <v>SMT</v>
          </cell>
          <cell r="C2117">
            <v>1</v>
          </cell>
          <cell r="D2117">
            <v>32</v>
          </cell>
        </row>
        <row r="2118">
          <cell r="A2118" t="str">
            <v>1RE2TDA6111XEU</v>
          </cell>
          <cell r="B2118" t="str">
            <v>SMT</v>
          </cell>
          <cell r="C2118">
            <v>1</v>
          </cell>
          <cell r="D2118">
            <v>65</v>
          </cell>
          <cell r="E2118">
            <v>2210</v>
          </cell>
          <cell r="F2118" t="str">
            <v>VC01</v>
          </cell>
          <cell r="G2118" t="str">
            <v>Auto</v>
          </cell>
          <cell r="H2118">
            <v>311</v>
          </cell>
          <cell r="I2118">
            <v>2210</v>
          </cell>
          <cell r="J2118">
            <v>2310</v>
          </cell>
          <cell r="K2118" t="str">
            <v>VC01</v>
          </cell>
        </row>
        <row r="2119">
          <cell r="A2119" t="str">
            <v>1RE1TDE0110CN</v>
          </cell>
          <cell r="B2119" t="str">
            <v>SMT</v>
          </cell>
          <cell r="C2119">
            <v>1</v>
          </cell>
          <cell r="D2119">
            <v>127</v>
          </cell>
        </row>
        <row r="2120">
          <cell r="A2120" t="str">
            <v>1RE2TDE0110CN</v>
          </cell>
          <cell r="B2120" t="str">
            <v>SMT</v>
          </cell>
          <cell r="C2120">
            <v>1</v>
          </cell>
          <cell r="D2120">
            <v>116</v>
          </cell>
          <cell r="E2120">
            <v>2210</v>
          </cell>
          <cell r="F2120" t="str">
            <v>VC01</v>
          </cell>
          <cell r="G2120" t="str">
            <v>Auto</v>
          </cell>
          <cell r="H2120">
            <v>311</v>
          </cell>
          <cell r="I2120">
            <v>2210</v>
          </cell>
          <cell r="J2120">
            <v>2310</v>
          </cell>
          <cell r="K2120" t="str">
            <v>VC01</v>
          </cell>
        </row>
        <row r="2121">
          <cell r="A2121" t="str">
            <v>2CM1LPSL3066F-S1</v>
          </cell>
          <cell r="B2121" t="str">
            <v>SMT</v>
          </cell>
          <cell r="C2121">
            <v>1</v>
          </cell>
          <cell r="D2121">
            <v>9</v>
          </cell>
        </row>
        <row r="2122">
          <cell r="A2122" t="str">
            <v>2AP1LPSL3066F-S1</v>
          </cell>
          <cell r="B2122" t="str">
            <v>DIP</v>
          </cell>
          <cell r="C2122">
            <v>1</v>
          </cell>
          <cell r="D2122" t="e">
            <v>#N/A</v>
          </cell>
          <cell r="E2122">
            <v>2210</v>
          </cell>
        </row>
        <row r="2123">
          <cell r="A2123" t="str">
            <v>4RH1LPSL3066G-S1</v>
          </cell>
          <cell r="B2123" t="str">
            <v>SMT</v>
          </cell>
          <cell r="C2123">
            <v>1</v>
          </cell>
          <cell r="D2123">
            <v>5</v>
          </cell>
        </row>
        <row r="2124">
          <cell r="A2124" t="str">
            <v>4CM1LPSL3066G-S1</v>
          </cell>
          <cell r="B2124" t="str">
            <v>SMT</v>
          </cell>
          <cell r="C2124">
            <v>1</v>
          </cell>
          <cell r="D2124">
            <v>45</v>
          </cell>
        </row>
        <row r="2125">
          <cell r="A2125" t="str">
            <v>4AP1LPSL3066G-S1</v>
          </cell>
          <cell r="B2125" t="str">
            <v>DIP</v>
          </cell>
          <cell r="C2125">
            <v>1</v>
          </cell>
          <cell r="D2125" t="e">
            <v>#N/A</v>
          </cell>
          <cell r="E2125">
            <v>2210</v>
          </cell>
        </row>
        <row r="2126">
          <cell r="A2126" t="str">
            <v>5CM1LPSL3066S-S1</v>
          </cell>
          <cell r="B2126" t="str">
            <v>SMT</v>
          </cell>
          <cell r="C2126">
            <v>1</v>
          </cell>
          <cell r="D2126">
            <v>28</v>
          </cell>
        </row>
        <row r="2127">
          <cell r="A2127" t="str">
            <v>5AP1LPSL3066S-S1</v>
          </cell>
          <cell r="B2127" t="str">
            <v>DIP</v>
          </cell>
          <cell r="C2127">
            <v>1</v>
          </cell>
          <cell r="D2127" t="e">
            <v>#N/A</v>
          </cell>
          <cell r="E2127">
            <v>2210</v>
          </cell>
        </row>
        <row r="2128">
          <cell r="A2128" t="str">
            <v>1VJ1LP2595ZA</v>
          </cell>
          <cell r="B2128" t="str">
            <v>SMT</v>
          </cell>
          <cell r="C2128">
            <v>1</v>
          </cell>
          <cell r="D2128" t="e">
            <v>#N/A</v>
          </cell>
        </row>
        <row r="2129">
          <cell r="A2129" t="str">
            <v>1RE1LP2595ZA</v>
          </cell>
          <cell r="B2129" t="str">
            <v>SMT</v>
          </cell>
          <cell r="C2129">
            <v>1</v>
          </cell>
          <cell r="D2129">
            <v>545</v>
          </cell>
        </row>
        <row r="2130">
          <cell r="A2130" t="str">
            <v>1RE2LP2595ZA</v>
          </cell>
          <cell r="B2130" t="str">
            <v>SMT</v>
          </cell>
          <cell r="C2130">
            <v>1</v>
          </cell>
          <cell r="D2130">
            <v>643</v>
          </cell>
        </row>
        <row r="2131">
          <cell r="A2131" t="str">
            <v>1RH1LP2595ZA</v>
          </cell>
          <cell r="B2131" t="str">
            <v>SMT</v>
          </cell>
          <cell r="C2131">
            <v>1</v>
          </cell>
          <cell r="D2131">
            <v>15</v>
          </cell>
          <cell r="E2131">
            <v>2210</v>
          </cell>
          <cell r="F2131" t="str">
            <v>VC01</v>
          </cell>
          <cell r="G2131" t="str">
            <v>Auto</v>
          </cell>
          <cell r="H2131">
            <v>311</v>
          </cell>
          <cell r="I2131">
            <v>2210</v>
          </cell>
          <cell r="J2131">
            <v>2310</v>
          </cell>
          <cell r="K2131" t="str">
            <v>VC01</v>
          </cell>
        </row>
        <row r="2132">
          <cell r="A2132" t="str">
            <v>1AP1LP2595ZA</v>
          </cell>
          <cell r="B2132" t="str">
            <v>DIP</v>
          </cell>
          <cell r="C2132">
            <v>1</v>
          </cell>
          <cell r="D2132" t="e">
            <v>#N/A</v>
          </cell>
          <cell r="E2132">
            <v>2210</v>
          </cell>
          <cell r="F2132" t="str">
            <v>VC01</v>
          </cell>
          <cell r="G2132" t="str">
            <v>Auto</v>
          </cell>
          <cell r="H2132">
            <v>311</v>
          </cell>
          <cell r="I2132">
            <v>2210</v>
          </cell>
          <cell r="J2132">
            <v>2310</v>
          </cell>
          <cell r="K2132" t="str">
            <v>VC01</v>
          </cell>
        </row>
        <row r="2133">
          <cell r="A2133" t="str">
            <v>1RE1NCP1280XJ</v>
          </cell>
          <cell r="B2133" t="str">
            <v>SMT</v>
          </cell>
          <cell r="C2133">
            <v>1</v>
          </cell>
          <cell r="D2133">
            <v>55</v>
          </cell>
        </row>
        <row r="2134">
          <cell r="A2134" t="str">
            <v>1RE2NCP1280XJ</v>
          </cell>
          <cell r="B2134" t="str">
            <v>SMT</v>
          </cell>
          <cell r="C2134">
            <v>1</v>
          </cell>
          <cell r="D2134">
            <v>327</v>
          </cell>
        </row>
        <row r="2135">
          <cell r="A2135" t="str">
            <v>1RH1NCP1280XJ</v>
          </cell>
          <cell r="B2135" t="str">
            <v>SMT</v>
          </cell>
          <cell r="C2135">
            <v>1</v>
          </cell>
          <cell r="D2135">
            <v>18</v>
          </cell>
          <cell r="E2135">
            <v>2210</v>
          </cell>
          <cell r="F2135" t="str">
            <v>VC01</v>
          </cell>
          <cell r="G2135" t="str">
            <v>Auto</v>
          </cell>
          <cell r="H2135">
            <v>311</v>
          </cell>
          <cell r="I2135">
            <v>2210</v>
          </cell>
          <cell r="J2135">
            <v>2310</v>
          </cell>
          <cell r="K2135" t="str">
            <v>VC01</v>
          </cell>
        </row>
        <row r="2136">
          <cell r="A2136" t="str">
            <v>1AP1NCP1280XJ</v>
          </cell>
          <cell r="B2136" t="str">
            <v>DIP</v>
          </cell>
          <cell r="C2136">
            <v>1</v>
          </cell>
          <cell r="D2136" t="e">
            <v>#N/A</v>
          </cell>
          <cell r="E2136">
            <v>2210</v>
          </cell>
          <cell r="F2136" t="str">
            <v>VC01</v>
          </cell>
          <cell r="G2136" t="str">
            <v>Auto</v>
          </cell>
          <cell r="H2136">
            <v>311</v>
          </cell>
          <cell r="I2136">
            <v>2210</v>
          </cell>
          <cell r="J2136">
            <v>2310</v>
          </cell>
          <cell r="K2136" t="str">
            <v>VC01</v>
          </cell>
        </row>
        <row r="2137">
          <cell r="A2137" t="str">
            <v>1VJ1TDA0490XV4</v>
          </cell>
          <cell r="B2137" t="str">
            <v>SMT</v>
          </cell>
          <cell r="C2137">
            <v>1</v>
          </cell>
          <cell r="D2137" t="e">
            <v>#N/A</v>
          </cell>
        </row>
        <row r="2138">
          <cell r="A2138" t="str">
            <v>1VJ2TDA0490XV4</v>
          </cell>
          <cell r="B2138" t="str">
            <v>SMT</v>
          </cell>
          <cell r="C2138">
            <v>1</v>
          </cell>
          <cell r="D2138" t="e">
            <v>#N/A</v>
          </cell>
        </row>
        <row r="2139">
          <cell r="A2139" t="str">
            <v>1RE1TDA0490XV4</v>
          </cell>
          <cell r="B2139" t="str">
            <v>SMT</v>
          </cell>
          <cell r="C2139">
            <v>1</v>
          </cell>
          <cell r="D2139">
            <v>258</v>
          </cell>
        </row>
        <row r="2140">
          <cell r="A2140" t="str">
            <v>1RE2TDA0490XV4</v>
          </cell>
          <cell r="B2140" t="str">
            <v>SMT</v>
          </cell>
          <cell r="C2140">
            <v>1</v>
          </cell>
          <cell r="D2140">
            <v>441</v>
          </cell>
          <cell r="E2140">
            <v>2210</v>
          </cell>
          <cell r="F2140" t="str">
            <v>VC01</v>
          </cell>
          <cell r="G2140" t="str">
            <v>Auto</v>
          </cell>
          <cell r="H2140">
            <v>311</v>
          </cell>
          <cell r="I2140">
            <v>2210</v>
          </cell>
          <cell r="J2140">
            <v>2310</v>
          </cell>
          <cell r="K2140" t="str">
            <v>VC01</v>
          </cell>
        </row>
        <row r="2141">
          <cell r="A2141" t="str">
            <v>1AP1TDA0490XV4</v>
          </cell>
          <cell r="B2141" t="str">
            <v>DIP</v>
          </cell>
          <cell r="C2141">
            <v>1</v>
          </cell>
          <cell r="D2141" t="e">
            <v>#N/A</v>
          </cell>
          <cell r="E2141">
            <v>2210</v>
          </cell>
          <cell r="F2141" t="str">
            <v>VC01</v>
          </cell>
          <cell r="G2141" t="str">
            <v>Auto</v>
          </cell>
          <cell r="H2141">
            <v>311</v>
          </cell>
          <cell r="I2141">
            <v>2210</v>
          </cell>
          <cell r="J2141">
            <v>2310</v>
          </cell>
          <cell r="K2141" t="str">
            <v>VC01</v>
          </cell>
        </row>
        <row r="2142">
          <cell r="A2142" t="str">
            <v>1RE1TDA3105XV4</v>
          </cell>
          <cell r="B2142" t="str">
            <v>SMT</v>
          </cell>
          <cell r="C2142">
            <v>1</v>
          </cell>
          <cell r="D2142">
            <v>29</v>
          </cell>
        </row>
        <row r="2143">
          <cell r="A2143" t="str">
            <v>1RE2TDA3105XV4</v>
          </cell>
          <cell r="B2143" t="str">
            <v>SMT</v>
          </cell>
          <cell r="C2143">
            <v>1</v>
          </cell>
          <cell r="D2143">
            <v>40</v>
          </cell>
          <cell r="E2143">
            <v>2210</v>
          </cell>
          <cell r="F2143" t="str">
            <v>VC01</v>
          </cell>
          <cell r="G2143" t="str">
            <v>Auto</v>
          </cell>
          <cell r="H2143">
            <v>311</v>
          </cell>
          <cell r="I2143">
            <v>2210</v>
          </cell>
          <cell r="J2143">
            <v>2310</v>
          </cell>
          <cell r="K2143" t="str">
            <v>VC01</v>
          </cell>
        </row>
        <row r="2144">
          <cell r="A2144" t="str">
            <v>1RE1TDA3451XV4</v>
          </cell>
          <cell r="B2144" t="str">
            <v>SMT</v>
          </cell>
          <cell r="C2144">
            <v>1</v>
          </cell>
          <cell r="D2144">
            <v>50</v>
          </cell>
        </row>
        <row r="2145">
          <cell r="A2145" t="str">
            <v>1RE2TDA3451XV4</v>
          </cell>
          <cell r="B2145" t="str">
            <v>SMT</v>
          </cell>
          <cell r="C2145">
            <v>1</v>
          </cell>
          <cell r="D2145">
            <v>28</v>
          </cell>
          <cell r="E2145">
            <v>2210</v>
          </cell>
          <cell r="F2145" t="str">
            <v>VC01</v>
          </cell>
          <cell r="G2145" t="str">
            <v>Auto</v>
          </cell>
          <cell r="H2145">
            <v>311</v>
          </cell>
          <cell r="I2145">
            <v>2210</v>
          </cell>
          <cell r="J2145">
            <v>2310</v>
          </cell>
          <cell r="K2145" t="str">
            <v>VC01</v>
          </cell>
        </row>
        <row r="2146">
          <cell r="A2146" t="str">
            <v>1RE1TDE0111CN</v>
          </cell>
          <cell r="B2146" t="str">
            <v>SMT</v>
          </cell>
          <cell r="C2146">
            <v>1</v>
          </cell>
          <cell r="D2146">
            <v>127</v>
          </cell>
        </row>
        <row r="2147">
          <cell r="A2147" t="str">
            <v>1RE2TDE0111CN</v>
          </cell>
          <cell r="B2147" t="str">
            <v>SMT</v>
          </cell>
          <cell r="C2147">
            <v>1</v>
          </cell>
          <cell r="D2147">
            <v>116</v>
          </cell>
          <cell r="E2147">
            <v>2210</v>
          </cell>
          <cell r="F2147" t="str">
            <v>VC01</v>
          </cell>
          <cell r="G2147" t="str">
            <v>Auto</v>
          </cell>
          <cell r="H2147">
            <v>311</v>
          </cell>
          <cell r="I2147">
            <v>2210</v>
          </cell>
          <cell r="J2147">
            <v>2310</v>
          </cell>
          <cell r="K2147" t="str">
            <v>VC01</v>
          </cell>
        </row>
        <row r="2148">
          <cell r="A2148" t="str">
            <v>1RE1LPS8120MZA</v>
          </cell>
          <cell r="B2148" t="str">
            <v>SMT</v>
          </cell>
          <cell r="C2148">
            <v>1</v>
          </cell>
          <cell r="D2148">
            <v>950</v>
          </cell>
        </row>
        <row r="2149">
          <cell r="A2149" t="str">
            <v>1RE2LPS8120MZA</v>
          </cell>
          <cell r="B2149" t="str">
            <v>SMT</v>
          </cell>
          <cell r="C2149">
            <v>1</v>
          </cell>
          <cell r="D2149">
            <v>1023</v>
          </cell>
          <cell r="E2149">
            <v>2210</v>
          </cell>
          <cell r="F2149" t="str">
            <v>VC01</v>
          </cell>
          <cell r="G2149" t="str">
            <v>Auto</v>
          </cell>
          <cell r="H2149">
            <v>311</v>
          </cell>
          <cell r="I2149">
            <v>2210</v>
          </cell>
          <cell r="J2149">
            <v>2250</v>
          </cell>
          <cell r="K2149" t="str">
            <v>VC01</v>
          </cell>
        </row>
        <row r="2150">
          <cell r="A2150" t="str">
            <v>1AP1LPS8120MZA</v>
          </cell>
          <cell r="B2150" t="str">
            <v>DIP</v>
          </cell>
          <cell r="C2150">
            <v>1</v>
          </cell>
          <cell r="D2150" t="e">
            <v>#N/A</v>
          </cell>
          <cell r="E2150">
            <v>2210</v>
          </cell>
          <cell r="F2150" t="str">
            <v>VC01</v>
          </cell>
          <cell r="G2150" t="str">
            <v>Auto</v>
          </cell>
          <cell r="H2150">
            <v>311</v>
          </cell>
          <cell r="I2150">
            <v>2210</v>
          </cell>
          <cell r="J2150">
            <v>2250</v>
          </cell>
          <cell r="K2150" t="str">
            <v>VC01</v>
          </cell>
        </row>
        <row r="2151">
          <cell r="A2151" t="str">
            <v>1RE1LPS8130MZA</v>
          </cell>
          <cell r="B2151" t="str">
            <v>SMT</v>
          </cell>
          <cell r="C2151">
            <v>1</v>
          </cell>
          <cell r="D2151">
            <v>958</v>
          </cell>
        </row>
        <row r="2152">
          <cell r="A2152" t="str">
            <v>1RE2LPS8130MZA</v>
          </cell>
          <cell r="B2152" t="str">
            <v>SMT</v>
          </cell>
          <cell r="C2152">
            <v>1</v>
          </cell>
          <cell r="D2152">
            <v>1043</v>
          </cell>
          <cell r="E2152">
            <v>2210</v>
          </cell>
          <cell r="F2152" t="str">
            <v>VC01</v>
          </cell>
          <cell r="G2152" t="str">
            <v>Auto</v>
          </cell>
          <cell r="H2152">
            <v>311</v>
          </cell>
          <cell r="I2152">
            <v>2210</v>
          </cell>
          <cell r="J2152">
            <v>2250</v>
          </cell>
          <cell r="K2152" t="str">
            <v>VC01</v>
          </cell>
        </row>
        <row r="2153">
          <cell r="A2153" t="str">
            <v>1AP1LPS8130MZA</v>
          </cell>
          <cell r="B2153" t="str">
            <v>DIP</v>
          </cell>
          <cell r="C2153">
            <v>1</v>
          </cell>
          <cell r="D2153" t="e">
            <v>#N/A</v>
          </cell>
          <cell r="E2153">
            <v>2210</v>
          </cell>
          <cell r="F2153" t="str">
            <v>VC01</v>
          </cell>
          <cell r="G2153" t="str">
            <v>Auto</v>
          </cell>
          <cell r="H2153">
            <v>311</v>
          </cell>
          <cell r="I2153">
            <v>2210</v>
          </cell>
          <cell r="J2153">
            <v>2250</v>
          </cell>
          <cell r="K2153" t="str">
            <v>VC01</v>
          </cell>
        </row>
        <row r="2154">
          <cell r="A2154" t="str">
            <v>1RE1LPS8130RZA</v>
          </cell>
          <cell r="B2154" t="str">
            <v>SMT</v>
          </cell>
          <cell r="C2154">
            <v>1</v>
          </cell>
          <cell r="D2154">
            <v>632</v>
          </cell>
        </row>
        <row r="2155">
          <cell r="A2155" t="str">
            <v>1RH1LPS8130RZA</v>
          </cell>
          <cell r="B2155" t="str">
            <v>SMT</v>
          </cell>
          <cell r="C2155">
            <v>1</v>
          </cell>
          <cell r="D2155">
            <v>12</v>
          </cell>
        </row>
        <row r="2156">
          <cell r="A2156" t="str">
            <v>1CM1LPS8130RZA</v>
          </cell>
          <cell r="B2156" t="str">
            <v>SMT</v>
          </cell>
          <cell r="C2156">
            <v>1</v>
          </cell>
          <cell r="D2156">
            <v>148</v>
          </cell>
          <cell r="E2156">
            <v>2210</v>
          </cell>
          <cell r="F2156" t="str">
            <v>VC01</v>
          </cell>
          <cell r="G2156" t="str">
            <v>Auto</v>
          </cell>
          <cell r="H2156">
            <v>311</v>
          </cell>
          <cell r="I2156">
            <v>2210</v>
          </cell>
          <cell r="J2156">
            <v>2250</v>
          </cell>
          <cell r="K2156" t="str">
            <v>VC01</v>
          </cell>
        </row>
        <row r="2157">
          <cell r="A2157" t="str">
            <v>1AP1LPS8130RZA</v>
          </cell>
          <cell r="B2157" t="str">
            <v>DIP</v>
          </cell>
          <cell r="C2157">
            <v>1</v>
          </cell>
          <cell r="D2157" t="e">
            <v>#N/A</v>
          </cell>
          <cell r="E2157">
            <v>2210</v>
          </cell>
          <cell r="F2157" t="str">
            <v>VC01</v>
          </cell>
          <cell r="G2157" t="str">
            <v>Auto</v>
          </cell>
          <cell r="H2157">
            <v>311</v>
          </cell>
          <cell r="I2157">
            <v>2210</v>
          </cell>
          <cell r="J2157">
            <v>2250</v>
          </cell>
          <cell r="K2157" t="str">
            <v>VC01</v>
          </cell>
        </row>
        <row r="2158">
          <cell r="A2158" t="str">
            <v>1RE1LPS8150MZA</v>
          </cell>
          <cell r="B2158" t="str">
            <v>SMT</v>
          </cell>
          <cell r="C2158">
            <v>1</v>
          </cell>
          <cell r="D2158">
            <v>958</v>
          </cell>
        </row>
        <row r="2159">
          <cell r="A2159" t="str">
            <v>1RE2LPS8150MZA</v>
          </cell>
          <cell r="B2159" t="str">
            <v>SMT</v>
          </cell>
          <cell r="C2159">
            <v>1</v>
          </cell>
          <cell r="D2159">
            <v>1043</v>
          </cell>
          <cell r="E2159">
            <v>2210</v>
          </cell>
          <cell r="F2159" t="str">
            <v>VC01</v>
          </cell>
          <cell r="G2159" t="str">
            <v>Auto</v>
          </cell>
          <cell r="H2159">
            <v>311</v>
          </cell>
          <cell r="I2159">
            <v>2210</v>
          </cell>
          <cell r="J2159">
            <v>2250</v>
          </cell>
          <cell r="K2159" t="str">
            <v>VC01</v>
          </cell>
        </row>
        <row r="2160">
          <cell r="A2160" t="str">
            <v>1AP1LPS8150MZA</v>
          </cell>
          <cell r="B2160" t="str">
            <v>DIP</v>
          </cell>
          <cell r="C2160">
            <v>1</v>
          </cell>
          <cell r="D2160" t="e">
            <v>#N/A</v>
          </cell>
          <cell r="E2160">
            <v>2210</v>
          </cell>
          <cell r="F2160" t="str">
            <v>VC01</v>
          </cell>
          <cell r="G2160" t="str">
            <v>Auto</v>
          </cell>
          <cell r="H2160">
            <v>311</v>
          </cell>
          <cell r="I2160">
            <v>2210</v>
          </cell>
          <cell r="J2160">
            <v>2250</v>
          </cell>
          <cell r="K2160" t="str">
            <v>VC01</v>
          </cell>
        </row>
        <row r="2161">
          <cell r="A2161" t="str">
            <v>1VI1LPMB2120HXMYA</v>
          </cell>
          <cell r="B2161" t="str">
            <v>SMT</v>
          </cell>
          <cell r="C2161">
            <v>1</v>
          </cell>
          <cell r="D2161" t="e">
            <v>#N/A</v>
          </cell>
        </row>
        <row r="2162">
          <cell r="A2162" t="str">
            <v>1RE1LPMB2120HXMYA</v>
          </cell>
          <cell r="B2162" t="str">
            <v>SMT</v>
          </cell>
          <cell r="C2162">
            <v>1</v>
          </cell>
          <cell r="D2162">
            <v>282</v>
          </cell>
        </row>
        <row r="2163">
          <cell r="A2163" t="str">
            <v>1RE2LPMB2120HXMYA</v>
          </cell>
          <cell r="B2163" t="str">
            <v>SMT</v>
          </cell>
          <cell r="C2163">
            <v>1</v>
          </cell>
          <cell r="D2163">
            <v>353</v>
          </cell>
        </row>
        <row r="2164">
          <cell r="A2164" t="str">
            <v>1RH1LPMB2120HXMYA</v>
          </cell>
          <cell r="B2164" t="str">
            <v>SMT</v>
          </cell>
          <cell r="C2164">
            <v>1</v>
          </cell>
          <cell r="D2164">
            <v>7</v>
          </cell>
          <cell r="E2164">
            <v>2210</v>
          </cell>
          <cell r="F2164" t="str">
            <v>VC01</v>
          </cell>
          <cell r="G2164" t="str">
            <v>Auto</v>
          </cell>
          <cell r="H2164">
            <v>311</v>
          </cell>
          <cell r="I2164">
            <v>2210</v>
          </cell>
          <cell r="J2164">
            <v>2260</v>
          </cell>
          <cell r="K2164" t="str">
            <v>VC01</v>
          </cell>
        </row>
        <row r="2165">
          <cell r="A2165" t="str">
            <v>1AP1LPMB2120HXMYA</v>
          </cell>
          <cell r="B2165" t="str">
            <v>DIP</v>
          </cell>
          <cell r="C2165">
            <v>1</v>
          </cell>
          <cell r="D2165" t="e">
            <v>#N/A</v>
          </cell>
          <cell r="E2165">
            <v>2210</v>
          </cell>
          <cell r="F2165" t="str">
            <v>VC01</v>
          </cell>
          <cell r="G2165" t="str">
            <v>Auto</v>
          </cell>
          <cell r="H2165">
            <v>311</v>
          </cell>
          <cell r="I2165">
            <v>2210</v>
          </cell>
          <cell r="J2165">
            <v>2260</v>
          </cell>
          <cell r="K2165" t="str">
            <v>VC01</v>
          </cell>
        </row>
        <row r="2166">
          <cell r="A2166" t="str">
            <v>1RE1LPFG510RDAZA</v>
          </cell>
          <cell r="B2166" t="str">
            <v>SMT</v>
          </cell>
          <cell r="C2166">
            <v>1</v>
          </cell>
          <cell r="D2166">
            <v>51</v>
          </cell>
        </row>
        <row r="2167">
          <cell r="A2167" t="str">
            <v>1AE1LPFG510RDAZA</v>
          </cell>
          <cell r="B2167" t="str">
            <v>SMT</v>
          </cell>
          <cell r="C2167">
            <v>1</v>
          </cell>
          <cell r="D2167">
            <v>0</v>
          </cell>
        </row>
        <row r="2168">
          <cell r="A2168" t="str">
            <v>1RH1LPFG510RDAZA</v>
          </cell>
          <cell r="B2168" t="str">
            <v>SMT</v>
          </cell>
          <cell r="C2168">
            <v>1</v>
          </cell>
          <cell r="D2168">
            <v>5</v>
          </cell>
          <cell r="E2168">
            <v>2210</v>
          </cell>
          <cell r="F2168" t="str">
            <v>VC01</v>
          </cell>
          <cell r="G2168" t="str">
            <v>Auto</v>
          </cell>
          <cell r="H2168">
            <v>311</v>
          </cell>
          <cell r="I2168">
            <v>2210</v>
          </cell>
          <cell r="J2168">
            <v>2280</v>
          </cell>
          <cell r="K2168" t="str">
            <v>VC01</v>
          </cell>
        </row>
        <row r="2169">
          <cell r="A2169" t="str">
            <v>1AP1LPFG510RDAZA</v>
          </cell>
          <cell r="B2169" t="str">
            <v>DIP</v>
          </cell>
          <cell r="C2169">
            <v>1</v>
          </cell>
          <cell r="D2169" t="e">
            <v>#N/A</v>
          </cell>
          <cell r="E2169">
            <v>2210</v>
          </cell>
          <cell r="F2169" t="str">
            <v>VC01</v>
          </cell>
          <cell r="G2169" t="str">
            <v>Auto</v>
          </cell>
          <cell r="H2169">
            <v>311</v>
          </cell>
          <cell r="I2169">
            <v>2210</v>
          </cell>
          <cell r="J2169">
            <v>2280</v>
          </cell>
          <cell r="K2169" t="str">
            <v>VC01</v>
          </cell>
        </row>
        <row r="2170">
          <cell r="A2170" t="str">
            <v>1VI1LPFG520REMYA</v>
          </cell>
          <cell r="B2170" t="str">
            <v>SMT</v>
          </cell>
          <cell r="C2170">
            <v>1</v>
          </cell>
          <cell r="D2170" t="e">
            <v>#N/A</v>
          </cell>
        </row>
        <row r="2171">
          <cell r="A2171" t="str">
            <v>1RE1LPFG520REMYA</v>
          </cell>
          <cell r="B2171" t="str">
            <v>SMT</v>
          </cell>
          <cell r="C2171">
            <v>1</v>
          </cell>
          <cell r="D2171">
            <v>174</v>
          </cell>
        </row>
        <row r="2172">
          <cell r="A2172" t="str">
            <v>1RE2LPFG520REMYA</v>
          </cell>
          <cell r="B2172" t="str">
            <v>SMT</v>
          </cell>
          <cell r="C2172">
            <v>1</v>
          </cell>
          <cell r="D2172">
            <v>134</v>
          </cell>
          <cell r="E2172">
            <v>2210</v>
          </cell>
          <cell r="F2172" t="str">
            <v>VC01</v>
          </cell>
          <cell r="G2172" t="str">
            <v>Auto</v>
          </cell>
          <cell r="H2172">
            <v>311</v>
          </cell>
          <cell r="I2172">
            <v>2210</v>
          </cell>
          <cell r="J2172">
            <v>2280</v>
          </cell>
          <cell r="K2172" t="str">
            <v>VC01</v>
          </cell>
        </row>
        <row r="2173">
          <cell r="A2173" t="str">
            <v>1AP1LPFG520REMYA</v>
          </cell>
          <cell r="B2173" t="str">
            <v>DIP</v>
          </cell>
          <cell r="C2173">
            <v>1</v>
          </cell>
          <cell r="D2173" t="e">
            <v>#N/A</v>
          </cell>
          <cell r="E2173">
            <v>2210</v>
          </cell>
          <cell r="F2173" t="str">
            <v>VC01</v>
          </cell>
          <cell r="G2173" t="str">
            <v>Auto</v>
          </cell>
          <cell r="H2173">
            <v>311</v>
          </cell>
          <cell r="I2173">
            <v>2210</v>
          </cell>
          <cell r="J2173">
            <v>2280</v>
          </cell>
          <cell r="K2173" t="str">
            <v>VC01</v>
          </cell>
        </row>
        <row r="2174">
          <cell r="A2174" t="str">
            <v>1VI1LPFG520REMZA</v>
          </cell>
          <cell r="B2174" t="str">
            <v>SMT</v>
          </cell>
          <cell r="C2174">
            <v>1</v>
          </cell>
          <cell r="D2174" t="e">
            <v>#N/A</v>
          </cell>
        </row>
        <row r="2175">
          <cell r="A2175" t="str">
            <v>1RE1LPFG520REMZA</v>
          </cell>
          <cell r="B2175" t="str">
            <v>SMT</v>
          </cell>
          <cell r="C2175">
            <v>1</v>
          </cell>
          <cell r="D2175">
            <v>170</v>
          </cell>
        </row>
        <row r="2176">
          <cell r="A2176" t="str">
            <v>1RE2LPFG520REMZA</v>
          </cell>
          <cell r="B2176" t="str">
            <v>SMT</v>
          </cell>
          <cell r="C2176">
            <v>1</v>
          </cell>
          <cell r="D2176">
            <v>131</v>
          </cell>
          <cell r="E2176">
            <v>2210</v>
          </cell>
          <cell r="F2176" t="str">
            <v>VC01</v>
          </cell>
          <cell r="G2176" t="str">
            <v>Auto</v>
          </cell>
          <cell r="H2176">
            <v>311</v>
          </cell>
          <cell r="I2176">
            <v>2210</v>
          </cell>
          <cell r="J2176">
            <v>2280</v>
          </cell>
          <cell r="K2176" t="str">
            <v>VC01</v>
          </cell>
        </row>
        <row r="2177">
          <cell r="A2177" t="str">
            <v>1AP1LPFG520REMZA</v>
          </cell>
          <cell r="B2177" t="str">
            <v>DIP</v>
          </cell>
          <cell r="C2177">
            <v>1</v>
          </cell>
          <cell r="D2177" t="e">
            <v>#N/A</v>
          </cell>
          <cell r="E2177">
            <v>2210</v>
          </cell>
          <cell r="F2177" t="str">
            <v>VC01</v>
          </cell>
          <cell r="G2177" t="str">
            <v>Auto</v>
          </cell>
          <cell r="H2177">
            <v>311</v>
          </cell>
          <cell r="I2177">
            <v>2210</v>
          </cell>
          <cell r="J2177">
            <v>2280</v>
          </cell>
          <cell r="K2177" t="str">
            <v>VC01</v>
          </cell>
        </row>
        <row r="2178">
          <cell r="A2178" t="str">
            <v>1VI1LPFG810RAMYA</v>
          </cell>
          <cell r="B2178" t="str">
            <v>SMT</v>
          </cell>
          <cell r="C2178">
            <v>1</v>
          </cell>
          <cell r="D2178" t="e">
            <v>#N/A</v>
          </cell>
        </row>
        <row r="2179">
          <cell r="A2179" t="str">
            <v>1RE1LPFG810RAMYA</v>
          </cell>
          <cell r="B2179" t="str">
            <v>SMT</v>
          </cell>
          <cell r="C2179">
            <v>1</v>
          </cell>
          <cell r="D2179">
            <v>225</v>
          </cell>
        </row>
        <row r="2180">
          <cell r="A2180" t="str">
            <v>1RE2LPFG810RAMYA</v>
          </cell>
          <cell r="B2180" t="str">
            <v>SMT</v>
          </cell>
          <cell r="C2180">
            <v>1</v>
          </cell>
          <cell r="D2180">
            <v>319</v>
          </cell>
        </row>
        <row r="2181">
          <cell r="A2181" t="str">
            <v>1RH1LPFG810RAMYA</v>
          </cell>
          <cell r="B2181" t="str">
            <v>SMT</v>
          </cell>
          <cell r="C2181">
            <v>1</v>
          </cell>
          <cell r="D2181">
            <v>12</v>
          </cell>
        </row>
        <row r="2182">
          <cell r="A2182" t="str">
            <v>1AP1LPFG810RAMYA</v>
          </cell>
          <cell r="B2182" t="str">
            <v>DIP</v>
          </cell>
          <cell r="C2182">
            <v>1</v>
          </cell>
          <cell r="D2182" t="e">
            <v>#N/A</v>
          </cell>
          <cell r="E2182">
            <v>2210</v>
          </cell>
        </row>
        <row r="2183">
          <cell r="A2183" t="str">
            <v>1VI1LPFG810RDMYA</v>
          </cell>
          <cell r="B2183" t="str">
            <v>SMT</v>
          </cell>
          <cell r="C2183">
            <v>1</v>
          </cell>
          <cell r="D2183" t="e">
            <v>#N/A</v>
          </cell>
        </row>
        <row r="2184">
          <cell r="A2184" t="str">
            <v>1RE1LPFG810RDMYA</v>
          </cell>
          <cell r="B2184" t="str">
            <v>SMT</v>
          </cell>
          <cell r="C2184">
            <v>1</v>
          </cell>
          <cell r="D2184">
            <v>223</v>
          </cell>
        </row>
        <row r="2185">
          <cell r="A2185" t="str">
            <v>1RE2LPFG810RDMYA</v>
          </cell>
          <cell r="B2185" t="str">
            <v>SMT</v>
          </cell>
          <cell r="C2185">
            <v>1</v>
          </cell>
          <cell r="D2185">
            <v>268</v>
          </cell>
        </row>
        <row r="2186">
          <cell r="A2186" t="str">
            <v>1RH1LPFG810RDMYA</v>
          </cell>
          <cell r="B2186" t="str">
            <v>SMT</v>
          </cell>
          <cell r="C2186">
            <v>1</v>
          </cell>
          <cell r="D2186">
            <v>10</v>
          </cell>
        </row>
        <row r="2187">
          <cell r="A2187" t="str">
            <v>1AP1LPFG810RDMYA</v>
          </cell>
          <cell r="B2187" t="str">
            <v>DIP</v>
          </cell>
          <cell r="C2187">
            <v>1</v>
          </cell>
          <cell r="D2187" t="e">
            <v>#N/A</v>
          </cell>
          <cell r="E2187">
            <v>2210</v>
          </cell>
        </row>
        <row r="2188">
          <cell r="A2188" t="str">
            <v>1VI1LPFG810REMYA</v>
          </cell>
          <cell r="B2188" t="str">
            <v>SMT</v>
          </cell>
          <cell r="C2188">
            <v>1</v>
          </cell>
          <cell r="D2188" t="e">
            <v>#N/A</v>
          </cell>
        </row>
        <row r="2189">
          <cell r="A2189" t="str">
            <v>1RE1LPFG810REMYA</v>
          </cell>
          <cell r="B2189" t="str">
            <v>SMT</v>
          </cell>
          <cell r="C2189">
            <v>1</v>
          </cell>
          <cell r="D2189">
            <v>223</v>
          </cell>
        </row>
        <row r="2190">
          <cell r="A2190" t="str">
            <v>1RE2LPFG810REMYA</v>
          </cell>
          <cell r="B2190" t="str">
            <v>SMT</v>
          </cell>
          <cell r="C2190">
            <v>1</v>
          </cell>
          <cell r="D2190">
            <v>266</v>
          </cell>
        </row>
        <row r="2191">
          <cell r="A2191" t="str">
            <v>1RH1LPFG810REMYA</v>
          </cell>
          <cell r="B2191" t="str">
            <v>SMT</v>
          </cell>
          <cell r="C2191">
            <v>1</v>
          </cell>
          <cell r="D2191">
            <v>9</v>
          </cell>
        </row>
        <row r="2192">
          <cell r="A2192" t="str">
            <v>1AP1LPFG810REMYA</v>
          </cell>
          <cell r="B2192" t="str">
            <v>DIP</v>
          </cell>
          <cell r="C2192">
            <v>1</v>
          </cell>
          <cell r="D2192" t="e">
            <v>#N/A</v>
          </cell>
          <cell r="E2192">
            <v>2210</v>
          </cell>
        </row>
        <row r="2193">
          <cell r="A2193" t="str">
            <v>1VI1LPMB2128TWMZA</v>
          </cell>
          <cell r="B2193" t="str">
            <v>SMT</v>
          </cell>
          <cell r="C2193">
            <v>1</v>
          </cell>
          <cell r="D2193" t="e">
            <v>#N/A</v>
          </cell>
        </row>
        <row r="2194">
          <cell r="A2194" t="str">
            <v>1RE1LPMB2128TWMZA</v>
          </cell>
          <cell r="B2194" t="str">
            <v>SMT</v>
          </cell>
          <cell r="C2194">
            <v>1</v>
          </cell>
          <cell r="D2194">
            <v>274</v>
          </cell>
        </row>
        <row r="2195">
          <cell r="A2195" t="str">
            <v>1RE2LPMB2128TWMZA</v>
          </cell>
          <cell r="B2195" t="str">
            <v>SMT</v>
          </cell>
          <cell r="C2195">
            <v>1</v>
          </cell>
          <cell r="D2195">
            <v>356</v>
          </cell>
        </row>
        <row r="2196">
          <cell r="A2196" t="str">
            <v>1RH1LPMB2128TWMZA</v>
          </cell>
          <cell r="B2196" t="str">
            <v>SMT</v>
          </cell>
          <cell r="C2196">
            <v>1</v>
          </cell>
          <cell r="D2196">
            <v>7</v>
          </cell>
          <cell r="E2196">
            <v>2210</v>
          </cell>
          <cell r="F2196" t="str">
            <v>VC01</v>
          </cell>
          <cell r="G2196" t="str">
            <v>Auto</v>
          </cell>
          <cell r="H2196">
            <v>311</v>
          </cell>
          <cell r="I2196">
            <v>2210</v>
          </cell>
          <cell r="J2196">
            <v>2260</v>
          </cell>
          <cell r="K2196" t="str">
            <v>VC01</v>
          </cell>
        </row>
        <row r="2197">
          <cell r="A2197" t="str">
            <v>1AP1LPMB2128TWMZA</v>
          </cell>
          <cell r="B2197" t="str">
            <v>DIP</v>
          </cell>
          <cell r="C2197">
            <v>1</v>
          </cell>
          <cell r="D2197" t="e">
            <v>#N/A</v>
          </cell>
          <cell r="E2197">
            <v>2210</v>
          </cell>
          <cell r="F2197" t="str">
            <v>VC01</v>
          </cell>
          <cell r="G2197" t="str">
            <v>Auto</v>
          </cell>
          <cell r="H2197">
            <v>311</v>
          </cell>
          <cell r="I2197">
            <v>2210</v>
          </cell>
          <cell r="J2197">
            <v>2260</v>
          </cell>
          <cell r="K2197" t="str">
            <v>VC01</v>
          </cell>
        </row>
        <row r="2198">
          <cell r="A2198" t="str">
            <v>1RE1TDA0181CXV4</v>
          </cell>
          <cell r="B2198" t="str">
            <v>SMT</v>
          </cell>
          <cell r="C2198">
            <v>1</v>
          </cell>
          <cell r="D2198">
            <v>894</v>
          </cell>
        </row>
        <row r="2199">
          <cell r="A2199" t="str">
            <v>1RE2TDA0181CXV4</v>
          </cell>
          <cell r="B2199" t="str">
            <v>SMT</v>
          </cell>
          <cell r="C2199">
            <v>1</v>
          </cell>
          <cell r="D2199">
            <v>443</v>
          </cell>
          <cell r="E2199">
            <v>2210</v>
          </cell>
          <cell r="F2199" t="str">
            <v>VC01</v>
          </cell>
          <cell r="G2199" t="str">
            <v>Auto</v>
          </cell>
          <cell r="H2199">
            <v>311</v>
          </cell>
          <cell r="I2199">
            <v>2210</v>
          </cell>
          <cell r="J2199">
            <v>2310</v>
          </cell>
          <cell r="K2199" t="str">
            <v>VC01</v>
          </cell>
        </row>
        <row r="2200">
          <cell r="A2200" t="str">
            <v>1AP1TDA0181CXV4</v>
          </cell>
          <cell r="B2200" t="str">
            <v>DIP</v>
          </cell>
          <cell r="C2200">
            <v>1</v>
          </cell>
          <cell r="D2200" t="e">
            <v>#N/A</v>
          </cell>
          <cell r="E2200">
            <v>2210</v>
          </cell>
          <cell r="F2200" t="str">
            <v>VC01</v>
          </cell>
          <cell r="G2200" t="str">
            <v>Auto</v>
          </cell>
          <cell r="H2200">
            <v>311</v>
          </cell>
          <cell r="I2200">
            <v>2210</v>
          </cell>
          <cell r="J2200">
            <v>2310</v>
          </cell>
          <cell r="K2200" t="str">
            <v>VC01</v>
          </cell>
        </row>
        <row r="2201">
          <cell r="A2201" t="str">
            <v>1VJ1TDA0190CXV4</v>
          </cell>
          <cell r="B2201" t="str">
            <v>SMT</v>
          </cell>
          <cell r="C2201">
            <v>1</v>
          </cell>
          <cell r="D2201" t="e">
            <v>#N/A</v>
          </cell>
        </row>
        <row r="2202">
          <cell r="A2202" t="str">
            <v>1CM1TDA0190CXV4</v>
          </cell>
          <cell r="B2202" t="str">
            <v>SMT</v>
          </cell>
          <cell r="C2202">
            <v>1</v>
          </cell>
          <cell r="D2202">
            <v>175</v>
          </cell>
        </row>
        <row r="2203">
          <cell r="A2203" t="str">
            <v>1RE2TDA0190CXV4</v>
          </cell>
          <cell r="B2203" t="str">
            <v>SMT</v>
          </cell>
          <cell r="C2203">
            <v>1</v>
          </cell>
          <cell r="D2203">
            <v>207</v>
          </cell>
        </row>
        <row r="2204">
          <cell r="A2204" t="str">
            <v>1RH1TDA0190CXV4</v>
          </cell>
          <cell r="B2204" t="str">
            <v>SMT</v>
          </cell>
          <cell r="C2204">
            <v>1</v>
          </cell>
          <cell r="D2204">
            <v>1</v>
          </cell>
          <cell r="E2204">
            <v>2210</v>
          </cell>
          <cell r="F2204" t="str">
            <v>VC01</v>
          </cell>
          <cell r="G2204" t="str">
            <v>Auto</v>
          </cell>
          <cell r="H2204">
            <v>311</v>
          </cell>
          <cell r="I2204">
            <v>2210</v>
          </cell>
          <cell r="J2204">
            <v>2310</v>
          </cell>
          <cell r="K2204" t="str">
            <v>VC01</v>
          </cell>
        </row>
        <row r="2205">
          <cell r="A2205" t="str">
            <v>1AP1TDA0190CXV4</v>
          </cell>
          <cell r="B2205" t="str">
            <v>DIP</v>
          </cell>
          <cell r="C2205">
            <v>1</v>
          </cell>
          <cell r="D2205" t="e">
            <v>#N/A</v>
          </cell>
          <cell r="E2205">
            <v>2210</v>
          </cell>
          <cell r="F2205" t="str">
            <v>VC01</v>
          </cell>
          <cell r="G2205" t="str">
            <v>Auto</v>
          </cell>
          <cell r="H2205">
            <v>311</v>
          </cell>
          <cell r="I2205">
            <v>2210</v>
          </cell>
          <cell r="J2205">
            <v>2310</v>
          </cell>
          <cell r="K2205" t="str">
            <v>VC01</v>
          </cell>
        </row>
        <row r="2206">
          <cell r="A2206" t="str">
            <v>1VI344PCB01-0RRAC</v>
          </cell>
          <cell r="B2206" t="str">
            <v>SMT</v>
          </cell>
          <cell r="C2206">
            <v>1</v>
          </cell>
          <cell r="D2206" t="e">
            <v>#N/A</v>
          </cell>
        </row>
        <row r="2207">
          <cell r="A2207" t="str">
            <v>CMRF344PCB01-0RRAC</v>
          </cell>
          <cell r="B2207" t="str">
            <v>SMT</v>
          </cell>
          <cell r="C2207">
            <v>1</v>
          </cell>
          <cell r="D2207">
            <v>219</v>
          </cell>
        </row>
        <row r="2208">
          <cell r="A2208" t="str">
            <v>CMFF344PCB01-0RRAC</v>
          </cell>
          <cell r="B2208" t="str">
            <v>SMT</v>
          </cell>
          <cell r="C2208">
            <v>1</v>
          </cell>
          <cell r="D2208">
            <v>150</v>
          </cell>
          <cell r="E2208">
            <v>2210</v>
          </cell>
          <cell r="F2208" t="str">
            <v>VC01</v>
          </cell>
          <cell r="G2208" t="str">
            <v>Auto</v>
          </cell>
          <cell r="H2208">
            <v>311</v>
          </cell>
          <cell r="I2208">
            <v>2210</v>
          </cell>
          <cell r="J2208">
            <v>2280</v>
          </cell>
          <cell r="K2208" t="str">
            <v>VC01</v>
          </cell>
        </row>
        <row r="2209">
          <cell r="A2209" t="str">
            <v>HNDF344PCB01-0RRAC</v>
          </cell>
          <cell r="B2209" t="str">
            <v>DIP</v>
          </cell>
          <cell r="C2209">
            <v>1</v>
          </cell>
          <cell r="D2209" t="e">
            <v>#N/A</v>
          </cell>
          <cell r="E2209">
            <v>2210</v>
          </cell>
          <cell r="F2209" t="str">
            <v>VC01</v>
          </cell>
          <cell r="G2209" t="str">
            <v>Auto</v>
          </cell>
          <cell r="H2209">
            <v>311</v>
          </cell>
          <cell r="I2209">
            <v>2210</v>
          </cell>
          <cell r="J2209">
            <v>2280</v>
          </cell>
          <cell r="K2209" t="str">
            <v>VC01</v>
          </cell>
        </row>
        <row r="2210">
          <cell r="A2210" t="str">
            <v>1VI344PCB01-ARRAC</v>
          </cell>
          <cell r="B2210" t="str">
            <v>SMT</v>
          </cell>
          <cell r="C2210">
            <v>1</v>
          </cell>
          <cell r="D2210" t="e">
            <v>#N/A</v>
          </cell>
        </row>
        <row r="2211">
          <cell r="A2211" t="str">
            <v>CMRF344PCB01-ARRAC</v>
          </cell>
          <cell r="B2211" t="str">
            <v>SMT</v>
          </cell>
          <cell r="C2211">
            <v>1</v>
          </cell>
          <cell r="D2211">
            <v>219</v>
          </cell>
        </row>
        <row r="2212">
          <cell r="A2212" t="str">
            <v>CMFF344PCB01-ARRAC</v>
          </cell>
          <cell r="B2212" t="str">
            <v>SMT</v>
          </cell>
          <cell r="C2212">
            <v>1</v>
          </cell>
          <cell r="D2212">
            <v>150</v>
          </cell>
          <cell r="E2212">
            <v>2210</v>
          </cell>
          <cell r="F2212" t="str">
            <v>VC01</v>
          </cell>
          <cell r="G2212" t="str">
            <v>Auto</v>
          </cell>
          <cell r="H2212">
            <v>311</v>
          </cell>
          <cell r="I2212">
            <v>2210</v>
          </cell>
          <cell r="J2212">
            <v>2280</v>
          </cell>
          <cell r="K2212" t="str">
            <v>VC01</v>
          </cell>
        </row>
        <row r="2213">
          <cell r="A2213" t="str">
            <v>HNDF344PCB01-ARRAC</v>
          </cell>
          <cell r="B2213" t="str">
            <v>DIP</v>
          </cell>
          <cell r="C2213">
            <v>1</v>
          </cell>
          <cell r="D2213" t="e">
            <v>#N/A</v>
          </cell>
          <cell r="E2213">
            <v>2210</v>
          </cell>
          <cell r="F2213" t="str">
            <v>VC01</v>
          </cell>
          <cell r="G2213" t="str">
            <v>Auto</v>
          </cell>
          <cell r="H2213">
            <v>311</v>
          </cell>
          <cell r="I2213">
            <v>2210</v>
          </cell>
          <cell r="J2213">
            <v>2280</v>
          </cell>
          <cell r="K2213" t="str">
            <v>VC01</v>
          </cell>
        </row>
        <row r="2214">
          <cell r="A2214" t="str">
            <v>1VI344PCB01-KRRAC</v>
          </cell>
          <cell r="B2214" t="str">
            <v>SMT</v>
          </cell>
          <cell r="C2214">
            <v>1</v>
          </cell>
          <cell r="D2214" t="e">
            <v>#N/A</v>
          </cell>
        </row>
        <row r="2215">
          <cell r="A2215" t="str">
            <v>CMRF344PCB01-KRRAC</v>
          </cell>
          <cell r="B2215" t="str">
            <v>SMT</v>
          </cell>
          <cell r="C2215">
            <v>1</v>
          </cell>
          <cell r="D2215">
            <v>219</v>
          </cell>
        </row>
        <row r="2216">
          <cell r="A2216" t="str">
            <v>CMFF344PCB01-KRRAC</v>
          </cell>
          <cell r="B2216" t="str">
            <v>SMT</v>
          </cell>
          <cell r="C2216">
            <v>1</v>
          </cell>
          <cell r="D2216">
            <v>150</v>
          </cell>
          <cell r="E2216">
            <v>2210</v>
          </cell>
          <cell r="F2216" t="str">
            <v>VC01</v>
          </cell>
          <cell r="G2216" t="str">
            <v>Auto</v>
          </cell>
          <cell r="H2216">
            <v>311</v>
          </cell>
          <cell r="I2216">
            <v>2210</v>
          </cell>
          <cell r="J2216">
            <v>2280</v>
          </cell>
          <cell r="K2216" t="str">
            <v>VC01</v>
          </cell>
        </row>
        <row r="2217">
          <cell r="A2217" t="str">
            <v>HNDF344PCB01-KRRAC</v>
          </cell>
          <cell r="B2217" t="str">
            <v>DIP</v>
          </cell>
          <cell r="C2217">
            <v>1</v>
          </cell>
          <cell r="D2217" t="e">
            <v>#N/A</v>
          </cell>
          <cell r="E2217">
            <v>2210</v>
          </cell>
          <cell r="F2217" t="str">
            <v>VC01</v>
          </cell>
          <cell r="G2217" t="str">
            <v>Auto</v>
          </cell>
          <cell r="H2217">
            <v>311</v>
          </cell>
          <cell r="I2217">
            <v>2210</v>
          </cell>
          <cell r="J2217">
            <v>2280</v>
          </cell>
          <cell r="K2217" t="str">
            <v>VC01</v>
          </cell>
        </row>
        <row r="2218">
          <cell r="A2218" t="str">
            <v>CMFF344PCB40-0RRDC</v>
          </cell>
          <cell r="B2218" t="str">
            <v>SMT</v>
          </cell>
          <cell r="C2218">
            <v>1</v>
          </cell>
          <cell r="D2218">
            <v>56</v>
          </cell>
        </row>
        <row r="2219">
          <cell r="A2219" t="str">
            <v>AEFF344PCB40-0RRDC</v>
          </cell>
          <cell r="B2219" t="str">
            <v>SMT</v>
          </cell>
          <cell r="C2219">
            <v>1</v>
          </cell>
          <cell r="D2219">
            <v>8</v>
          </cell>
        </row>
        <row r="2220">
          <cell r="A2220" t="str">
            <v>RHFF344PCB40-0RRDC</v>
          </cell>
          <cell r="B2220" t="str">
            <v>DIP</v>
          </cell>
          <cell r="C2220">
            <v>1</v>
          </cell>
          <cell r="D2220">
            <v>5</v>
          </cell>
          <cell r="E2220">
            <v>2210</v>
          </cell>
          <cell r="F2220" t="str">
            <v>VC01</v>
          </cell>
          <cell r="G2220" t="str">
            <v>Auto</v>
          </cell>
          <cell r="H2220">
            <v>311</v>
          </cell>
          <cell r="I2220">
            <v>2210</v>
          </cell>
          <cell r="J2220">
            <v>2280</v>
          </cell>
          <cell r="K2220" t="str">
            <v>VC01</v>
          </cell>
        </row>
        <row r="2221">
          <cell r="A2221" t="str">
            <v>HNDF344PCB40-0RRDC</v>
          </cell>
          <cell r="B2221" t="str">
            <v>DIP</v>
          </cell>
          <cell r="C2221">
            <v>1</v>
          </cell>
          <cell r="D2221" t="e">
            <v>#N/A</v>
          </cell>
          <cell r="E2221">
            <v>2210</v>
          </cell>
          <cell r="F2221" t="str">
            <v>VC01</v>
          </cell>
          <cell r="G2221" t="str">
            <v>Auto</v>
          </cell>
          <cell r="H2221">
            <v>311</v>
          </cell>
          <cell r="I2221">
            <v>2210</v>
          </cell>
          <cell r="J2221">
            <v>2280</v>
          </cell>
          <cell r="K2221" t="str">
            <v>VC01</v>
          </cell>
        </row>
        <row r="2222">
          <cell r="A2222" t="str">
            <v>CMFF344PCB40-0RREC</v>
          </cell>
          <cell r="B2222" t="str">
            <v>SMT</v>
          </cell>
          <cell r="C2222">
            <v>1</v>
          </cell>
          <cell r="D2222">
            <v>61</v>
          </cell>
        </row>
        <row r="2223">
          <cell r="A2223" t="str">
            <v>AEFF344PCB40-0RREC</v>
          </cell>
          <cell r="B2223" t="str">
            <v>SMT</v>
          </cell>
          <cell r="C2223">
            <v>1</v>
          </cell>
          <cell r="D2223">
            <v>14</v>
          </cell>
        </row>
        <row r="2224">
          <cell r="A2224" t="str">
            <v>RHFF344PCB40-0RREC</v>
          </cell>
          <cell r="B2224" t="str">
            <v>DIP</v>
          </cell>
          <cell r="C2224">
            <v>1</v>
          </cell>
          <cell r="D2224">
            <v>4</v>
          </cell>
          <cell r="E2224">
            <v>2210</v>
          </cell>
          <cell r="F2224" t="str">
            <v>VC01</v>
          </cell>
          <cell r="G2224" t="str">
            <v>Auto</v>
          </cell>
          <cell r="H2224">
            <v>311</v>
          </cell>
          <cell r="I2224">
            <v>2210</v>
          </cell>
          <cell r="J2224">
            <v>2280</v>
          </cell>
          <cell r="K2224" t="str">
            <v>VC01</v>
          </cell>
        </row>
        <row r="2225">
          <cell r="A2225" t="str">
            <v>HNDF344PCB40-0RREC</v>
          </cell>
          <cell r="B2225" t="str">
            <v>DIP</v>
          </cell>
          <cell r="C2225">
            <v>1</v>
          </cell>
          <cell r="D2225" t="e">
            <v>#N/A</v>
          </cell>
          <cell r="E2225">
            <v>2210</v>
          </cell>
          <cell r="F2225" t="str">
            <v>VC01</v>
          </cell>
          <cell r="G2225" t="str">
            <v>Auto</v>
          </cell>
          <cell r="H2225">
            <v>311</v>
          </cell>
          <cell r="I2225">
            <v>2210</v>
          </cell>
          <cell r="J2225">
            <v>2280</v>
          </cell>
          <cell r="K2225" t="str">
            <v>VC01</v>
          </cell>
        </row>
        <row r="2226">
          <cell r="A2226" t="str">
            <v>1VI344PCB01-DRRAC</v>
          </cell>
          <cell r="B2226" t="str">
            <v>SMT</v>
          </cell>
          <cell r="C2226">
            <v>1</v>
          </cell>
          <cell r="D2226" t="e">
            <v>#N/A</v>
          </cell>
        </row>
        <row r="2227">
          <cell r="A2227" t="str">
            <v>CMRF344PCB01-DRRAC</v>
          </cell>
          <cell r="B2227" t="str">
            <v>SMT</v>
          </cell>
          <cell r="C2227">
            <v>1</v>
          </cell>
          <cell r="D2227">
            <v>219</v>
          </cell>
        </row>
        <row r="2228">
          <cell r="A2228" t="str">
            <v>CMFF344PCB01-DRRAC</v>
          </cell>
          <cell r="B2228" t="str">
            <v>SMT</v>
          </cell>
          <cell r="C2228">
            <v>1</v>
          </cell>
          <cell r="D2228">
            <v>151</v>
          </cell>
          <cell r="E2228">
            <v>2210</v>
          </cell>
          <cell r="F2228" t="str">
            <v>VC01</v>
          </cell>
          <cell r="G2228" t="str">
            <v>Auto</v>
          </cell>
          <cell r="H2228">
            <v>311</v>
          </cell>
          <cell r="I2228">
            <v>2210</v>
          </cell>
          <cell r="J2228" t="e">
            <v>#N/A</v>
          </cell>
          <cell r="K2228" t="str">
            <v>VC01</v>
          </cell>
        </row>
        <row r="2229">
          <cell r="A2229" t="str">
            <v>HNDF344PCB01-DRRAC</v>
          </cell>
          <cell r="B2229" t="str">
            <v>DIP</v>
          </cell>
          <cell r="C2229">
            <v>1</v>
          </cell>
          <cell r="D2229" t="e">
            <v>#N/A</v>
          </cell>
          <cell r="E2229">
            <v>2210</v>
          </cell>
        </row>
        <row r="2230">
          <cell r="A2230" t="str">
            <v>1VI344PCB01-NRRAC</v>
          </cell>
          <cell r="B2230" t="str">
            <v>SMT</v>
          </cell>
          <cell r="C2230">
            <v>1</v>
          </cell>
          <cell r="D2230" t="e">
            <v>#N/A</v>
          </cell>
        </row>
        <row r="2231">
          <cell r="A2231" t="str">
            <v>CMRF344PCB01-NRRAC</v>
          </cell>
          <cell r="B2231" t="str">
            <v>SMT</v>
          </cell>
          <cell r="C2231">
            <v>1</v>
          </cell>
          <cell r="D2231">
            <v>219</v>
          </cell>
        </row>
        <row r="2232">
          <cell r="A2232" t="str">
            <v>CMFF344PCB01-NRRAC</v>
          </cell>
          <cell r="B2232" t="str">
            <v>SMT</v>
          </cell>
          <cell r="C2232">
            <v>1</v>
          </cell>
          <cell r="D2232">
            <v>151</v>
          </cell>
          <cell r="E2232">
            <v>2210</v>
          </cell>
          <cell r="F2232" t="str">
            <v>VC01</v>
          </cell>
          <cell r="G2232" t="str">
            <v>Auto</v>
          </cell>
          <cell r="H2232">
            <v>311</v>
          </cell>
          <cell r="I2232">
            <v>2210</v>
          </cell>
          <cell r="J2232">
            <v>2280</v>
          </cell>
          <cell r="K2232" t="str">
            <v>VC01</v>
          </cell>
        </row>
        <row r="2233">
          <cell r="A2233" t="str">
            <v>HNDF344PCB01-NRRAC</v>
          </cell>
          <cell r="B2233" t="str">
            <v>DIP</v>
          </cell>
          <cell r="C2233">
            <v>1</v>
          </cell>
          <cell r="D2233" t="e">
            <v>#N/A</v>
          </cell>
          <cell r="E2233">
            <v>2210</v>
          </cell>
          <cell r="F2233" t="str">
            <v>VC01</v>
          </cell>
          <cell r="G2233" t="str">
            <v>Auto</v>
          </cell>
          <cell r="H2233">
            <v>311</v>
          </cell>
          <cell r="I2233">
            <v>2210</v>
          </cell>
          <cell r="J2233">
            <v>2280</v>
          </cell>
          <cell r="K2233" t="str">
            <v>VC01</v>
          </cell>
        </row>
        <row r="2234">
          <cell r="A2234" t="str">
            <v>1VI344PCB01-YRRAC</v>
          </cell>
          <cell r="B2234" t="str">
            <v>SMT</v>
          </cell>
          <cell r="C2234">
            <v>1</v>
          </cell>
          <cell r="D2234" t="e">
            <v>#N/A</v>
          </cell>
        </row>
        <row r="2235">
          <cell r="A2235" t="str">
            <v>CMRF344PCB01-YRRAC</v>
          </cell>
          <cell r="B2235" t="str">
            <v>SMT</v>
          </cell>
          <cell r="C2235">
            <v>1</v>
          </cell>
          <cell r="D2235">
            <v>219</v>
          </cell>
        </row>
        <row r="2236">
          <cell r="A2236" t="str">
            <v>CMFF344PCB01-YRRAC</v>
          </cell>
          <cell r="B2236" t="str">
            <v>SMT</v>
          </cell>
          <cell r="C2236">
            <v>1</v>
          </cell>
          <cell r="D2236">
            <v>151</v>
          </cell>
          <cell r="E2236">
            <v>2210</v>
          </cell>
          <cell r="F2236" t="str">
            <v>VC01</v>
          </cell>
          <cell r="G2236" t="str">
            <v>Auto</v>
          </cell>
          <cell r="H2236">
            <v>311</v>
          </cell>
          <cell r="I2236">
            <v>2210</v>
          </cell>
          <cell r="J2236">
            <v>2280</v>
          </cell>
          <cell r="K2236" t="str">
            <v>VC01</v>
          </cell>
        </row>
        <row r="2237">
          <cell r="A2237" t="str">
            <v>HNDF344PCB01-YRRAC</v>
          </cell>
          <cell r="B2237" t="str">
            <v>DIP</v>
          </cell>
          <cell r="C2237">
            <v>1</v>
          </cell>
          <cell r="D2237" t="e">
            <v>#N/A</v>
          </cell>
          <cell r="E2237">
            <v>2210</v>
          </cell>
          <cell r="F2237" t="str">
            <v>VC01</v>
          </cell>
          <cell r="G2237" t="str">
            <v>Auto</v>
          </cell>
          <cell r="H2237">
            <v>311</v>
          </cell>
          <cell r="I2237">
            <v>2210</v>
          </cell>
          <cell r="J2237">
            <v>2280</v>
          </cell>
          <cell r="K2237" t="str">
            <v>VC01</v>
          </cell>
        </row>
        <row r="2238">
          <cell r="A2238" t="str">
            <v>CMFF344PCB40-0RRAC</v>
          </cell>
          <cell r="B2238" t="str">
            <v>SMT</v>
          </cell>
          <cell r="C2238">
            <v>1</v>
          </cell>
          <cell r="D2238">
            <v>104</v>
          </cell>
        </row>
        <row r="2239">
          <cell r="A2239" t="str">
            <v>AEFF344PCB40-0RRAC</v>
          </cell>
          <cell r="B2239" t="str">
            <v>SMT</v>
          </cell>
          <cell r="C2239">
            <v>1</v>
          </cell>
          <cell r="D2239">
            <v>12</v>
          </cell>
        </row>
        <row r="2240">
          <cell r="A2240" t="str">
            <v>RHFF344PCB40-0RRAC</v>
          </cell>
          <cell r="B2240" t="str">
            <v>SMT</v>
          </cell>
          <cell r="C2240">
            <v>1</v>
          </cell>
          <cell r="D2240">
            <v>6</v>
          </cell>
          <cell r="E2240">
            <v>2210</v>
          </cell>
          <cell r="F2240" t="str">
            <v>VC01</v>
          </cell>
          <cell r="G2240" t="str">
            <v>Auto</v>
          </cell>
          <cell r="H2240">
            <v>311</v>
          </cell>
          <cell r="I2240">
            <v>2210</v>
          </cell>
          <cell r="J2240">
            <v>2280</v>
          </cell>
          <cell r="K2240" t="str">
            <v>VC01</v>
          </cell>
        </row>
        <row r="2241">
          <cell r="A2241" t="str">
            <v>HNDF344PCB40-0RRAC</v>
          </cell>
          <cell r="B2241" t="str">
            <v>DIP</v>
          </cell>
          <cell r="C2241">
            <v>1</v>
          </cell>
          <cell r="D2241" t="e">
            <v>#N/A</v>
          </cell>
          <cell r="E2241">
            <v>2210</v>
          </cell>
          <cell r="F2241" t="str">
            <v>VC01</v>
          </cell>
          <cell r="G2241" t="str">
            <v>Auto</v>
          </cell>
          <cell r="H2241">
            <v>311</v>
          </cell>
          <cell r="I2241">
            <v>2210</v>
          </cell>
          <cell r="J2241">
            <v>2280</v>
          </cell>
          <cell r="K2241" t="str">
            <v>VC01</v>
          </cell>
        </row>
        <row r="2242">
          <cell r="A2242" t="str">
            <v>1VI1LPMB2120GMYA</v>
          </cell>
          <cell r="B2242" t="str">
            <v>SMT</v>
          </cell>
          <cell r="C2242">
            <v>1</v>
          </cell>
          <cell r="D2242" t="e">
            <v>#N/A</v>
          </cell>
        </row>
        <row r="2243">
          <cell r="A2243" t="str">
            <v>1RE1LPMB2120GMYA</v>
          </cell>
          <cell r="B2243" t="str">
            <v>SMT</v>
          </cell>
          <cell r="C2243">
            <v>1</v>
          </cell>
          <cell r="D2243">
            <v>268</v>
          </cell>
        </row>
        <row r="2244">
          <cell r="A2244" t="str">
            <v>1RE2LPMB2120GMYA</v>
          </cell>
          <cell r="B2244" t="str">
            <v>SMT</v>
          </cell>
          <cell r="C2244">
            <v>1</v>
          </cell>
          <cell r="D2244">
            <v>346</v>
          </cell>
        </row>
        <row r="2245">
          <cell r="A2245" t="str">
            <v>1RH1LPMB2120GMYA</v>
          </cell>
          <cell r="B2245" t="str">
            <v>SMT</v>
          </cell>
          <cell r="C2245">
            <v>1</v>
          </cell>
          <cell r="D2245">
            <v>14</v>
          </cell>
          <cell r="E2245">
            <v>2210</v>
          </cell>
          <cell r="F2245" t="str">
            <v>VC01</v>
          </cell>
          <cell r="G2245" t="str">
            <v>Auto</v>
          </cell>
          <cell r="H2245">
            <v>311</v>
          </cell>
          <cell r="I2245">
            <v>2210</v>
          </cell>
          <cell r="J2245" t="e">
            <v>#N/A</v>
          </cell>
          <cell r="K2245" t="str">
            <v>VC01</v>
          </cell>
        </row>
        <row r="2246">
          <cell r="A2246" t="str">
            <v>1AP1LPMB2120GMYA</v>
          </cell>
          <cell r="B2246" t="str">
            <v>DIP</v>
          </cell>
          <cell r="C2246">
            <v>1</v>
          </cell>
          <cell r="D2246" t="e">
            <v>#N/A</v>
          </cell>
          <cell r="E2246">
            <v>2210</v>
          </cell>
        </row>
        <row r="2247">
          <cell r="A2247" t="str">
            <v>1VI1LPMB2130GMYA</v>
          </cell>
          <cell r="B2247" t="str">
            <v>SMT</v>
          </cell>
          <cell r="C2247">
            <v>1</v>
          </cell>
          <cell r="D2247" t="e">
            <v>#N/A</v>
          </cell>
        </row>
        <row r="2248">
          <cell r="A2248" t="str">
            <v>1RE1LPMB2130GMYA</v>
          </cell>
          <cell r="B2248" t="str">
            <v>SMT</v>
          </cell>
          <cell r="C2248">
            <v>1</v>
          </cell>
          <cell r="D2248">
            <v>270</v>
          </cell>
        </row>
        <row r="2249">
          <cell r="A2249" t="str">
            <v>1RE2LPMB2130GMYA</v>
          </cell>
          <cell r="B2249" t="str">
            <v>SMT</v>
          </cell>
          <cell r="C2249">
            <v>1</v>
          </cell>
          <cell r="D2249">
            <v>362</v>
          </cell>
        </row>
        <row r="2250">
          <cell r="A2250" t="str">
            <v>1RH1LPMB2130GMYA</v>
          </cell>
          <cell r="B2250" t="str">
            <v>SMT</v>
          </cell>
          <cell r="C2250">
            <v>1</v>
          </cell>
          <cell r="D2250">
            <v>14</v>
          </cell>
          <cell r="E2250">
            <v>2210</v>
          </cell>
          <cell r="F2250" t="str">
            <v>VC01</v>
          </cell>
          <cell r="G2250" t="str">
            <v>Auto</v>
          </cell>
          <cell r="H2250">
            <v>311</v>
          </cell>
          <cell r="I2250">
            <v>2210</v>
          </cell>
          <cell r="J2250">
            <v>2260</v>
          </cell>
          <cell r="K2250" t="str">
            <v>VC01</v>
          </cell>
        </row>
        <row r="2251">
          <cell r="A2251" t="str">
            <v>1AP1LPMB2130GMYA</v>
          </cell>
          <cell r="B2251" t="str">
            <v>DIP</v>
          </cell>
          <cell r="C2251">
            <v>1</v>
          </cell>
          <cell r="D2251" t="e">
            <v>#N/A</v>
          </cell>
          <cell r="E2251">
            <v>2210</v>
          </cell>
          <cell r="F2251" t="str">
            <v>VC01</v>
          </cell>
          <cell r="G2251" t="str">
            <v>Auto</v>
          </cell>
          <cell r="H2251">
            <v>311</v>
          </cell>
          <cell r="I2251">
            <v>2210</v>
          </cell>
          <cell r="J2251">
            <v>2260</v>
          </cell>
          <cell r="K2251" t="str">
            <v>VC01</v>
          </cell>
        </row>
        <row r="2252">
          <cell r="A2252" t="str">
            <v>1VI1LPMB2130HXMYA</v>
          </cell>
          <cell r="B2252" t="str">
            <v>SMT</v>
          </cell>
          <cell r="C2252">
            <v>1</v>
          </cell>
          <cell r="D2252" t="e">
            <v>#N/A</v>
          </cell>
        </row>
        <row r="2253">
          <cell r="A2253" t="str">
            <v>1RE1LPMB2130HXMYA</v>
          </cell>
          <cell r="B2253" t="str">
            <v>SMT</v>
          </cell>
          <cell r="C2253">
            <v>1</v>
          </cell>
          <cell r="D2253">
            <v>284</v>
          </cell>
        </row>
        <row r="2254">
          <cell r="A2254" t="str">
            <v>1RE2LPMB2130HXMYA</v>
          </cell>
          <cell r="B2254" t="str">
            <v>SMT</v>
          </cell>
          <cell r="C2254">
            <v>1</v>
          </cell>
          <cell r="D2254">
            <v>369</v>
          </cell>
        </row>
        <row r="2255">
          <cell r="A2255" t="str">
            <v>1RH1LPMB2130HXMYA</v>
          </cell>
          <cell r="B2255" t="str">
            <v>SMT</v>
          </cell>
          <cell r="C2255">
            <v>1</v>
          </cell>
          <cell r="D2255">
            <v>7</v>
          </cell>
          <cell r="E2255">
            <v>2210</v>
          </cell>
          <cell r="F2255" t="str">
            <v>VC01</v>
          </cell>
          <cell r="G2255" t="str">
            <v>Auto</v>
          </cell>
          <cell r="H2255">
            <v>311</v>
          </cell>
          <cell r="I2255">
            <v>2210</v>
          </cell>
          <cell r="J2255">
            <v>2260</v>
          </cell>
          <cell r="K2255" t="str">
            <v>VC01</v>
          </cell>
        </row>
        <row r="2256">
          <cell r="A2256" t="str">
            <v>1AP1LPMB2130HXMYA</v>
          </cell>
          <cell r="B2256" t="str">
            <v>DIP</v>
          </cell>
          <cell r="C2256">
            <v>1</v>
          </cell>
          <cell r="D2256" t="e">
            <v>#N/A</v>
          </cell>
          <cell r="E2256">
            <v>2210</v>
          </cell>
          <cell r="F2256" t="str">
            <v>VC01</v>
          </cell>
          <cell r="G2256" t="str">
            <v>Auto</v>
          </cell>
          <cell r="H2256">
            <v>311</v>
          </cell>
          <cell r="I2256">
            <v>2210</v>
          </cell>
          <cell r="J2256">
            <v>2260</v>
          </cell>
          <cell r="K2256" t="str">
            <v>VC01</v>
          </cell>
        </row>
        <row r="2257">
          <cell r="A2257" t="str">
            <v>1VI1TDA0187XV4</v>
          </cell>
          <cell r="B2257" t="str">
            <v>SMT</v>
          </cell>
          <cell r="C2257">
            <v>1</v>
          </cell>
          <cell r="D2257" t="e">
            <v>#N/A</v>
          </cell>
        </row>
        <row r="2258">
          <cell r="A2258" t="str">
            <v>1RE1TDA0187XV4</v>
          </cell>
          <cell r="B2258" t="str">
            <v>SMT</v>
          </cell>
          <cell r="C2258">
            <v>1</v>
          </cell>
          <cell r="D2258">
            <v>384</v>
          </cell>
        </row>
        <row r="2259">
          <cell r="A2259" t="str">
            <v>1RH1TDA0187XV4</v>
          </cell>
          <cell r="B2259" t="str">
            <v>SMT</v>
          </cell>
          <cell r="C2259">
            <v>1</v>
          </cell>
          <cell r="D2259">
            <v>13</v>
          </cell>
        </row>
        <row r="2260">
          <cell r="A2260" t="str">
            <v>1CM1TDA0187XV4</v>
          </cell>
          <cell r="B2260" t="str">
            <v>SMT</v>
          </cell>
          <cell r="C2260">
            <v>1</v>
          </cell>
          <cell r="D2260">
            <v>162</v>
          </cell>
          <cell r="E2260">
            <v>2210</v>
          </cell>
          <cell r="F2260" t="str">
            <v>VC01</v>
          </cell>
          <cell r="G2260" t="str">
            <v>Auto</v>
          </cell>
          <cell r="H2260">
            <v>311</v>
          </cell>
          <cell r="I2260">
            <v>2210</v>
          </cell>
          <cell r="J2260">
            <v>2310</v>
          </cell>
          <cell r="K2260" t="str">
            <v>VC01</v>
          </cell>
        </row>
        <row r="2261">
          <cell r="A2261" t="str">
            <v>1AP1TDA0187XV4</v>
          </cell>
          <cell r="B2261" t="str">
            <v>DIP</v>
          </cell>
          <cell r="C2261">
            <v>1</v>
          </cell>
          <cell r="D2261" t="e">
            <v>#N/A</v>
          </cell>
          <cell r="E2261">
            <v>2210</v>
          </cell>
          <cell r="F2261" t="str">
            <v>VC01</v>
          </cell>
          <cell r="G2261" t="str">
            <v>Auto</v>
          </cell>
          <cell r="H2261">
            <v>311</v>
          </cell>
          <cell r="I2261">
            <v>2210</v>
          </cell>
          <cell r="J2261">
            <v>2310</v>
          </cell>
          <cell r="K2261" t="str">
            <v>VC01</v>
          </cell>
        </row>
        <row r="2262">
          <cell r="A2262" t="str">
            <v>1VI1LPMB2120JTMYA</v>
          </cell>
          <cell r="B2262" t="str">
            <v>SMT</v>
          </cell>
          <cell r="C2262">
            <v>1</v>
          </cell>
          <cell r="D2262" t="e">
            <v>#N/A</v>
          </cell>
        </row>
        <row r="2263">
          <cell r="A2263" t="str">
            <v>1RE1LPMB2120JTMYA</v>
          </cell>
          <cell r="B2263" t="str">
            <v>SMT</v>
          </cell>
          <cell r="C2263">
            <v>1</v>
          </cell>
          <cell r="D2263">
            <v>268</v>
          </cell>
        </row>
        <row r="2264">
          <cell r="A2264" t="str">
            <v>1RE2LPMB2120JTMYA</v>
          </cell>
          <cell r="B2264" t="str">
            <v>SMT</v>
          </cell>
          <cell r="C2264">
            <v>1</v>
          </cell>
          <cell r="D2264">
            <v>346</v>
          </cell>
        </row>
        <row r="2265">
          <cell r="A2265" t="str">
            <v>1RH1LPMB2120JTMYA</v>
          </cell>
          <cell r="B2265" t="str">
            <v>SMT</v>
          </cell>
          <cell r="C2265">
            <v>1</v>
          </cell>
          <cell r="D2265">
            <v>14</v>
          </cell>
          <cell r="E2265">
            <v>2210</v>
          </cell>
          <cell r="F2265" t="str">
            <v>VC01</v>
          </cell>
          <cell r="G2265" t="str">
            <v>Auto</v>
          </cell>
          <cell r="H2265">
            <v>311</v>
          </cell>
          <cell r="I2265">
            <v>2210</v>
          </cell>
          <cell r="J2265" t="e">
            <v>#N/A</v>
          </cell>
          <cell r="K2265" t="str">
            <v>VC01</v>
          </cell>
        </row>
        <row r="2266">
          <cell r="A2266" t="str">
            <v>1AP1LPMB2120JTMYA</v>
          </cell>
          <cell r="B2266" t="str">
            <v>DIP</v>
          </cell>
          <cell r="C2266">
            <v>1</v>
          </cell>
          <cell r="D2266" t="e">
            <v>#N/A</v>
          </cell>
          <cell r="E2266">
            <v>2210</v>
          </cell>
        </row>
        <row r="2267">
          <cell r="A2267" t="str">
            <v>1VI1LPMB2130JTMYA</v>
          </cell>
          <cell r="B2267" t="str">
            <v>SMT</v>
          </cell>
          <cell r="C2267">
            <v>1</v>
          </cell>
          <cell r="D2267" t="e">
            <v>#N/A</v>
          </cell>
        </row>
        <row r="2268">
          <cell r="A2268" t="str">
            <v>1RE1LPMB2130JTMYA</v>
          </cell>
          <cell r="B2268" t="str">
            <v>SMT</v>
          </cell>
          <cell r="C2268">
            <v>1</v>
          </cell>
          <cell r="D2268">
            <v>270</v>
          </cell>
        </row>
        <row r="2269">
          <cell r="A2269" t="str">
            <v>1RE2LPMB2130JTMYA</v>
          </cell>
          <cell r="B2269" t="str">
            <v>SMT</v>
          </cell>
          <cell r="C2269">
            <v>1</v>
          </cell>
          <cell r="D2269">
            <v>362</v>
          </cell>
        </row>
        <row r="2270">
          <cell r="A2270" t="str">
            <v>1RH1LPMB2130JTMYA</v>
          </cell>
          <cell r="B2270" t="str">
            <v>SMT</v>
          </cell>
          <cell r="C2270">
            <v>1</v>
          </cell>
          <cell r="D2270">
            <v>14</v>
          </cell>
          <cell r="E2270">
            <v>2210</v>
          </cell>
          <cell r="F2270" t="str">
            <v>VC01</v>
          </cell>
          <cell r="G2270" t="str">
            <v>Auto</v>
          </cell>
          <cell r="H2270">
            <v>311</v>
          </cell>
          <cell r="I2270">
            <v>2210</v>
          </cell>
          <cell r="J2270">
            <v>2260</v>
          </cell>
          <cell r="K2270" t="str">
            <v>VC01</v>
          </cell>
        </row>
        <row r="2271">
          <cell r="A2271" t="str">
            <v>1AP1LPMB2130JTMYA</v>
          </cell>
          <cell r="B2271" t="str">
            <v>DIP</v>
          </cell>
          <cell r="C2271">
            <v>1</v>
          </cell>
          <cell r="D2271" t="e">
            <v>#N/A</v>
          </cell>
          <cell r="E2271">
            <v>2210</v>
          </cell>
          <cell r="F2271" t="str">
            <v>VC01</v>
          </cell>
          <cell r="G2271" t="str">
            <v>Auto</v>
          </cell>
          <cell r="H2271">
            <v>311</v>
          </cell>
          <cell r="I2271">
            <v>2210</v>
          </cell>
          <cell r="J2271">
            <v>2260</v>
          </cell>
          <cell r="K2271" t="str">
            <v>VC01</v>
          </cell>
        </row>
        <row r="2272">
          <cell r="A2272" t="str">
            <v>1VI1LPMB2170GMYA</v>
          </cell>
          <cell r="B2272" t="str">
            <v>SMT</v>
          </cell>
          <cell r="C2272">
            <v>1</v>
          </cell>
          <cell r="D2272" t="e">
            <v>#N/A</v>
          </cell>
        </row>
        <row r="2273">
          <cell r="A2273" t="str">
            <v>1RE1LPMB2170GMYA</v>
          </cell>
          <cell r="B2273" t="str">
            <v>SMT</v>
          </cell>
          <cell r="C2273">
            <v>1</v>
          </cell>
          <cell r="D2273">
            <v>270</v>
          </cell>
        </row>
        <row r="2274">
          <cell r="A2274" t="str">
            <v>1RE2LPMB2170GMYA</v>
          </cell>
          <cell r="B2274" t="str">
            <v>SMT</v>
          </cell>
          <cell r="C2274">
            <v>1</v>
          </cell>
          <cell r="D2274">
            <v>375</v>
          </cell>
        </row>
        <row r="2275">
          <cell r="A2275" t="str">
            <v>1RH1LPMB2170GMYA</v>
          </cell>
          <cell r="B2275" t="str">
            <v>SMT</v>
          </cell>
          <cell r="C2275">
            <v>1</v>
          </cell>
          <cell r="D2275">
            <v>14</v>
          </cell>
          <cell r="E2275">
            <v>2210</v>
          </cell>
          <cell r="F2275" t="str">
            <v>VC01</v>
          </cell>
          <cell r="G2275" t="str">
            <v>Auto</v>
          </cell>
          <cell r="H2275">
            <v>311</v>
          </cell>
          <cell r="I2275">
            <v>2210</v>
          </cell>
          <cell r="J2275">
            <v>2260</v>
          </cell>
          <cell r="K2275" t="str">
            <v>VC01</v>
          </cell>
        </row>
        <row r="2276">
          <cell r="A2276" t="str">
            <v>1AP1LPMB2170GMYA</v>
          </cell>
          <cell r="B2276" t="str">
            <v>DIP</v>
          </cell>
          <cell r="C2276">
            <v>1</v>
          </cell>
          <cell r="D2276" t="e">
            <v>#N/A</v>
          </cell>
          <cell r="E2276">
            <v>2210</v>
          </cell>
          <cell r="F2276" t="str">
            <v>VC01</v>
          </cell>
          <cell r="G2276" t="str">
            <v>Auto</v>
          </cell>
          <cell r="H2276">
            <v>311</v>
          </cell>
          <cell r="I2276">
            <v>2210</v>
          </cell>
          <cell r="J2276">
            <v>2260</v>
          </cell>
          <cell r="K2276" t="str">
            <v>VC01</v>
          </cell>
        </row>
        <row r="2277">
          <cell r="A2277" t="str">
            <v>1VI1LPMB2170JTMYA</v>
          </cell>
          <cell r="B2277" t="str">
            <v>SMT</v>
          </cell>
          <cell r="C2277">
            <v>1</v>
          </cell>
          <cell r="D2277" t="e">
            <v>#N/A</v>
          </cell>
        </row>
        <row r="2278">
          <cell r="A2278" t="str">
            <v>1RE1LPMB2170JTMYA</v>
          </cell>
          <cell r="B2278" t="str">
            <v>SMT</v>
          </cell>
          <cell r="C2278">
            <v>1</v>
          </cell>
          <cell r="D2278">
            <v>270</v>
          </cell>
        </row>
        <row r="2279">
          <cell r="A2279" t="str">
            <v>1RE2LPMB2170JTMYA</v>
          </cell>
          <cell r="B2279" t="str">
            <v>SMT</v>
          </cell>
          <cell r="C2279">
            <v>1</v>
          </cell>
          <cell r="D2279">
            <v>375</v>
          </cell>
        </row>
        <row r="2280">
          <cell r="A2280" t="str">
            <v>1RH1LPMB2170JTMYA</v>
          </cell>
          <cell r="B2280" t="str">
            <v>SMT</v>
          </cell>
          <cell r="C2280">
            <v>1</v>
          </cell>
          <cell r="D2280">
            <v>14</v>
          </cell>
          <cell r="E2280">
            <v>2210</v>
          </cell>
          <cell r="F2280" t="str">
            <v>VC01</v>
          </cell>
          <cell r="G2280" t="str">
            <v>Auto</v>
          </cell>
          <cell r="H2280">
            <v>311</v>
          </cell>
          <cell r="I2280">
            <v>2210</v>
          </cell>
          <cell r="J2280" t="e">
            <v>#N/A</v>
          </cell>
          <cell r="K2280" t="str">
            <v>VC01</v>
          </cell>
        </row>
        <row r="2281">
          <cell r="A2281" t="str">
            <v>1AP1LPMB2170JTMYA</v>
          </cell>
          <cell r="B2281" t="str">
            <v>DIP</v>
          </cell>
          <cell r="C2281">
            <v>1</v>
          </cell>
          <cell r="D2281" t="e">
            <v>#N/A</v>
          </cell>
          <cell r="E2281">
            <v>2210</v>
          </cell>
        </row>
        <row r="2282">
          <cell r="A2282" t="str">
            <v>1VI1NS0132XGEU</v>
          </cell>
          <cell r="B2282" t="str">
            <v>SMT</v>
          </cell>
          <cell r="C2282">
            <v>1</v>
          </cell>
          <cell r="D2282" t="e">
            <v>#N/A</v>
          </cell>
        </row>
        <row r="2283">
          <cell r="A2283" t="str">
            <v>1VI2NS0132XGEU</v>
          </cell>
          <cell r="B2283" t="str">
            <v>SMT</v>
          </cell>
          <cell r="C2283">
            <v>1</v>
          </cell>
          <cell r="D2283" t="e">
            <v>#N/A</v>
          </cell>
        </row>
        <row r="2284">
          <cell r="A2284" t="str">
            <v>1RE1NS0132XGEU</v>
          </cell>
          <cell r="B2284" t="str">
            <v>SMT</v>
          </cell>
          <cell r="C2284">
            <v>1</v>
          </cell>
          <cell r="D2284">
            <v>685</v>
          </cell>
          <cell r="E2284">
            <v>2210</v>
          </cell>
          <cell r="F2284" t="str">
            <v>VC01</v>
          </cell>
          <cell r="G2284" t="str">
            <v>Auto</v>
          </cell>
          <cell r="H2284">
            <v>311</v>
          </cell>
          <cell r="I2284">
            <v>2210</v>
          </cell>
          <cell r="J2284">
            <v>2310</v>
          </cell>
          <cell r="K2284" t="str">
            <v>VC01</v>
          </cell>
        </row>
        <row r="2285">
          <cell r="A2285" t="str">
            <v>1AP1NS0132XGEU</v>
          </cell>
          <cell r="B2285" t="str">
            <v>DIP</v>
          </cell>
          <cell r="C2285">
            <v>1</v>
          </cell>
          <cell r="D2285" t="e">
            <v>#N/A</v>
          </cell>
          <cell r="E2285">
            <v>2210</v>
          </cell>
          <cell r="F2285" t="str">
            <v>VC01</v>
          </cell>
          <cell r="G2285" t="str">
            <v>Auto</v>
          </cell>
          <cell r="H2285">
            <v>311</v>
          </cell>
          <cell r="I2285">
            <v>2210</v>
          </cell>
          <cell r="J2285">
            <v>2310</v>
          </cell>
          <cell r="K2285" t="str">
            <v>VC01</v>
          </cell>
        </row>
        <row r="2286">
          <cell r="A2286" t="str">
            <v>1VJ1LPSL3066M-R1</v>
          </cell>
          <cell r="B2286" t="str">
            <v>SMT</v>
          </cell>
          <cell r="C2286">
            <v>1</v>
          </cell>
          <cell r="D2286" t="e">
            <v>#N/A</v>
          </cell>
        </row>
        <row r="2287">
          <cell r="A2287" t="str">
            <v>1RE1LPSL3056M-R1</v>
          </cell>
          <cell r="B2287" t="str">
            <v>SMT</v>
          </cell>
          <cell r="C2287">
            <v>1</v>
          </cell>
          <cell r="D2287">
            <v>600</v>
          </cell>
        </row>
        <row r="2288">
          <cell r="A2288" t="str">
            <v>1RE2LPSL3056M-R1</v>
          </cell>
          <cell r="B2288" t="str">
            <v>SMT</v>
          </cell>
          <cell r="C2288">
            <v>1</v>
          </cell>
          <cell r="D2288">
            <v>548</v>
          </cell>
        </row>
        <row r="2289">
          <cell r="A2289" t="str">
            <v>1RE1LPSL3066M-R1</v>
          </cell>
          <cell r="B2289" t="str">
            <v>SMT</v>
          </cell>
          <cell r="C2289">
            <v>1</v>
          </cell>
          <cell r="D2289">
            <v>623</v>
          </cell>
        </row>
        <row r="2290">
          <cell r="A2290" t="str">
            <v>1RE2LPSL3066M-R1</v>
          </cell>
          <cell r="B2290" t="str">
            <v>SMT</v>
          </cell>
          <cell r="C2290">
            <v>1</v>
          </cell>
          <cell r="D2290">
            <v>593</v>
          </cell>
        </row>
        <row r="2291">
          <cell r="A2291" t="str">
            <v>2CM1LPSL3066F-R1</v>
          </cell>
          <cell r="B2291" t="str">
            <v>SMT</v>
          </cell>
          <cell r="C2291">
            <v>1</v>
          </cell>
          <cell r="D2291">
            <v>9</v>
          </cell>
        </row>
        <row r="2292">
          <cell r="A2292" t="str">
            <v>2AP1LPSL3066F-R1</v>
          </cell>
          <cell r="B2292" t="str">
            <v>DIP</v>
          </cell>
          <cell r="C2292">
            <v>1</v>
          </cell>
          <cell r="D2292" t="e">
            <v>#N/A</v>
          </cell>
          <cell r="E2292">
            <v>2210</v>
          </cell>
        </row>
        <row r="2293">
          <cell r="A2293" t="str">
            <v>4RH1LPSL3066G-R1</v>
          </cell>
          <cell r="B2293" t="str">
            <v>SMT</v>
          </cell>
          <cell r="C2293">
            <v>1</v>
          </cell>
          <cell r="D2293">
            <v>5</v>
          </cell>
        </row>
        <row r="2294">
          <cell r="A2294" t="str">
            <v>4CM1LPSL3066G-R1</v>
          </cell>
          <cell r="B2294" t="str">
            <v>SMT</v>
          </cell>
          <cell r="C2294">
            <v>1</v>
          </cell>
          <cell r="D2294">
            <v>45</v>
          </cell>
        </row>
        <row r="2295">
          <cell r="A2295" t="str">
            <v>4AP1LPSL3066G-R1</v>
          </cell>
          <cell r="B2295" t="str">
            <v>DIP</v>
          </cell>
          <cell r="C2295">
            <v>1</v>
          </cell>
          <cell r="D2295" t="e">
            <v>#N/A</v>
          </cell>
          <cell r="E2295">
            <v>2210</v>
          </cell>
        </row>
        <row r="2296">
          <cell r="A2296" t="str">
            <v>5CM1LPSL3066S-R1</v>
          </cell>
          <cell r="B2296" t="str">
            <v>SMT</v>
          </cell>
          <cell r="C2296">
            <v>1</v>
          </cell>
          <cell r="D2296">
            <v>28</v>
          </cell>
        </row>
        <row r="2297">
          <cell r="A2297" t="str">
            <v>5AP1LPSL3066S-R1</v>
          </cell>
          <cell r="B2297" t="str">
            <v>DIP</v>
          </cell>
          <cell r="C2297">
            <v>1</v>
          </cell>
          <cell r="D2297" t="e">
            <v>#N/A</v>
          </cell>
          <cell r="E2297">
            <v>2210</v>
          </cell>
        </row>
        <row r="2298">
          <cell r="A2298" t="str">
            <v>1RE1TDE0110V4</v>
          </cell>
          <cell r="B2298" t="str">
            <v>SMT</v>
          </cell>
          <cell r="C2298">
            <v>1</v>
          </cell>
          <cell r="D2298">
            <v>127</v>
          </cell>
        </row>
        <row r="2299">
          <cell r="A2299" t="str">
            <v>1RE2TDE0110V4</v>
          </cell>
          <cell r="B2299" t="str">
            <v>SMT</v>
          </cell>
          <cell r="C2299">
            <v>1</v>
          </cell>
          <cell r="D2299">
            <v>116</v>
          </cell>
          <cell r="E2299">
            <v>2210</v>
          </cell>
          <cell r="F2299" t="str">
            <v>VC01</v>
          </cell>
          <cell r="G2299" t="str">
            <v>Auto</v>
          </cell>
          <cell r="H2299">
            <v>311</v>
          </cell>
          <cell r="I2299">
            <v>2210</v>
          </cell>
          <cell r="J2299">
            <v>2310</v>
          </cell>
          <cell r="K2299" t="str">
            <v>VC01</v>
          </cell>
        </row>
        <row r="2300">
          <cell r="A2300" t="str">
            <v>1RE1LPTDA63822ZA</v>
          </cell>
          <cell r="B2300" t="str">
            <v>SMT</v>
          </cell>
          <cell r="C2300">
            <v>1</v>
          </cell>
          <cell r="D2300">
            <v>461</v>
          </cell>
        </row>
        <row r="2301">
          <cell r="A2301" t="str">
            <v>1RE2LPTDA63822ZA</v>
          </cell>
          <cell r="B2301" t="str">
            <v>SMT</v>
          </cell>
          <cell r="C2301">
            <v>1</v>
          </cell>
          <cell r="D2301">
            <v>235</v>
          </cell>
          <cell r="E2301">
            <v>2210</v>
          </cell>
          <cell r="F2301" t="str">
            <v>VC01</v>
          </cell>
          <cell r="G2301" t="str">
            <v>Auto</v>
          </cell>
          <cell r="H2301">
            <v>311</v>
          </cell>
          <cell r="I2301">
            <v>2210</v>
          </cell>
          <cell r="J2301">
            <v>2310</v>
          </cell>
          <cell r="K2301" t="str">
            <v>VC01</v>
          </cell>
        </row>
        <row r="2302">
          <cell r="A2302" t="str">
            <v>1AP1LPTDA63822ZA</v>
          </cell>
          <cell r="B2302" t="str">
            <v>DIP</v>
          </cell>
          <cell r="C2302">
            <v>1</v>
          </cell>
          <cell r="D2302" t="e">
            <v>#N/A</v>
          </cell>
          <cell r="E2302">
            <v>2210</v>
          </cell>
          <cell r="F2302" t="str">
            <v>VC01</v>
          </cell>
          <cell r="G2302" t="str">
            <v>Auto</v>
          </cell>
          <cell r="H2302">
            <v>311</v>
          </cell>
          <cell r="I2302">
            <v>2210</v>
          </cell>
          <cell r="J2302">
            <v>2310</v>
          </cell>
          <cell r="K2302" t="str">
            <v>VC01</v>
          </cell>
        </row>
        <row r="2303">
          <cell r="A2303" t="str">
            <v>1VJ1LPTDA63821ZA</v>
          </cell>
          <cell r="B2303" t="str">
            <v>SMT</v>
          </cell>
          <cell r="C2303">
            <v>1</v>
          </cell>
          <cell r="D2303" t="e">
            <v>#N/A</v>
          </cell>
        </row>
        <row r="2304">
          <cell r="A2304" t="str">
            <v>1RE1LPTDA63821ZA</v>
          </cell>
          <cell r="B2304" t="str">
            <v>SMT</v>
          </cell>
          <cell r="C2304">
            <v>1</v>
          </cell>
          <cell r="D2304">
            <v>363</v>
          </cell>
        </row>
        <row r="2305">
          <cell r="A2305" t="str">
            <v>1RE2LPTDA63821ZA</v>
          </cell>
          <cell r="B2305" t="str">
            <v>SMT</v>
          </cell>
          <cell r="C2305">
            <v>1</v>
          </cell>
          <cell r="D2305">
            <v>581</v>
          </cell>
        </row>
        <row r="2306">
          <cell r="A2306" t="str">
            <v>1RH1LPTDA63821ZA</v>
          </cell>
          <cell r="B2306" t="str">
            <v>SMT</v>
          </cell>
          <cell r="C2306">
            <v>1</v>
          </cell>
          <cell r="D2306">
            <v>41</v>
          </cell>
          <cell r="E2306">
            <v>2210</v>
          </cell>
          <cell r="F2306" t="str">
            <v>VC01</v>
          </cell>
          <cell r="G2306" t="str">
            <v>Auto</v>
          </cell>
          <cell r="H2306">
            <v>311</v>
          </cell>
          <cell r="I2306">
            <v>2210</v>
          </cell>
          <cell r="J2306">
            <v>2310</v>
          </cell>
          <cell r="K2306" t="str">
            <v>VC01</v>
          </cell>
        </row>
        <row r="2307">
          <cell r="A2307" t="str">
            <v>1AP1LPTDA63821ZA</v>
          </cell>
          <cell r="B2307" t="str">
            <v>DIP</v>
          </cell>
          <cell r="C2307">
            <v>1</v>
          </cell>
          <cell r="D2307" t="e">
            <v>#N/A</v>
          </cell>
          <cell r="E2307">
            <v>2210</v>
          </cell>
          <cell r="F2307" t="str">
            <v>VC01</v>
          </cell>
          <cell r="G2307" t="str">
            <v>Auto</v>
          </cell>
          <cell r="H2307">
            <v>311</v>
          </cell>
          <cell r="I2307">
            <v>2210</v>
          </cell>
          <cell r="J2307">
            <v>2310</v>
          </cell>
          <cell r="K2307" t="str">
            <v>VC01</v>
          </cell>
        </row>
        <row r="2308">
          <cell r="A2308" t="str">
            <v>1VI1LPMB2170HXMYA</v>
          </cell>
          <cell r="B2308" t="str">
            <v>SMT</v>
          </cell>
          <cell r="C2308">
            <v>1</v>
          </cell>
          <cell r="D2308" t="e">
            <v>#N/A</v>
          </cell>
        </row>
        <row r="2309">
          <cell r="A2309" t="str">
            <v>1RE1LPMB2170HXMYA</v>
          </cell>
          <cell r="B2309" t="str">
            <v>SMT</v>
          </cell>
          <cell r="C2309">
            <v>1</v>
          </cell>
          <cell r="D2309">
            <v>284</v>
          </cell>
        </row>
        <row r="2310">
          <cell r="A2310" t="str">
            <v>1RE2LPMB2170HXMYA</v>
          </cell>
          <cell r="B2310" t="str">
            <v>SMT</v>
          </cell>
          <cell r="C2310">
            <v>1</v>
          </cell>
          <cell r="D2310">
            <v>382</v>
          </cell>
        </row>
        <row r="2311">
          <cell r="A2311" t="str">
            <v>1RH1LPMB2170HXMYA</v>
          </cell>
          <cell r="B2311" t="str">
            <v>SMT</v>
          </cell>
          <cell r="C2311">
            <v>1</v>
          </cell>
          <cell r="D2311">
            <v>7</v>
          </cell>
          <cell r="E2311">
            <v>2210</v>
          </cell>
          <cell r="F2311" t="str">
            <v>VC01</v>
          </cell>
          <cell r="G2311" t="str">
            <v>Auto</v>
          </cell>
          <cell r="H2311">
            <v>311</v>
          </cell>
          <cell r="I2311">
            <v>2210</v>
          </cell>
          <cell r="J2311">
            <v>2260</v>
          </cell>
          <cell r="K2311" t="str">
            <v>VC01</v>
          </cell>
        </row>
        <row r="2312">
          <cell r="A2312" t="str">
            <v>1AP1LPMB2170HXMYA</v>
          </cell>
          <cell r="B2312" t="str">
            <v>DIP</v>
          </cell>
          <cell r="C2312">
            <v>1</v>
          </cell>
          <cell r="D2312" t="e">
            <v>#N/A</v>
          </cell>
          <cell r="E2312">
            <v>2210</v>
          </cell>
          <cell r="F2312" t="str">
            <v>VC01</v>
          </cell>
          <cell r="G2312" t="str">
            <v>Auto</v>
          </cell>
          <cell r="H2312">
            <v>311</v>
          </cell>
          <cell r="I2312">
            <v>2210</v>
          </cell>
          <cell r="J2312">
            <v>2260</v>
          </cell>
          <cell r="K2312" t="str">
            <v>VC01</v>
          </cell>
        </row>
        <row r="2313">
          <cell r="A2313" t="str">
            <v>1RE1TDE0111V4</v>
          </cell>
          <cell r="B2313" t="str">
            <v>SMT</v>
          </cell>
          <cell r="C2313">
            <v>1</v>
          </cell>
          <cell r="D2313">
            <v>127</v>
          </cell>
        </row>
        <row r="2314">
          <cell r="A2314" t="str">
            <v>1RE2TDE0111V4</v>
          </cell>
          <cell r="B2314" t="str">
            <v>SMT</v>
          </cell>
          <cell r="C2314">
            <v>1</v>
          </cell>
          <cell r="D2314">
            <v>116</v>
          </cell>
          <cell r="E2314">
            <v>2210</v>
          </cell>
          <cell r="F2314" t="str">
            <v>VC01</v>
          </cell>
          <cell r="G2314" t="str">
            <v>Auto</v>
          </cell>
          <cell r="H2314">
            <v>311</v>
          </cell>
          <cell r="I2314">
            <v>2210</v>
          </cell>
          <cell r="J2314">
            <v>2310</v>
          </cell>
          <cell r="K2314" t="str">
            <v>VC01</v>
          </cell>
        </row>
        <row r="2315">
          <cell r="A2315" t="str">
            <v>1VI1LPFG520RCMZA</v>
          </cell>
          <cell r="B2315" t="str">
            <v>SMT</v>
          </cell>
          <cell r="C2315">
            <v>1</v>
          </cell>
          <cell r="D2315" t="e">
            <v>#N/A</v>
          </cell>
        </row>
        <row r="2316">
          <cell r="A2316" t="str">
            <v>1RE1LPFG520RCMZA</v>
          </cell>
          <cell r="B2316" t="str">
            <v>SMT</v>
          </cell>
          <cell r="C2316">
            <v>1</v>
          </cell>
          <cell r="D2316">
            <v>170</v>
          </cell>
        </row>
        <row r="2317">
          <cell r="A2317" t="str">
            <v>1RE2LPFG520RCMZA</v>
          </cell>
          <cell r="B2317" t="str">
            <v>SMT</v>
          </cell>
          <cell r="C2317">
            <v>1</v>
          </cell>
          <cell r="D2317">
            <v>131</v>
          </cell>
          <cell r="E2317">
            <v>2210</v>
          </cell>
          <cell r="F2317" t="str">
            <v>VC01</v>
          </cell>
          <cell r="G2317" t="str">
            <v>Auto</v>
          </cell>
          <cell r="H2317">
            <v>311</v>
          </cell>
          <cell r="I2317">
            <v>2210</v>
          </cell>
          <cell r="J2317">
            <v>2280</v>
          </cell>
          <cell r="K2317" t="str">
            <v>VC01</v>
          </cell>
        </row>
        <row r="2318">
          <cell r="A2318" t="str">
            <v>1AP1LPFG520RCMZA</v>
          </cell>
          <cell r="B2318" t="str">
            <v>DIP</v>
          </cell>
          <cell r="C2318">
            <v>1</v>
          </cell>
          <cell r="D2318" t="e">
            <v>#N/A</v>
          </cell>
          <cell r="E2318">
            <v>2210</v>
          </cell>
          <cell r="F2318" t="str">
            <v>VC01</v>
          </cell>
          <cell r="G2318" t="str">
            <v>Auto</v>
          </cell>
          <cell r="H2318">
            <v>311</v>
          </cell>
          <cell r="I2318">
            <v>2210</v>
          </cell>
          <cell r="J2318">
            <v>2280</v>
          </cell>
          <cell r="K2318" t="str">
            <v>VC01</v>
          </cell>
        </row>
        <row r="2319">
          <cell r="A2319" t="str">
            <v>1RE1TDA0193XEU</v>
          </cell>
          <cell r="B2319" t="str">
            <v>SMT</v>
          </cell>
          <cell r="C2319">
            <v>1</v>
          </cell>
          <cell r="D2319">
            <v>189</v>
          </cell>
        </row>
        <row r="2320">
          <cell r="A2320" t="str">
            <v>1RE2TDA0193XEU</v>
          </cell>
          <cell r="B2320" t="str">
            <v>SMT</v>
          </cell>
          <cell r="C2320">
            <v>1</v>
          </cell>
          <cell r="D2320">
            <v>87</v>
          </cell>
          <cell r="E2320">
            <v>2210</v>
          </cell>
          <cell r="F2320" t="str">
            <v>VC01</v>
          </cell>
          <cell r="G2320" t="str">
            <v>Auto</v>
          </cell>
          <cell r="H2320">
            <v>311</v>
          </cell>
          <cell r="I2320">
            <v>2210</v>
          </cell>
          <cell r="J2320">
            <v>2310</v>
          </cell>
          <cell r="K2320" t="str">
            <v>VC01</v>
          </cell>
        </row>
        <row r="2321">
          <cell r="A2321" t="str">
            <v>1AP1TDA0193XEU</v>
          </cell>
          <cell r="B2321" t="str">
            <v>DIP</v>
          </cell>
          <cell r="C2321">
            <v>1</v>
          </cell>
          <cell r="D2321" t="e">
            <v>#N/A</v>
          </cell>
          <cell r="E2321">
            <v>2210</v>
          </cell>
          <cell r="F2321" t="str">
            <v>VC01</v>
          </cell>
          <cell r="G2321" t="str">
            <v>Auto</v>
          </cell>
          <cell r="H2321">
            <v>311</v>
          </cell>
          <cell r="I2321">
            <v>2210</v>
          </cell>
          <cell r="J2321">
            <v>2310</v>
          </cell>
          <cell r="K2321" t="str">
            <v>VC01</v>
          </cell>
        </row>
        <row r="2322">
          <cell r="A2322" t="str">
            <v>1VI1NS5170XT1</v>
          </cell>
          <cell r="B2322" t="str">
            <v>SMT</v>
          </cell>
          <cell r="C2322">
            <v>1</v>
          </cell>
          <cell r="D2322" t="e">
            <v>#N/A</v>
          </cell>
        </row>
        <row r="2323">
          <cell r="A2323" t="str">
            <v>1VJ1NS5170XT1</v>
          </cell>
          <cell r="B2323" t="str">
            <v>SMT</v>
          </cell>
          <cell r="C2323">
            <v>1</v>
          </cell>
          <cell r="D2323" t="e">
            <v>#N/A</v>
          </cell>
        </row>
        <row r="2324">
          <cell r="A2324" t="str">
            <v>1RE1NS5170XT1</v>
          </cell>
          <cell r="B2324" t="str">
            <v>SMT</v>
          </cell>
          <cell r="C2324">
            <v>1</v>
          </cell>
          <cell r="D2324">
            <v>235</v>
          </cell>
        </row>
        <row r="2325">
          <cell r="A2325" t="str">
            <v>1RE2NS5170XT1</v>
          </cell>
          <cell r="B2325" t="str">
            <v>SMT</v>
          </cell>
          <cell r="C2325">
            <v>1</v>
          </cell>
          <cell r="D2325">
            <v>421</v>
          </cell>
        </row>
        <row r="2326">
          <cell r="A2326" t="str">
            <v>1RH1NS5170XT1</v>
          </cell>
          <cell r="B2326" t="str">
            <v>SMT</v>
          </cell>
          <cell r="C2326">
            <v>1</v>
          </cell>
          <cell r="D2326">
            <v>10</v>
          </cell>
        </row>
        <row r="2327">
          <cell r="A2327" t="str">
            <v>1AP1NS5170XT1</v>
          </cell>
          <cell r="B2327" t="str">
            <v>DIP</v>
          </cell>
          <cell r="C2327">
            <v>1</v>
          </cell>
          <cell r="D2327" t="e">
            <v>#N/A</v>
          </cell>
          <cell r="E2327">
            <v>2210</v>
          </cell>
        </row>
        <row r="2328">
          <cell r="A2328" t="str">
            <v>1RE1NS5173XT1</v>
          </cell>
          <cell r="B2328" t="str">
            <v>SMT</v>
          </cell>
          <cell r="C2328">
            <v>1</v>
          </cell>
          <cell r="D2328">
            <v>146</v>
          </cell>
        </row>
        <row r="2329">
          <cell r="A2329" t="str">
            <v>1RE2NS5173XT1</v>
          </cell>
          <cell r="B2329" t="str">
            <v>SMT</v>
          </cell>
          <cell r="C2329">
            <v>1</v>
          </cell>
          <cell r="D2329">
            <v>214</v>
          </cell>
        </row>
        <row r="2330">
          <cell r="A2330" t="str">
            <v>1RH1NS5173XT1</v>
          </cell>
          <cell r="B2330" t="str">
            <v>SMT</v>
          </cell>
          <cell r="C2330">
            <v>1</v>
          </cell>
          <cell r="D2330">
            <v>4</v>
          </cell>
        </row>
        <row r="2331">
          <cell r="A2331" t="str">
            <v>1AP1NS5173XT1</v>
          </cell>
          <cell r="B2331" t="str">
            <v>DIP</v>
          </cell>
          <cell r="C2331">
            <v>1</v>
          </cell>
          <cell r="D2331" t="e">
            <v>#N/A</v>
          </cell>
          <cell r="E2331">
            <v>2210</v>
          </cell>
        </row>
        <row r="2332">
          <cell r="A2332" t="str">
            <v>1RE1NS5174XT1</v>
          </cell>
          <cell r="B2332" t="str">
            <v>SMT</v>
          </cell>
          <cell r="C2332">
            <v>1</v>
          </cell>
          <cell r="D2332">
            <v>282</v>
          </cell>
        </row>
        <row r="2333">
          <cell r="A2333" t="str">
            <v>1RE2NS5174XT1</v>
          </cell>
          <cell r="B2333" t="str">
            <v>SMT</v>
          </cell>
          <cell r="C2333">
            <v>1</v>
          </cell>
          <cell r="D2333">
            <v>359</v>
          </cell>
        </row>
        <row r="2334">
          <cell r="A2334" t="str">
            <v>1RH1NS5174XT1</v>
          </cell>
          <cell r="B2334" t="str">
            <v>SMT</v>
          </cell>
          <cell r="C2334">
            <v>1</v>
          </cell>
          <cell r="D2334">
            <v>8</v>
          </cell>
        </row>
        <row r="2335">
          <cell r="A2335" t="str">
            <v>1AP1NS5174XT1</v>
          </cell>
          <cell r="B2335" t="str">
            <v>DIP</v>
          </cell>
          <cell r="C2335">
            <v>1</v>
          </cell>
          <cell r="D2335" t="e">
            <v>#N/A</v>
          </cell>
          <cell r="E2335">
            <v>2210</v>
          </cell>
        </row>
        <row r="2336">
          <cell r="A2336" t="str">
            <v>1RE1PSLP1319ZAL4</v>
          </cell>
          <cell r="B2336" t="str">
            <v>SMT</v>
          </cell>
          <cell r="C2336">
            <v>1</v>
          </cell>
          <cell r="D2336">
            <v>85</v>
          </cell>
        </row>
        <row r="2337">
          <cell r="A2337" t="str">
            <v>1RE2PSLP1319ZAL4</v>
          </cell>
          <cell r="B2337" t="str">
            <v>SMT</v>
          </cell>
          <cell r="C2337">
            <v>1</v>
          </cell>
          <cell r="D2337">
            <v>1</v>
          </cell>
          <cell r="E2337">
            <v>2210</v>
          </cell>
          <cell r="F2337" t="str">
            <v>VC01</v>
          </cell>
        </row>
        <row r="2338">
          <cell r="A2338" t="str">
            <v>1RE1PSLP1318ZAL4</v>
          </cell>
          <cell r="B2338" t="str">
            <v>SMT</v>
          </cell>
          <cell r="C2338">
            <v>1</v>
          </cell>
          <cell r="D2338">
            <v>47</v>
          </cell>
        </row>
        <row r="2339">
          <cell r="A2339" t="str">
            <v>1RE2PSLP1318ZAL4</v>
          </cell>
          <cell r="B2339" t="str">
            <v>SMT</v>
          </cell>
          <cell r="C2339">
            <v>1</v>
          </cell>
          <cell r="D2339">
            <v>140</v>
          </cell>
          <cell r="E2339">
            <v>2210</v>
          </cell>
          <cell r="F2339" t="str">
            <v>VC01</v>
          </cell>
          <cell r="G2339" t="str">
            <v>Auto</v>
          </cell>
          <cell r="H2339">
            <v>311</v>
          </cell>
          <cell r="I2339">
            <v>2210</v>
          </cell>
          <cell r="J2339">
            <v>2220</v>
          </cell>
          <cell r="K2339" t="str">
            <v>VC01</v>
          </cell>
        </row>
        <row r="2340">
          <cell r="A2340" t="str">
            <v>1VI1LPFG520REMVA</v>
          </cell>
          <cell r="B2340" t="str">
            <v>SMT</v>
          </cell>
          <cell r="C2340">
            <v>1</v>
          </cell>
          <cell r="D2340" t="e">
            <v>#N/A</v>
          </cell>
        </row>
        <row r="2341">
          <cell r="A2341" t="str">
            <v>1RE1LPFG520REMVA</v>
          </cell>
          <cell r="B2341" t="str">
            <v>SMT</v>
          </cell>
          <cell r="C2341">
            <v>1</v>
          </cell>
          <cell r="D2341">
            <v>174</v>
          </cell>
        </row>
        <row r="2342">
          <cell r="A2342" t="str">
            <v>1RE2LPFG520REMVA</v>
          </cell>
          <cell r="B2342" t="str">
            <v>SMT</v>
          </cell>
          <cell r="C2342">
            <v>1</v>
          </cell>
          <cell r="D2342">
            <v>134</v>
          </cell>
          <cell r="E2342">
            <v>2210</v>
          </cell>
          <cell r="F2342" t="str">
            <v>VC01</v>
          </cell>
          <cell r="G2342" t="str">
            <v>Auto</v>
          </cell>
          <cell r="H2342">
            <v>311</v>
          </cell>
          <cell r="I2342">
            <v>2210</v>
          </cell>
          <cell r="J2342">
            <v>2280</v>
          </cell>
          <cell r="K2342" t="str">
            <v>VC01</v>
          </cell>
        </row>
        <row r="2343">
          <cell r="A2343" t="str">
            <v>1AP1LPFG520REMVA</v>
          </cell>
          <cell r="B2343" t="str">
            <v>DIP</v>
          </cell>
          <cell r="C2343">
            <v>1</v>
          </cell>
          <cell r="D2343" t="e">
            <v>#N/A</v>
          </cell>
          <cell r="E2343">
            <v>2210</v>
          </cell>
          <cell r="F2343" t="str">
            <v>VC01</v>
          </cell>
          <cell r="G2343" t="str">
            <v>Auto</v>
          </cell>
          <cell r="H2343">
            <v>311</v>
          </cell>
          <cell r="I2343">
            <v>2210</v>
          </cell>
          <cell r="J2343">
            <v>2280</v>
          </cell>
          <cell r="K2343" t="str">
            <v>VC01</v>
          </cell>
        </row>
        <row r="2344">
          <cell r="A2344" t="str">
            <v>1RH1LPS1058YW-S1</v>
          </cell>
          <cell r="B2344" t="str">
            <v>SMT</v>
          </cell>
          <cell r="C2344">
            <v>1</v>
          </cell>
          <cell r="D2344">
            <v>7</v>
          </cell>
        </row>
        <row r="2345">
          <cell r="A2345" t="str">
            <v>1CM1LPS1058YW-S1</v>
          </cell>
          <cell r="B2345" t="str">
            <v>SMT</v>
          </cell>
          <cell r="C2345">
            <v>1</v>
          </cell>
          <cell r="D2345">
            <v>7</v>
          </cell>
        </row>
        <row r="2346">
          <cell r="A2346" t="str">
            <v>1AP1LPS1058YW-S1</v>
          </cell>
          <cell r="B2346" t="str">
            <v>DIP</v>
          </cell>
          <cell r="C2346">
            <v>1</v>
          </cell>
          <cell r="D2346" t="e">
            <v>#N/A</v>
          </cell>
          <cell r="E2346">
            <v>2210</v>
          </cell>
        </row>
        <row r="2347">
          <cell r="A2347" t="str">
            <v>1VI1LPS1028YM-S1</v>
          </cell>
          <cell r="B2347" t="str">
            <v>SMT</v>
          </cell>
          <cell r="C2347">
            <v>1</v>
          </cell>
          <cell r="D2347" t="e">
            <v>#N/A</v>
          </cell>
        </row>
        <row r="2348">
          <cell r="A2348" t="str">
            <v>1RE1LPS1028YM-S1</v>
          </cell>
          <cell r="B2348" t="str">
            <v>SMT</v>
          </cell>
          <cell r="C2348">
            <v>1</v>
          </cell>
          <cell r="D2348">
            <v>632</v>
          </cell>
        </row>
        <row r="2349">
          <cell r="A2349" t="str">
            <v>1RE2LPS1028YM-S1</v>
          </cell>
          <cell r="B2349" t="str">
            <v>SMT</v>
          </cell>
          <cell r="C2349">
            <v>1</v>
          </cell>
          <cell r="D2349">
            <v>548</v>
          </cell>
        </row>
        <row r="2350">
          <cell r="A2350" t="str">
            <v>1AP1LPS1028YM-S1</v>
          </cell>
          <cell r="B2350" t="str">
            <v>DIP</v>
          </cell>
          <cell r="C2350">
            <v>1</v>
          </cell>
          <cell r="D2350" t="e">
            <v>#N/A</v>
          </cell>
          <cell r="E2350">
            <v>2210</v>
          </cell>
        </row>
        <row r="2351">
          <cell r="A2351" t="str">
            <v>1VI1LPS1058YM-S1</v>
          </cell>
          <cell r="B2351" t="str">
            <v>SMT</v>
          </cell>
          <cell r="C2351">
            <v>1</v>
          </cell>
          <cell r="D2351" t="e">
            <v>#N/A</v>
          </cell>
        </row>
        <row r="2352">
          <cell r="A2352" t="str">
            <v>1RE1LPS1058YM-S1</v>
          </cell>
          <cell r="B2352" t="str">
            <v>SMT</v>
          </cell>
          <cell r="C2352">
            <v>1</v>
          </cell>
          <cell r="D2352">
            <v>650</v>
          </cell>
        </row>
        <row r="2353">
          <cell r="A2353" t="str">
            <v>1RE2LPS1058YM-S1</v>
          </cell>
          <cell r="B2353" t="str">
            <v>SMT</v>
          </cell>
          <cell r="C2353">
            <v>1</v>
          </cell>
          <cell r="D2353">
            <v>583</v>
          </cell>
        </row>
        <row r="2354">
          <cell r="A2354" t="str">
            <v>1AP1LPS1058YM-S1</v>
          </cell>
          <cell r="B2354" t="str">
            <v>DIP</v>
          </cell>
          <cell r="C2354">
            <v>1</v>
          </cell>
          <cell r="D2354" t="e">
            <v>#N/A</v>
          </cell>
          <cell r="E2354">
            <v>2210</v>
          </cell>
        </row>
        <row r="2355">
          <cell r="A2355" t="str">
            <v>1RE1NS5112SX</v>
          </cell>
          <cell r="B2355" t="str">
            <v>SMT</v>
          </cell>
          <cell r="C2355">
            <v>1</v>
          </cell>
          <cell r="D2355">
            <v>206</v>
          </cell>
        </row>
        <row r="2356">
          <cell r="A2356" t="str">
            <v>1RE2NS5112SX</v>
          </cell>
          <cell r="B2356" t="str">
            <v>SMT</v>
          </cell>
          <cell r="C2356">
            <v>1</v>
          </cell>
          <cell r="D2356">
            <v>290</v>
          </cell>
          <cell r="E2356">
            <v>2210</v>
          </cell>
          <cell r="F2356" t="str">
            <v>VC01</v>
          </cell>
          <cell r="G2356" t="str">
            <v>Auto</v>
          </cell>
          <cell r="H2356">
            <v>311</v>
          </cell>
          <cell r="I2356">
            <v>2210</v>
          </cell>
          <cell r="J2356">
            <v>2310</v>
          </cell>
          <cell r="K2356" t="str">
            <v>VC01</v>
          </cell>
        </row>
        <row r="2357">
          <cell r="A2357" t="str">
            <v>1RE1LPFG510REAZB</v>
          </cell>
          <cell r="B2357" t="str">
            <v>SMT</v>
          </cell>
          <cell r="C2357">
            <v>1</v>
          </cell>
          <cell r="D2357">
            <v>59</v>
          </cell>
        </row>
        <row r="2358">
          <cell r="A2358" t="str">
            <v>1AE1LPFG510REAZB</v>
          </cell>
          <cell r="B2358" t="str">
            <v>SMT</v>
          </cell>
          <cell r="C2358">
            <v>1</v>
          </cell>
          <cell r="D2358">
            <v>0</v>
          </cell>
        </row>
        <row r="2359">
          <cell r="A2359" t="str">
            <v>1RH1LPFG510REAZB</v>
          </cell>
          <cell r="B2359" t="str">
            <v>SMT</v>
          </cell>
          <cell r="C2359">
            <v>1</v>
          </cell>
          <cell r="D2359">
            <v>4</v>
          </cell>
          <cell r="E2359">
            <v>2210</v>
          </cell>
          <cell r="F2359" t="str">
            <v>VC01</v>
          </cell>
          <cell r="G2359" t="str">
            <v>Auto</v>
          </cell>
          <cell r="H2359">
            <v>311</v>
          </cell>
          <cell r="I2359">
            <v>2210</v>
          </cell>
          <cell r="J2359">
            <v>2280</v>
          </cell>
          <cell r="K2359" t="str">
            <v>VC01</v>
          </cell>
        </row>
        <row r="2360">
          <cell r="A2360" t="str">
            <v>1AP1LPFG510REAZB</v>
          </cell>
          <cell r="B2360" t="str">
            <v>DIP</v>
          </cell>
          <cell r="C2360">
            <v>1</v>
          </cell>
          <cell r="D2360" t="e">
            <v>#N/A</v>
          </cell>
          <cell r="E2360">
            <v>2210</v>
          </cell>
          <cell r="F2360" t="str">
            <v>VC01</v>
          </cell>
          <cell r="G2360" t="str">
            <v>Auto</v>
          </cell>
          <cell r="H2360">
            <v>311</v>
          </cell>
          <cell r="I2360">
            <v>2210</v>
          </cell>
          <cell r="J2360">
            <v>2280</v>
          </cell>
          <cell r="K2360" t="str">
            <v>VC01</v>
          </cell>
        </row>
        <row r="2361">
          <cell r="A2361" t="str">
            <v>1VI1NCP1290X</v>
          </cell>
          <cell r="B2361" t="str">
            <v>SMT</v>
          </cell>
          <cell r="C2361">
            <v>1</v>
          </cell>
          <cell r="D2361" t="e">
            <v>#N/A</v>
          </cell>
        </row>
        <row r="2362">
          <cell r="A2362" t="str">
            <v>1RE1NCP1290X</v>
          </cell>
          <cell r="B2362" t="str">
            <v>SMT</v>
          </cell>
          <cell r="C2362">
            <v>1</v>
          </cell>
          <cell r="D2362">
            <v>480</v>
          </cell>
        </row>
        <row r="2363">
          <cell r="A2363" t="str">
            <v>1RH1NCP1290X</v>
          </cell>
          <cell r="B2363" t="str">
            <v>SMT</v>
          </cell>
          <cell r="C2363">
            <v>1</v>
          </cell>
          <cell r="D2363">
            <v>6</v>
          </cell>
          <cell r="E2363">
            <v>2210</v>
          </cell>
          <cell r="F2363" t="str">
            <v>VC01</v>
          </cell>
          <cell r="G2363" t="str">
            <v>Auto</v>
          </cell>
          <cell r="H2363">
            <v>311</v>
          </cell>
          <cell r="I2363">
            <v>2210</v>
          </cell>
          <cell r="J2363">
            <v>2310</v>
          </cell>
          <cell r="K2363" t="str">
            <v>VC01</v>
          </cell>
        </row>
        <row r="2364">
          <cell r="A2364" t="str">
            <v>1AP1NCP1290X</v>
          </cell>
          <cell r="B2364" t="str">
            <v>DIP</v>
          </cell>
          <cell r="C2364">
            <v>1</v>
          </cell>
          <cell r="D2364" t="e">
            <v>#N/A</v>
          </cell>
          <cell r="E2364">
            <v>2210</v>
          </cell>
          <cell r="F2364" t="str">
            <v>VC01</v>
          </cell>
          <cell r="G2364" t="str">
            <v>Auto</v>
          </cell>
          <cell r="H2364">
            <v>311</v>
          </cell>
          <cell r="I2364">
            <v>2210</v>
          </cell>
          <cell r="J2364">
            <v>2310</v>
          </cell>
          <cell r="K2364" t="str">
            <v>VC01</v>
          </cell>
        </row>
        <row r="2365">
          <cell r="A2365" t="str">
            <v>1RE1LPVC13002ZA</v>
          </cell>
          <cell r="B2365" t="str">
            <v>SMT</v>
          </cell>
          <cell r="C2365">
            <v>1</v>
          </cell>
          <cell r="D2365" t="e">
            <v>#N/A</v>
          </cell>
        </row>
        <row r="2366">
          <cell r="A2366" t="str">
            <v>1RE1LPVC16002ZA</v>
          </cell>
          <cell r="B2366" t="str">
            <v>SMT</v>
          </cell>
          <cell r="C2366">
            <v>1</v>
          </cell>
          <cell r="D2366" t="e">
            <v>#N/A</v>
          </cell>
        </row>
        <row r="2367">
          <cell r="A2367" t="str">
            <v>1RE1LPVC20002ZA</v>
          </cell>
          <cell r="B2367" t="str">
            <v>SMT</v>
          </cell>
          <cell r="C2367">
            <v>1</v>
          </cell>
          <cell r="D2367" t="e">
            <v>#N/A</v>
          </cell>
        </row>
        <row r="2368">
          <cell r="A2368" t="str">
            <v>1RE1LPVC3002ZA</v>
          </cell>
          <cell r="B2368" t="str">
            <v>SMT</v>
          </cell>
          <cell r="C2368">
            <v>1</v>
          </cell>
          <cell r="D2368">
            <v>322</v>
          </cell>
        </row>
        <row r="2369">
          <cell r="A2369" t="str">
            <v>1RE1LPVC6002ZA</v>
          </cell>
          <cell r="B2369" t="str">
            <v>SMT</v>
          </cell>
          <cell r="C2369">
            <v>1</v>
          </cell>
          <cell r="D2369">
            <v>337</v>
          </cell>
        </row>
        <row r="2370">
          <cell r="A2370" t="str">
            <v>1VJ1LPVC10001ZA</v>
          </cell>
          <cell r="B2370" t="str">
            <v>SMT</v>
          </cell>
          <cell r="C2370">
            <v>1</v>
          </cell>
          <cell r="D2370" t="e">
            <v>#N/A</v>
          </cell>
        </row>
        <row r="2371">
          <cell r="A2371" t="str">
            <v>1VJ2LPVC10001ZA</v>
          </cell>
          <cell r="B2371" t="str">
            <v>SMT</v>
          </cell>
          <cell r="C2371">
            <v>1</v>
          </cell>
          <cell r="D2371" t="e">
            <v>#N/A</v>
          </cell>
        </row>
        <row r="2372">
          <cell r="A2372" t="str">
            <v>1RE1LPVC10001ZA</v>
          </cell>
          <cell r="B2372" t="str">
            <v>SMT</v>
          </cell>
          <cell r="C2372">
            <v>1</v>
          </cell>
          <cell r="D2372" t="e">
            <v>#N/A</v>
          </cell>
        </row>
        <row r="2373">
          <cell r="A2373" t="str">
            <v>1RE2LPVC10001ZA</v>
          </cell>
          <cell r="B2373" t="str">
            <v>SMT</v>
          </cell>
          <cell r="C2373">
            <v>1</v>
          </cell>
          <cell r="D2373" t="e">
            <v>#N/A</v>
          </cell>
        </row>
        <row r="2374">
          <cell r="A2374" t="str">
            <v>1VJ1LPVC13001ZA</v>
          </cell>
          <cell r="B2374" t="str">
            <v>SMT</v>
          </cell>
          <cell r="C2374">
            <v>1</v>
          </cell>
          <cell r="D2374" t="e">
            <v>#N/A</v>
          </cell>
        </row>
        <row r="2375">
          <cell r="A2375" t="str">
            <v>1VJ2LPVC13001ZA</v>
          </cell>
          <cell r="B2375" t="str">
            <v>SMT</v>
          </cell>
          <cell r="C2375">
            <v>1</v>
          </cell>
          <cell r="D2375" t="e">
            <v>#N/A</v>
          </cell>
        </row>
        <row r="2376">
          <cell r="A2376" t="str">
            <v>1RE1LPVC13001ZA</v>
          </cell>
          <cell r="B2376" t="str">
            <v>SMT</v>
          </cell>
          <cell r="C2376">
            <v>1</v>
          </cell>
          <cell r="D2376" t="e">
            <v>#N/A</v>
          </cell>
        </row>
        <row r="2377">
          <cell r="A2377" t="str">
            <v>1RE2LPVC13001ZA</v>
          </cell>
          <cell r="B2377" t="str">
            <v>SMT</v>
          </cell>
          <cell r="C2377">
            <v>1</v>
          </cell>
          <cell r="D2377" t="e">
            <v>#N/A</v>
          </cell>
        </row>
        <row r="2378">
          <cell r="A2378" t="str">
            <v>1VJ1LPVC1300J1ZA</v>
          </cell>
          <cell r="B2378" t="str">
            <v>SMT</v>
          </cell>
          <cell r="C2378">
            <v>1</v>
          </cell>
          <cell r="D2378" t="e">
            <v>#N/A</v>
          </cell>
        </row>
        <row r="2379">
          <cell r="A2379" t="str">
            <v>1VJ2LPVC1300J1ZA</v>
          </cell>
          <cell r="B2379" t="str">
            <v>SMT</v>
          </cell>
          <cell r="C2379">
            <v>1</v>
          </cell>
          <cell r="D2379" t="e">
            <v>#N/A</v>
          </cell>
        </row>
        <row r="2380">
          <cell r="A2380" t="str">
            <v>1RE1LPVC1300J1ZA</v>
          </cell>
          <cell r="B2380" t="str">
            <v>SMT</v>
          </cell>
          <cell r="C2380">
            <v>1</v>
          </cell>
          <cell r="D2380" t="e">
            <v>#N/A</v>
          </cell>
        </row>
        <row r="2381">
          <cell r="A2381" t="str">
            <v>1RE2LPVC1300J1ZA</v>
          </cell>
          <cell r="B2381" t="str">
            <v>SMT</v>
          </cell>
          <cell r="C2381">
            <v>1</v>
          </cell>
          <cell r="D2381" t="e">
            <v>#N/A</v>
          </cell>
        </row>
        <row r="2382">
          <cell r="A2382" t="str">
            <v>1VJ1LPVC16001ZA</v>
          </cell>
          <cell r="B2382" t="str">
            <v>SMT</v>
          </cell>
          <cell r="C2382">
            <v>1</v>
          </cell>
          <cell r="D2382" t="e">
            <v>#N/A</v>
          </cell>
        </row>
        <row r="2383">
          <cell r="A2383" t="str">
            <v>1VJ2LPVC16001ZA</v>
          </cell>
          <cell r="B2383" t="str">
            <v>SMT</v>
          </cell>
          <cell r="C2383">
            <v>1</v>
          </cell>
          <cell r="D2383" t="e">
            <v>#N/A</v>
          </cell>
        </row>
        <row r="2384">
          <cell r="A2384" t="str">
            <v>1RE1LPVC16001ZA</v>
          </cell>
          <cell r="B2384" t="str">
            <v>SMT</v>
          </cell>
          <cell r="C2384">
            <v>1</v>
          </cell>
          <cell r="D2384" t="e">
            <v>#N/A</v>
          </cell>
        </row>
        <row r="2385">
          <cell r="A2385" t="str">
            <v>1RE2LPVC16001ZA</v>
          </cell>
          <cell r="B2385" t="str">
            <v>SMT</v>
          </cell>
          <cell r="C2385">
            <v>1</v>
          </cell>
          <cell r="D2385" t="e">
            <v>#N/A</v>
          </cell>
        </row>
        <row r="2386">
          <cell r="A2386" t="str">
            <v>1VJ1LPVC1600J1ZA</v>
          </cell>
          <cell r="B2386" t="str">
            <v>SMT</v>
          </cell>
          <cell r="C2386">
            <v>1</v>
          </cell>
          <cell r="D2386" t="e">
            <v>#N/A</v>
          </cell>
        </row>
        <row r="2387">
          <cell r="A2387" t="str">
            <v>1VJ2LPVC1600J1ZA</v>
          </cell>
          <cell r="B2387" t="str">
            <v>SMT</v>
          </cell>
          <cell r="C2387">
            <v>1</v>
          </cell>
          <cell r="D2387" t="e">
            <v>#N/A</v>
          </cell>
        </row>
        <row r="2388">
          <cell r="A2388" t="str">
            <v>1RE1LPVC1600J1ZA</v>
          </cell>
          <cell r="B2388" t="str">
            <v>SMT</v>
          </cell>
          <cell r="C2388">
            <v>1</v>
          </cell>
          <cell r="D2388" t="e">
            <v>#N/A</v>
          </cell>
        </row>
        <row r="2389">
          <cell r="A2389" t="str">
            <v>1RE2LPVC1600J1ZA</v>
          </cell>
          <cell r="B2389" t="str">
            <v>SMT</v>
          </cell>
          <cell r="C2389">
            <v>1</v>
          </cell>
          <cell r="D2389" t="e">
            <v>#N/A</v>
          </cell>
        </row>
        <row r="2390">
          <cell r="A2390" t="str">
            <v>1VI1LPVC20001ZA</v>
          </cell>
          <cell r="B2390" t="str">
            <v>SMT</v>
          </cell>
          <cell r="C2390">
            <v>1</v>
          </cell>
          <cell r="D2390" t="e">
            <v>#N/A</v>
          </cell>
        </row>
        <row r="2391">
          <cell r="A2391" t="str">
            <v>1VI2LPVC20001ZA</v>
          </cell>
          <cell r="B2391" t="str">
            <v>SMT</v>
          </cell>
          <cell r="C2391">
            <v>1</v>
          </cell>
          <cell r="D2391" t="e">
            <v>#N/A</v>
          </cell>
        </row>
        <row r="2392">
          <cell r="A2392" t="str">
            <v>1RE1LPVC20001ZA</v>
          </cell>
          <cell r="B2392" t="str">
            <v>SMT</v>
          </cell>
          <cell r="C2392">
            <v>1</v>
          </cell>
          <cell r="D2392" t="e">
            <v>#N/A</v>
          </cell>
        </row>
        <row r="2393">
          <cell r="A2393" t="str">
            <v>1RE2LPVC20001ZA</v>
          </cell>
          <cell r="B2393" t="str">
            <v>SMT</v>
          </cell>
          <cell r="C2393">
            <v>1</v>
          </cell>
          <cell r="D2393" t="e">
            <v>#N/A</v>
          </cell>
        </row>
        <row r="2394">
          <cell r="A2394" t="str">
            <v>1VJ1LPVC3001ZA</v>
          </cell>
          <cell r="B2394" t="str">
            <v>SMT</v>
          </cell>
          <cell r="C2394">
            <v>1</v>
          </cell>
          <cell r="D2394" t="e">
            <v>#N/A</v>
          </cell>
        </row>
        <row r="2395">
          <cell r="A2395" t="str">
            <v>1VJ2LPVC3001ZA</v>
          </cell>
          <cell r="B2395" t="str">
            <v>SMT</v>
          </cell>
          <cell r="C2395">
            <v>1</v>
          </cell>
          <cell r="D2395" t="e">
            <v>#N/A</v>
          </cell>
        </row>
        <row r="2396">
          <cell r="A2396" t="str">
            <v>1VJ3LPVC3001ZA</v>
          </cell>
          <cell r="B2396" t="str">
            <v>SMT</v>
          </cell>
          <cell r="C2396">
            <v>1</v>
          </cell>
          <cell r="D2396" t="e">
            <v>#N/A</v>
          </cell>
        </row>
        <row r="2397">
          <cell r="A2397" t="str">
            <v>1VJ4LPVC3001ZA</v>
          </cell>
          <cell r="B2397" t="str">
            <v>SMT</v>
          </cell>
          <cell r="C2397">
            <v>1</v>
          </cell>
          <cell r="D2397" t="e">
            <v>#N/A</v>
          </cell>
        </row>
        <row r="2398">
          <cell r="A2398" t="str">
            <v>1RE1LPVC3001ZA</v>
          </cell>
          <cell r="B2398" t="str">
            <v>SMT</v>
          </cell>
          <cell r="C2398">
            <v>1</v>
          </cell>
          <cell r="D2398">
            <v>622</v>
          </cell>
        </row>
        <row r="2399">
          <cell r="A2399" t="str">
            <v>1RE2LPVC3001ZA</v>
          </cell>
          <cell r="B2399" t="str">
            <v>SMT</v>
          </cell>
          <cell r="C2399">
            <v>1</v>
          </cell>
          <cell r="D2399">
            <v>797</v>
          </cell>
        </row>
        <row r="2400">
          <cell r="A2400" t="str">
            <v>1VJ1LPVC300BX1ZA</v>
          </cell>
          <cell r="B2400" t="str">
            <v>SMT</v>
          </cell>
          <cell r="C2400">
            <v>1</v>
          </cell>
          <cell r="D2400" t="e">
            <v>#N/A</v>
          </cell>
        </row>
        <row r="2401">
          <cell r="A2401" t="str">
            <v>1VJ2LPVC300BX1ZA</v>
          </cell>
          <cell r="B2401" t="str">
            <v>SMT</v>
          </cell>
          <cell r="C2401">
            <v>1</v>
          </cell>
          <cell r="D2401" t="e">
            <v>#N/A</v>
          </cell>
        </row>
        <row r="2402">
          <cell r="A2402" t="str">
            <v>1VJ3LPVC300BX1ZA</v>
          </cell>
          <cell r="B2402" t="str">
            <v>SMT</v>
          </cell>
          <cell r="C2402">
            <v>1</v>
          </cell>
          <cell r="D2402" t="e">
            <v>#N/A</v>
          </cell>
        </row>
        <row r="2403">
          <cell r="A2403" t="str">
            <v>1VJ4LPVC300BX1ZA</v>
          </cell>
          <cell r="B2403" t="str">
            <v>SMT</v>
          </cell>
          <cell r="C2403">
            <v>1</v>
          </cell>
          <cell r="D2403" t="e">
            <v>#N/A</v>
          </cell>
        </row>
        <row r="2404">
          <cell r="A2404" t="str">
            <v>1RE1LPVC300BX1ZA</v>
          </cell>
          <cell r="B2404" t="str">
            <v>SMT</v>
          </cell>
          <cell r="C2404">
            <v>1</v>
          </cell>
          <cell r="D2404">
            <v>622</v>
          </cell>
        </row>
        <row r="2405">
          <cell r="A2405" t="str">
            <v>1RE2LPVC300BX1ZA</v>
          </cell>
          <cell r="B2405" t="str">
            <v>SMT</v>
          </cell>
          <cell r="C2405">
            <v>1</v>
          </cell>
          <cell r="D2405">
            <v>797</v>
          </cell>
        </row>
        <row r="2406">
          <cell r="A2406" t="str">
            <v>1AP1LPVC300BX1ZA</v>
          </cell>
          <cell r="B2406" t="str">
            <v>DIP</v>
          </cell>
          <cell r="C2406">
            <v>1</v>
          </cell>
          <cell r="D2406" t="e">
            <v>#N/A</v>
          </cell>
          <cell r="E2406">
            <v>6210</v>
          </cell>
        </row>
        <row r="2407">
          <cell r="A2407" t="str">
            <v>1VJ1LPVC300CX1ZA</v>
          </cell>
          <cell r="B2407" t="str">
            <v>SMT</v>
          </cell>
          <cell r="C2407">
            <v>1</v>
          </cell>
          <cell r="D2407" t="e">
            <v>#N/A</v>
          </cell>
        </row>
        <row r="2408">
          <cell r="A2408" t="str">
            <v>1VJ2LPVC300CX1ZA</v>
          </cell>
          <cell r="B2408" t="str">
            <v>SMT</v>
          </cell>
          <cell r="C2408">
            <v>1</v>
          </cell>
          <cell r="D2408" t="e">
            <v>#N/A</v>
          </cell>
        </row>
        <row r="2409">
          <cell r="A2409" t="str">
            <v>1VJ3LPVC300CX1ZA</v>
          </cell>
          <cell r="B2409" t="str">
            <v>SMT</v>
          </cell>
          <cell r="C2409">
            <v>1</v>
          </cell>
          <cell r="D2409" t="e">
            <v>#N/A</v>
          </cell>
        </row>
        <row r="2410">
          <cell r="A2410" t="str">
            <v>1VJ4LPVC300CX1ZA</v>
          </cell>
          <cell r="B2410" t="str">
            <v>SMT</v>
          </cell>
          <cell r="C2410">
            <v>1</v>
          </cell>
          <cell r="D2410" t="e">
            <v>#N/A</v>
          </cell>
        </row>
        <row r="2411">
          <cell r="A2411" t="str">
            <v>1RE1LPVC300CX1ZA</v>
          </cell>
          <cell r="B2411" t="str">
            <v>SMT</v>
          </cell>
          <cell r="C2411">
            <v>1</v>
          </cell>
          <cell r="D2411">
            <v>622</v>
          </cell>
        </row>
        <row r="2412">
          <cell r="A2412" t="str">
            <v>1RE2LPVC300CX1ZA</v>
          </cell>
          <cell r="B2412" t="str">
            <v>SMT</v>
          </cell>
          <cell r="C2412">
            <v>1</v>
          </cell>
          <cell r="D2412">
            <v>797</v>
          </cell>
        </row>
        <row r="2413">
          <cell r="A2413" t="str">
            <v>1AP1LPVC300CX1ZA</v>
          </cell>
          <cell r="B2413" t="str">
            <v>DIP</v>
          </cell>
          <cell r="C2413">
            <v>1</v>
          </cell>
          <cell r="D2413" t="e">
            <v>#N/A</v>
          </cell>
          <cell r="E2413">
            <v>6210</v>
          </cell>
        </row>
        <row r="2414">
          <cell r="A2414" t="str">
            <v>1VJ1LPVC6001ZA</v>
          </cell>
          <cell r="B2414" t="str">
            <v>SMT</v>
          </cell>
          <cell r="C2414">
            <v>1</v>
          </cell>
          <cell r="D2414" t="e">
            <v>#N/A</v>
          </cell>
        </row>
        <row r="2415">
          <cell r="A2415" t="str">
            <v>1VJ2LPVC6001ZA</v>
          </cell>
          <cell r="B2415" t="str">
            <v>SMT</v>
          </cell>
          <cell r="C2415">
            <v>1</v>
          </cell>
          <cell r="D2415" t="e">
            <v>#N/A</v>
          </cell>
        </row>
        <row r="2416">
          <cell r="A2416" t="str">
            <v>1VJ3LPVC6001ZA</v>
          </cell>
          <cell r="B2416" t="str">
            <v>SMT</v>
          </cell>
          <cell r="C2416">
            <v>1</v>
          </cell>
          <cell r="D2416" t="e">
            <v>#N/A</v>
          </cell>
        </row>
        <row r="2417">
          <cell r="A2417" t="str">
            <v>1VJ4LPVC6001ZA</v>
          </cell>
          <cell r="B2417" t="str">
            <v>SMT</v>
          </cell>
          <cell r="C2417">
            <v>1</v>
          </cell>
          <cell r="D2417" t="e">
            <v>#N/A</v>
          </cell>
        </row>
        <row r="2418">
          <cell r="A2418" t="str">
            <v>1VJ5LPVC6001ZA</v>
          </cell>
          <cell r="B2418" t="str">
            <v>SMT</v>
          </cell>
          <cell r="C2418">
            <v>1</v>
          </cell>
          <cell r="D2418" t="e">
            <v>#N/A</v>
          </cell>
        </row>
        <row r="2419">
          <cell r="A2419" t="str">
            <v>1VJ6LPVC6001ZA</v>
          </cell>
          <cell r="B2419" t="str">
            <v>SMT</v>
          </cell>
          <cell r="C2419">
            <v>1</v>
          </cell>
          <cell r="D2419" t="e">
            <v>#N/A</v>
          </cell>
        </row>
        <row r="2420">
          <cell r="A2420" t="str">
            <v>1RE1LPVC6001ZA</v>
          </cell>
          <cell r="B2420" t="str">
            <v>SMT</v>
          </cell>
          <cell r="C2420">
            <v>1</v>
          </cell>
          <cell r="D2420">
            <v>705</v>
          </cell>
        </row>
        <row r="2421">
          <cell r="A2421" t="str">
            <v>1RE2LPVC6001ZA</v>
          </cell>
          <cell r="B2421" t="str">
            <v>SMT</v>
          </cell>
          <cell r="C2421">
            <v>1</v>
          </cell>
          <cell r="D2421">
            <v>966</v>
          </cell>
        </row>
        <row r="2422">
          <cell r="A2422" t="str">
            <v>1RE1LPVCA0021ZA</v>
          </cell>
          <cell r="B2422" t="str">
            <v>SMT</v>
          </cell>
          <cell r="C2422">
            <v>1</v>
          </cell>
          <cell r="D2422" t="e">
            <v>#N/A</v>
          </cell>
        </row>
        <row r="2423">
          <cell r="A2423" t="str">
            <v>1RE2LPVCA0021ZA</v>
          </cell>
          <cell r="B2423" t="str">
            <v>SMT</v>
          </cell>
          <cell r="C2423">
            <v>1</v>
          </cell>
          <cell r="D2423" t="e">
            <v>#N/A</v>
          </cell>
        </row>
        <row r="2424">
          <cell r="A2424" t="str">
            <v>1VJ1PNLP2303ZA</v>
          </cell>
          <cell r="B2424" t="str">
            <v>SMT</v>
          </cell>
          <cell r="C2424">
            <v>1</v>
          </cell>
          <cell r="D2424" t="e">
            <v>#N/A</v>
          </cell>
        </row>
        <row r="2425">
          <cell r="A2425" t="str">
            <v>1RE1PNLP2303ZA</v>
          </cell>
          <cell r="B2425" t="str">
            <v>SMT</v>
          </cell>
          <cell r="C2425">
            <v>1</v>
          </cell>
          <cell r="D2425" t="e">
            <v>#N/A</v>
          </cell>
        </row>
        <row r="2426">
          <cell r="A2426" t="str">
            <v>1RE2PNLP2303ZA</v>
          </cell>
          <cell r="B2426" t="str">
            <v>SMT</v>
          </cell>
          <cell r="C2426">
            <v>1</v>
          </cell>
          <cell r="D2426" t="e">
            <v>#N/A</v>
          </cell>
        </row>
        <row r="2427">
          <cell r="A2427" t="str">
            <v>2CM1LPSL3066FZA</v>
          </cell>
          <cell r="B2427" t="str">
            <v>SMT</v>
          </cell>
          <cell r="C2427">
            <v>1</v>
          </cell>
          <cell r="D2427">
            <v>9</v>
          </cell>
        </row>
        <row r="2428">
          <cell r="A2428" t="str">
            <v>2AP1LPSL3066FZA</v>
          </cell>
          <cell r="B2428" t="str">
            <v>DIP</v>
          </cell>
          <cell r="C2428">
            <v>1</v>
          </cell>
          <cell r="D2428" t="e">
            <v>#N/A</v>
          </cell>
          <cell r="E2428">
            <v>2210</v>
          </cell>
        </row>
        <row r="2429">
          <cell r="A2429" t="str">
            <v>1VJ1LPSL3066MZA</v>
          </cell>
          <cell r="B2429" t="str">
            <v>SMT</v>
          </cell>
          <cell r="C2429">
            <v>1</v>
          </cell>
          <cell r="D2429" t="e">
            <v>#N/A</v>
          </cell>
        </row>
        <row r="2430">
          <cell r="A2430" t="str">
            <v>1RE1LPSL3056MZA</v>
          </cell>
          <cell r="B2430" t="str">
            <v>SMT</v>
          </cell>
          <cell r="C2430">
            <v>1</v>
          </cell>
          <cell r="D2430">
            <v>590</v>
          </cell>
        </row>
        <row r="2431">
          <cell r="A2431" t="str">
            <v>1RE2LPSL3056MZA</v>
          </cell>
          <cell r="B2431" t="str">
            <v>SMT</v>
          </cell>
          <cell r="C2431">
            <v>1</v>
          </cell>
          <cell r="D2431">
            <v>524</v>
          </cell>
        </row>
        <row r="2432">
          <cell r="A2432" t="str">
            <v>1AP1LPSL3056MZA</v>
          </cell>
          <cell r="B2432" t="str">
            <v>DIP</v>
          </cell>
          <cell r="C2432">
            <v>1</v>
          </cell>
          <cell r="D2432" t="e">
            <v>#N/A</v>
          </cell>
          <cell r="E2432">
            <v>2210</v>
          </cell>
        </row>
        <row r="2433">
          <cell r="A2433" t="str">
            <v>1RE1LPSL3066MZA</v>
          </cell>
          <cell r="B2433" t="str">
            <v>SMT</v>
          </cell>
          <cell r="C2433">
            <v>1</v>
          </cell>
          <cell r="D2433">
            <v>613</v>
          </cell>
        </row>
        <row r="2434">
          <cell r="A2434" t="str">
            <v>1RE2LPSL3066MZA</v>
          </cell>
          <cell r="B2434" t="str">
            <v>SMT</v>
          </cell>
          <cell r="C2434">
            <v>1</v>
          </cell>
          <cell r="D2434">
            <v>569</v>
          </cell>
        </row>
        <row r="2435">
          <cell r="A2435" t="str">
            <v>1AP1LPSL3066MZA</v>
          </cell>
          <cell r="B2435" t="str">
            <v>DIP</v>
          </cell>
          <cell r="C2435">
            <v>1</v>
          </cell>
          <cell r="D2435" t="e">
            <v>#N/A</v>
          </cell>
          <cell r="E2435">
            <v>2210</v>
          </cell>
        </row>
        <row r="2436">
          <cell r="A2436" t="str">
            <v>1RH1LPS1058YW-R1</v>
          </cell>
          <cell r="B2436" t="str">
            <v>SMT</v>
          </cell>
          <cell r="C2436">
            <v>1</v>
          </cell>
          <cell r="D2436">
            <v>7</v>
          </cell>
        </row>
        <row r="2437">
          <cell r="A2437" t="str">
            <v>1CM1LPS1058YW-R1</v>
          </cell>
          <cell r="B2437" t="str">
            <v>SMT</v>
          </cell>
          <cell r="C2437">
            <v>1</v>
          </cell>
          <cell r="D2437">
            <v>7</v>
          </cell>
        </row>
        <row r="2438">
          <cell r="A2438" t="str">
            <v>1AP1LPS1058YW-R1</v>
          </cell>
          <cell r="B2438" t="str">
            <v>DIP</v>
          </cell>
          <cell r="C2438">
            <v>1</v>
          </cell>
          <cell r="D2438" t="e">
            <v>#N/A</v>
          </cell>
          <cell r="E2438">
            <v>2210</v>
          </cell>
        </row>
        <row r="2439">
          <cell r="A2439" t="str">
            <v>1VJ2LPBYODBAR1G1</v>
          </cell>
          <cell r="B2439" t="str">
            <v>SMT</v>
          </cell>
          <cell r="C2439">
            <v>1</v>
          </cell>
          <cell r="D2439" t="e">
            <v>#N/A</v>
          </cell>
        </row>
        <row r="2440">
          <cell r="A2440" t="str">
            <v>1RE1LPBYODBAR1G1</v>
          </cell>
          <cell r="B2440" t="str">
            <v>SMT</v>
          </cell>
          <cell r="C2440">
            <v>1</v>
          </cell>
          <cell r="D2440">
            <v>0</v>
          </cell>
        </row>
        <row r="2441">
          <cell r="A2441" t="str">
            <v>1RE2LPBYODBAR1G1</v>
          </cell>
          <cell r="B2441" t="str">
            <v>SMT</v>
          </cell>
          <cell r="C2441">
            <v>1</v>
          </cell>
          <cell r="D2441">
            <v>19</v>
          </cell>
        </row>
        <row r="2442">
          <cell r="A2442" t="str">
            <v>1VI1LPS1028YM-R1</v>
          </cell>
          <cell r="B2442" t="str">
            <v>SMT</v>
          </cell>
          <cell r="C2442">
            <v>1</v>
          </cell>
          <cell r="D2442" t="e">
            <v>#N/A</v>
          </cell>
        </row>
        <row r="2443">
          <cell r="A2443" t="str">
            <v>1RE1LPS1028YM-R1</v>
          </cell>
          <cell r="B2443" t="str">
            <v>SMT</v>
          </cell>
          <cell r="C2443">
            <v>1</v>
          </cell>
          <cell r="D2443">
            <v>632</v>
          </cell>
        </row>
        <row r="2444">
          <cell r="A2444" t="str">
            <v>1RE2LPS1028YM-R1</v>
          </cell>
          <cell r="B2444" t="str">
            <v>SMT</v>
          </cell>
          <cell r="C2444">
            <v>1</v>
          </cell>
          <cell r="D2444">
            <v>544</v>
          </cell>
        </row>
        <row r="2445">
          <cell r="A2445" t="str">
            <v>1AP1LPS1028YM-R1</v>
          </cell>
          <cell r="B2445" t="str">
            <v>DIP</v>
          </cell>
          <cell r="C2445">
            <v>1</v>
          </cell>
          <cell r="D2445" t="e">
            <v>#N/A</v>
          </cell>
          <cell r="E2445">
            <v>2210</v>
          </cell>
        </row>
        <row r="2446">
          <cell r="A2446" t="str">
            <v>1VI1LPS1058YM-R1</v>
          </cell>
          <cell r="B2446" t="str">
            <v>SMT</v>
          </cell>
          <cell r="C2446">
            <v>1</v>
          </cell>
          <cell r="D2446" t="e">
            <v>#N/A</v>
          </cell>
        </row>
        <row r="2447">
          <cell r="A2447" t="str">
            <v>1RE1LPS1058YM-R1</v>
          </cell>
          <cell r="B2447" t="str">
            <v>SMT</v>
          </cell>
          <cell r="C2447">
            <v>1</v>
          </cell>
          <cell r="D2447">
            <v>663</v>
          </cell>
        </row>
        <row r="2448">
          <cell r="A2448" t="str">
            <v>1RE2LPS1058YM-R1</v>
          </cell>
          <cell r="B2448" t="str">
            <v>SMT</v>
          </cell>
          <cell r="C2448">
            <v>1</v>
          </cell>
          <cell r="D2448">
            <v>579</v>
          </cell>
        </row>
        <row r="2449">
          <cell r="A2449" t="str">
            <v>1AP1LPS1058YM-R1</v>
          </cell>
          <cell r="B2449" t="str">
            <v>DIP</v>
          </cell>
          <cell r="C2449">
            <v>1</v>
          </cell>
          <cell r="D2449" t="e">
            <v>#N/A</v>
          </cell>
          <cell r="E2449">
            <v>2210</v>
          </cell>
        </row>
        <row r="2450">
          <cell r="A2450" t="str">
            <v>4RH1LPSL3066GZA</v>
          </cell>
          <cell r="B2450" t="str">
            <v>SMT</v>
          </cell>
          <cell r="C2450">
            <v>1</v>
          </cell>
          <cell r="D2450">
            <v>5</v>
          </cell>
        </row>
        <row r="2451">
          <cell r="A2451" t="str">
            <v>4CM1LPSL3066GZA</v>
          </cell>
          <cell r="B2451" t="str">
            <v>SMT</v>
          </cell>
          <cell r="C2451">
            <v>1</v>
          </cell>
          <cell r="D2451">
            <v>45</v>
          </cell>
        </row>
        <row r="2452">
          <cell r="A2452" t="str">
            <v>4AP1LPSL3066GZA</v>
          </cell>
          <cell r="B2452" t="str">
            <v>DIP</v>
          </cell>
          <cell r="C2452">
            <v>1</v>
          </cell>
          <cell r="D2452" t="e">
            <v>#N/A</v>
          </cell>
          <cell r="E2452">
            <v>2210</v>
          </cell>
        </row>
        <row r="2453">
          <cell r="A2453" t="str">
            <v>5CM1LPSL3066SZA</v>
          </cell>
          <cell r="B2453" t="str">
            <v>SMT</v>
          </cell>
          <cell r="C2453">
            <v>1</v>
          </cell>
          <cell r="D2453">
            <v>28</v>
          </cell>
        </row>
        <row r="2454">
          <cell r="A2454" t="str">
            <v>5AP1LPSL3066SZA</v>
          </cell>
          <cell r="B2454" t="str">
            <v>DIP</v>
          </cell>
          <cell r="C2454">
            <v>1</v>
          </cell>
          <cell r="D2454" t="e">
            <v>#N/A</v>
          </cell>
          <cell r="E2454">
            <v>2210</v>
          </cell>
        </row>
        <row r="2455">
          <cell r="A2455" t="str">
            <v>1RE1TDA0180EV4</v>
          </cell>
          <cell r="B2455" t="str">
            <v>SMT</v>
          </cell>
          <cell r="C2455">
            <v>1</v>
          </cell>
          <cell r="D2455">
            <v>440</v>
          </cell>
        </row>
        <row r="2456">
          <cell r="A2456" t="str">
            <v>1RH1TDA0180EV4</v>
          </cell>
          <cell r="B2456" t="str">
            <v>SMT</v>
          </cell>
          <cell r="C2456">
            <v>1</v>
          </cell>
          <cell r="D2456">
            <v>41</v>
          </cell>
        </row>
        <row r="2457">
          <cell r="A2457" t="str">
            <v>1CM1TDA0180EV4</v>
          </cell>
          <cell r="B2457" t="str">
            <v>SMT</v>
          </cell>
          <cell r="C2457">
            <v>1</v>
          </cell>
          <cell r="D2457">
            <v>275</v>
          </cell>
          <cell r="E2457">
            <v>2210</v>
          </cell>
          <cell r="F2457" t="str">
            <v>VC01</v>
          </cell>
          <cell r="G2457" t="str">
            <v>Auto</v>
          </cell>
          <cell r="H2457">
            <v>311</v>
          </cell>
          <cell r="I2457">
            <v>2210</v>
          </cell>
          <cell r="J2457">
            <v>2310</v>
          </cell>
          <cell r="K2457" t="str">
            <v>VC01</v>
          </cell>
        </row>
        <row r="2458">
          <cell r="A2458" t="str">
            <v>1AP1TDA0180EV4</v>
          </cell>
          <cell r="B2458" t="str">
            <v>DIP</v>
          </cell>
          <cell r="C2458">
            <v>1</v>
          </cell>
          <cell r="D2458" t="e">
            <v>#N/A</v>
          </cell>
          <cell r="E2458">
            <v>2210</v>
          </cell>
          <cell r="F2458" t="str">
            <v>VC01</v>
          </cell>
          <cell r="G2458" t="str">
            <v>Auto</v>
          </cell>
          <cell r="H2458">
            <v>311</v>
          </cell>
          <cell r="I2458">
            <v>2210</v>
          </cell>
          <cell r="J2458">
            <v>2310</v>
          </cell>
          <cell r="K2458" t="str">
            <v>VC01</v>
          </cell>
        </row>
        <row r="2459">
          <cell r="A2459" t="str">
            <v>1RE1NS0180UK</v>
          </cell>
          <cell r="B2459" t="str">
            <v>SMT</v>
          </cell>
          <cell r="C2459">
            <v>1</v>
          </cell>
          <cell r="D2459">
            <v>198</v>
          </cell>
        </row>
        <row r="2460">
          <cell r="A2460" t="str">
            <v>1RE2NS0180UK</v>
          </cell>
          <cell r="B2460" t="str">
            <v>SMT</v>
          </cell>
          <cell r="C2460">
            <v>1</v>
          </cell>
          <cell r="D2460">
            <v>247</v>
          </cell>
        </row>
        <row r="2461">
          <cell r="A2461" t="str">
            <v>1RH1NS0180UK</v>
          </cell>
          <cell r="B2461" t="str">
            <v>SMT</v>
          </cell>
          <cell r="C2461">
            <v>1</v>
          </cell>
          <cell r="D2461">
            <v>24</v>
          </cell>
          <cell r="E2461">
            <v>2210</v>
          </cell>
          <cell r="F2461" t="str">
            <v>VC01</v>
          </cell>
          <cell r="G2461" t="str">
            <v>Auto</v>
          </cell>
          <cell r="H2461">
            <v>311</v>
          </cell>
          <cell r="I2461">
            <v>2210</v>
          </cell>
          <cell r="J2461">
            <v>2310</v>
          </cell>
          <cell r="K2461" t="str">
            <v>VC01</v>
          </cell>
        </row>
        <row r="2462">
          <cell r="A2462" t="str">
            <v>1AP1NS0180UK</v>
          </cell>
          <cell r="B2462" t="str">
            <v>DIP</v>
          </cell>
          <cell r="C2462">
            <v>1</v>
          </cell>
          <cell r="D2462" t="e">
            <v>#N/A</v>
          </cell>
          <cell r="E2462">
            <v>2210</v>
          </cell>
          <cell r="F2462" t="str">
            <v>VC01</v>
          </cell>
          <cell r="G2462" t="str">
            <v>Auto</v>
          </cell>
          <cell r="H2462">
            <v>311</v>
          </cell>
          <cell r="I2462">
            <v>2210</v>
          </cell>
          <cell r="J2462">
            <v>2310</v>
          </cell>
          <cell r="K2462" t="str">
            <v>VC01</v>
          </cell>
        </row>
        <row r="2463">
          <cell r="A2463" t="str">
            <v>1VJ1LPTDA1178XT1</v>
          </cell>
          <cell r="B2463" t="str">
            <v>SMT</v>
          </cell>
          <cell r="C2463">
            <v>1</v>
          </cell>
          <cell r="D2463" t="e">
            <v>#N/A</v>
          </cell>
        </row>
        <row r="2464">
          <cell r="A2464" t="str">
            <v>1RE1LPTDA1178XT1</v>
          </cell>
          <cell r="B2464" t="str">
            <v>SMT</v>
          </cell>
          <cell r="C2464">
            <v>1</v>
          </cell>
          <cell r="D2464" t="e">
            <v>#N/A</v>
          </cell>
        </row>
        <row r="2465">
          <cell r="A2465" t="str">
            <v>1RE2LPTDA1178XT1</v>
          </cell>
          <cell r="B2465" t="str">
            <v>SMT</v>
          </cell>
          <cell r="C2465">
            <v>1</v>
          </cell>
          <cell r="D2465" t="e">
            <v>#N/A</v>
          </cell>
        </row>
        <row r="2466">
          <cell r="A2466" t="str">
            <v>1RH1LPTDA1178XT1</v>
          </cell>
          <cell r="B2466" t="str">
            <v>SMT</v>
          </cell>
          <cell r="C2466">
            <v>1</v>
          </cell>
          <cell r="D2466" t="e">
            <v>#N/A</v>
          </cell>
        </row>
        <row r="2467">
          <cell r="A2467" t="str">
            <v>1AP1LPTDA1178XT1</v>
          </cell>
          <cell r="B2467" t="str">
            <v>DIP</v>
          </cell>
          <cell r="C2467">
            <v>1</v>
          </cell>
          <cell r="D2467" t="e">
            <v>#N/A</v>
          </cell>
          <cell r="E2467">
            <v>2210</v>
          </cell>
        </row>
        <row r="2468">
          <cell r="A2468" t="str">
            <v>1VJ1LPTDA6179XT1</v>
          </cell>
          <cell r="B2468" t="str">
            <v>SMT</v>
          </cell>
          <cell r="C2468">
            <v>1</v>
          </cell>
          <cell r="D2468" t="e">
            <v>#N/A</v>
          </cell>
        </row>
        <row r="2469">
          <cell r="A2469" t="str">
            <v>1RE1LPTDA6179XT1</v>
          </cell>
          <cell r="B2469" t="str">
            <v>SMT</v>
          </cell>
          <cell r="C2469">
            <v>1</v>
          </cell>
          <cell r="D2469" t="e">
            <v>#N/A</v>
          </cell>
        </row>
        <row r="2470">
          <cell r="A2470" t="str">
            <v>1RE2LPTDA6179XT1</v>
          </cell>
          <cell r="B2470" t="str">
            <v>SMT</v>
          </cell>
          <cell r="C2470">
            <v>1</v>
          </cell>
          <cell r="D2470" t="e">
            <v>#N/A</v>
          </cell>
        </row>
        <row r="2471">
          <cell r="A2471" t="str">
            <v>1RH1LPTDA6179XT1</v>
          </cell>
          <cell r="B2471" t="str">
            <v>SMT</v>
          </cell>
          <cell r="C2471">
            <v>1</v>
          </cell>
          <cell r="D2471" t="e">
            <v>#N/A</v>
          </cell>
        </row>
        <row r="2472">
          <cell r="A2472" t="str">
            <v>1AP1LPTDA6179XT1</v>
          </cell>
          <cell r="B2472" t="str">
            <v>DIP</v>
          </cell>
          <cell r="C2472">
            <v>1</v>
          </cell>
          <cell r="D2472" t="e">
            <v>#N/A</v>
          </cell>
          <cell r="E2472">
            <v>2210</v>
          </cell>
        </row>
        <row r="2473">
          <cell r="A2473" t="str">
            <v>1RE1NCP1171</v>
          </cell>
          <cell r="B2473" t="str">
            <v>SMT</v>
          </cell>
          <cell r="C2473">
            <v>1</v>
          </cell>
          <cell r="D2473">
            <v>334</v>
          </cell>
        </row>
        <row r="2474">
          <cell r="A2474" t="str">
            <v>1RE2NCP1171</v>
          </cell>
          <cell r="B2474" t="str">
            <v>SMT</v>
          </cell>
          <cell r="C2474">
            <v>1</v>
          </cell>
          <cell r="D2474">
            <v>331</v>
          </cell>
        </row>
        <row r="2475">
          <cell r="A2475" t="str">
            <v>1RH1NCP1171</v>
          </cell>
          <cell r="B2475" t="str">
            <v>SMT</v>
          </cell>
          <cell r="C2475">
            <v>1</v>
          </cell>
          <cell r="D2475">
            <v>28</v>
          </cell>
          <cell r="E2475">
            <v>2210</v>
          </cell>
          <cell r="F2475" t="str">
            <v>VC01</v>
          </cell>
          <cell r="G2475" t="str">
            <v>Auto</v>
          </cell>
          <cell r="H2475">
            <v>311</v>
          </cell>
          <cell r="I2475">
            <v>2210</v>
          </cell>
          <cell r="J2475">
            <v>2310</v>
          </cell>
          <cell r="K2475" t="str">
            <v>VC01</v>
          </cell>
        </row>
        <row r="2476">
          <cell r="A2476" t="str">
            <v>1AP1NCP1171</v>
          </cell>
          <cell r="B2476" t="str">
            <v>DIP</v>
          </cell>
          <cell r="C2476">
            <v>1</v>
          </cell>
          <cell r="D2476" t="e">
            <v>#N/A</v>
          </cell>
          <cell r="E2476">
            <v>2210</v>
          </cell>
          <cell r="F2476" t="str">
            <v>VC01</v>
          </cell>
          <cell r="G2476" t="str">
            <v>Auto</v>
          </cell>
          <cell r="H2476">
            <v>311</v>
          </cell>
          <cell r="I2476">
            <v>2210</v>
          </cell>
          <cell r="J2476">
            <v>2310</v>
          </cell>
          <cell r="K2476" t="str">
            <v>VC01</v>
          </cell>
        </row>
        <row r="2477">
          <cell r="A2477" t="str">
            <v>1VJ1LPGENBA1G1</v>
          </cell>
          <cell r="B2477" t="str">
            <v>SMT</v>
          </cell>
          <cell r="C2477">
            <v>1</v>
          </cell>
          <cell r="D2477" t="e">
            <v>#N/A</v>
          </cell>
        </row>
        <row r="2478">
          <cell r="A2478" t="str">
            <v>1RE1LPGENBA1G1</v>
          </cell>
          <cell r="B2478" t="str">
            <v>SMT</v>
          </cell>
          <cell r="C2478">
            <v>1</v>
          </cell>
          <cell r="D2478">
            <v>52</v>
          </cell>
        </row>
        <row r="2479">
          <cell r="A2479" t="str">
            <v>1RE2LPGENBA1G1</v>
          </cell>
          <cell r="B2479" t="str">
            <v>SMT</v>
          </cell>
          <cell r="C2479">
            <v>1</v>
          </cell>
          <cell r="D2479">
            <v>182</v>
          </cell>
        </row>
        <row r="2480">
          <cell r="A2480" t="str">
            <v>1AP1LPGENBA1G1</v>
          </cell>
          <cell r="B2480" t="str">
            <v>DIP</v>
          </cell>
          <cell r="C2480">
            <v>1</v>
          </cell>
          <cell r="D2480" t="e">
            <v>#N/A</v>
          </cell>
          <cell r="E2480">
            <v>2210</v>
          </cell>
        </row>
        <row r="2481">
          <cell r="A2481" t="str">
            <v>1VI1PSLP1464YA-S1</v>
          </cell>
          <cell r="B2481" t="str">
            <v>SMT</v>
          </cell>
          <cell r="C2481">
            <v>1</v>
          </cell>
          <cell r="D2481" t="e">
            <v>#N/A</v>
          </cell>
        </row>
        <row r="2482">
          <cell r="A2482" t="str">
            <v>1RE1PSLP1464YA-S1</v>
          </cell>
          <cell r="B2482" t="str">
            <v>SMT</v>
          </cell>
          <cell r="C2482">
            <v>1</v>
          </cell>
          <cell r="D2482">
            <v>703</v>
          </cell>
        </row>
        <row r="2483">
          <cell r="A2483" t="str">
            <v>1AP1PSLP1464YA-S1</v>
          </cell>
          <cell r="B2483" t="str">
            <v>DIP</v>
          </cell>
          <cell r="C2483">
            <v>1</v>
          </cell>
          <cell r="D2483" t="e">
            <v>#N/A</v>
          </cell>
          <cell r="E2483">
            <v>2210</v>
          </cell>
        </row>
        <row r="2484">
          <cell r="A2484" t="str">
            <v>1VJ1LPBYODBARG1</v>
          </cell>
          <cell r="B2484" t="str">
            <v>SMT</v>
          </cell>
          <cell r="C2484">
            <v>1</v>
          </cell>
          <cell r="D2484" t="e">
            <v>#N/A</v>
          </cell>
        </row>
        <row r="2485">
          <cell r="A2485" t="str">
            <v>1VJ2LPBYODBARG1</v>
          </cell>
          <cell r="B2485" t="str">
            <v>SMT</v>
          </cell>
          <cell r="C2485">
            <v>1</v>
          </cell>
          <cell r="D2485" t="e">
            <v>#N/A</v>
          </cell>
        </row>
        <row r="2486">
          <cell r="A2486" t="str">
            <v>1RE1LPBYODBARG1</v>
          </cell>
          <cell r="B2486" t="str">
            <v>SMT</v>
          </cell>
          <cell r="C2486">
            <v>1</v>
          </cell>
          <cell r="D2486" t="e">
            <v>#N/A</v>
          </cell>
        </row>
        <row r="2487">
          <cell r="A2487" t="str">
            <v>1RE2LPBYODBARG1</v>
          </cell>
          <cell r="B2487" t="str">
            <v>SMT</v>
          </cell>
          <cell r="C2487">
            <v>1</v>
          </cell>
          <cell r="D2487" t="e">
            <v>#N/A</v>
          </cell>
        </row>
        <row r="2488">
          <cell r="A2488" t="str">
            <v>1RE1LPPL200REMZAG3</v>
          </cell>
          <cell r="B2488" t="str">
            <v>SMT</v>
          </cell>
          <cell r="C2488">
            <v>1</v>
          </cell>
          <cell r="D2488">
            <v>144</v>
          </cell>
        </row>
        <row r="2489">
          <cell r="A2489" t="str">
            <v>1RE2LPPL200REMZAG3</v>
          </cell>
          <cell r="B2489" t="str">
            <v>SMT</v>
          </cell>
          <cell r="C2489">
            <v>1</v>
          </cell>
          <cell r="D2489">
            <v>91</v>
          </cell>
        </row>
        <row r="2490">
          <cell r="A2490" t="str">
            <v>1RE1TDA3168XJV4</v>
          </cell>
          <cell r="B2490" t="str">
            <v>SMT</v>
          </cell>
          <cell r="C2490">
            <v>1</v>
          </cell>
          <cell r="D2490">
            <v>29</v>
          </cell>
        </row>
        <row r="2491">
          <cell r="A2491" t="str">
            <v>1RE2TDA3168XJV4</v>
          </cell>
          <cell r="B2491" t="str">
            <v>SMT</v>
          </cell>
          <cell r="C2491">
            <v>1</v>
          </cell>
          <cell r="D2491">
            <v>65</v>
          </cell>
          <cell r="E2491">
            <v>2210</v>
          </cell>
          <cell r="F2491" t="str">
            <v>VC01</v>
          </cell>
          <cell r="G2491" t="str">
            <v>Auto</v>
          </cell>
          <cell r="H2491">
            <v>311</v>
          </cell>
          <cell r="I2491">
            <v>2210</v>
          </cell>
          <cell r="J2491">
            <v>2310</v>
          </cell>
          <cell r="K2491" t="str">
            <v>VC01</v>
          </cell>
        </row>
        <row r="2492">
          <cell r="A2492" t="str">
            <v>1VI344PCB01-0RRCC</v>
          </cell>
          <cell r="B2492" t="str">
            <v>SMT</v>
          </cell>
          <cell r="C2492">
            <v>1</v>
          </cell>
          <cell r="D2492" t="e">
            <v>#N/A</v>
          </cell>
        </row>
        <row r="2493">
          <cell r="A2493" t="str">
            <v>CMRF344PCB01-0RRCC</v>
          </cell>
          <cell r="B2493" t="str">
            <v>SMT</v>
          </cell>
          <cell r="C2493">
            <v>1</v>
          </cell>
          <cell r="D2493" t="e">
            <v>#N/A</v>
          </cell>
        </row>
        <row r="2494">
          <cell r="A2494" t="str">
            <v>CMFF344PCB01-0RRCC</v>
          </cell>
          <cell r="B2494" t="str">
            <v>SMT</v>
          </cell>
          <cell r="C2494">
            <v>1</v>
          </cell>
          <cell r="D2494" t="e">
            <v>#N/A</v>
          </cell>
          <cell r="E2494">
            <v>2210</v>
          </cell>
          <cell r="F2494" t="str">
            <v>VC01</v>
          </cell>
          <cell r="G2494" t="str">
            <v>Auto</v>
          </cell>
          <cell r="H2494">
            <v>311</v>
          </cell>
          <cell r="I2494">
            <v>2210</v>
          </cell>
          <cell r="J2494" t="e">
            <v>#N/A</v>
          </cell>
          <cell r="K2494" t="str">
            <v>VC01</v>
          </cell>
        </row>
        <row r="2495">
          <cell r="A2495" t="str">
            <v>HNDF344PCB01-0RRCC</v>
          </cell>
          <cell r="B2495" t="str">
            <v>DIP</v>
          </cell>
          <cell r="C2495">
            <v>1</v>
          </cell>
          <cell r="D2495" t="e">
            <v>#N/A</v>
          </cell>
          <cell r="E2495">
            <v>2210</v>
          </cell>
        </row>
        <row r="2496">
          <cell r="A2496" t="str">
            <v>1RE1LPFG520RAAYAT1</v>
          </cell>
          <cell r="B2496" t="str">
            <v>SMT</v>
          </cell>
          <cell r="C2496">
            <v>1</v>
          </cell>
          <cell r="D2496">
            <v>96</v>
          </cell>
        </row>
        <row r="2497">
          <cell r="A2497" t="str">
            <v>1AE1LPFG520RAAYAT1</v>
          </cell>
          <cell r="B2497" t="str">
            <v>SMT</v>
          </cell>
          <cell r="C2497">
            <v>1</v>
          </cell>
          <cell r="D2497" t="e">
            <v>#N/A</v>
          </cell>
        </row>
        <row r="2498">
          <cell r="A2498" t="str">
            <v>1RH1LPFG520RAAYAT1</v>
          </cell>
          <cell r="B2498" t="str">
            <v>SMT</v>
          </cell>
          <cell r="C2498">
            <v>1</v>
          </cell>
          <cell r="D2498">
            <v>9</v>
          </cell>
        </row>
        <row r="2499">
          <cell r="A2499" t="str">
            <v>1AP1LPFG520RAAYAT1</v>
          </cell>
          <cell r="B2499" t="str">
            <v>DIP</v>
          </cell>
          <cell r="C2499">
            <v>1</v>
          </cell>
          <cell r="D2499" t="e">
            <v>#N/A</v>
          </cell>
          <cell r="E2499">
            <v>2210</v>
          </cell>
        </row>
        <row r="2500">
          <cell r="A2500" t="str">
            <v>1VI1LPFG520REMWAT1</v>
          </cell>
          <cell r="B2500" t="str">
            <v>SMT</v>
          </cell>
          <cell r="C2500">
            <v>1</v>
          </cell>
          <cell r="D2500" t="e">
            <v>#N/A</v>
          </cell>
        </row>
        <row r="2501">
          <cell r="A2501" t="str">
            <v>1RE1LPFG520REMWAT1</v>
          </cell>
          <cell r="B2501" t="str">
            <v>SMT</v>
          </cell>
          <cell r="C2501">
            <v>1</v>
          </cell>
          <cell r="D2501">
            <v>174</v>
          </cell>
        </row>
        <row r="2502">
          <cell r="A2502" t="str">
            <v>1RE2LPFG520REMWAT1</v>
          </cell>
          <cell r="B2502" t="str">
            <v>SMT</v>
          </cell>
          <cell r="C2502">
            <v>1</v>
          </cell>
          <cell r="D2502">
            <v>134</v>
          </cell>
        </row>
        <row r="2503">
          <cell r="A2503" t="str">
            <v>1AP1LPFG520REMWAT1</v>
          </cell>
          <cell r="B2503" t="str">
            <v>DIP</v>
          </cell>
          <cell r="C2503">
            <v>1</v>
          </cell>
          <cell r="D2503" t="e">
            <v>#N/A</v>
          </cell>
          <cell r="E2503">
            <v>2210</v>
          </cell>
        </row>
        <row r="2504">
          <cell r="A2504" t="str">
            <v>1AP1LPMB545JTWYA</v>
          </cell>
          <cell r="B2504" t="str">
            <v>DIP</v>
          </cell>
          <cell r="C2504">
            <v>1</v>
          </cell>
          <cell r="D2504" t="e">
            <v>#N/A</v>
          </cell>
          <cell r="E2504">
            <v>2210</v>
          </cell>
        </row>
        <row r="2505">
          <cell r="A2505" t="str">
            <v>1VI1LPN1058XM-S1</v>
          </cell>
          <cell r="B2505" t="str">
            <v>SMT</v>
          </cell>
          <cell r="C2505">
            <v>1</v>
          </cell>
          <cell r="D2505" t="e">
            <v>#N/A</v>
          </cell>
        </row>
        <row r="2506">
          <cell r="A2506" t="str">
            <v>1RE1LPN1028XM-S1</v>
          </cell>
          <cell r="B2506" t="str">
            <v>SMT</v>
          </cell>
          <cell r="C2506">
            <v>1</v>
          </cell>
          <cell r="D2506">
            <v>64</v>
          </cell>
        </row>
        <row r="2507">
          <cell r="A2507" t="str">
            <v>1RE2LPN1028XM-S1</v>
          </cell>
          <cell r="B2507" t="str">
            <v>SMT</v>
          </cell>
          <cell r="C2507">
            <v>1</v>
          </cell>
          <cell r="D2507">
            <v>558</v>
          </cell>
        </row>
        <row r="2508">
          <cell r="A2508" t="str">
            <v>1AP1LPN1028XM-S1</v>
          </cell>
          <cell r="B2508" t="str">
            <v>DIP</v>
          </cell>
          <cell r="C2508">
            <v>1</v>
          </cell>
          <cell r="D2508" t="e">
            <v>#N/A</v>
          </cell>
          <cell r="E2508">
            <v>2210</v>
          </cell>
        </row>
        <row r="2509">
          <cell r="A2509" t="str">
            <v>1VI1LPN1058YM-S1</v>
          </cell>
          <cell r="B2509" t="str">
            <v>SMT</v>
          </cell>
          <cell r="C2509">
            <v>1</v>
          </cell>
          <cell r="D2509" t="e">
            <v>#N/A</v>
          </cell>
        </row>
        <row r="2510">
          <cell r="A2510" t="str">
            <v>1RE1LPN1028YM-S1</v>
          </cell>
          <cell r="B2510" t="str">
            <v>SMT</v>
          </cell>
          <cell r="C2510">
            <v>1</v>
          </cell>
          <cell r="D2510">
            <v>642</v>
          </cell>
        </row>
        <row r="2511">
          <cell r="A2511" t="str">
            <v>1RE2LPN1028YM-S1</v>
          </cell>
          <cell r="B2511" t="str">
            <v>SMT</v>
          </cell>
          <cell r="C2511">
            <v>1</v>
          </cell>
          <cell r="D2511">
            <v>551</v>
          </cell>
        </row>
        <row r="2512">
          <cell r="A2512" t="str">
            <v>1AP1LPN1028YM-S1</v>
          </cell>
          <cell r="B2512" t="str">
            <v>DIP</v>
          </cell>
          <cell r="C2512">
            <v>1</v>
          </cell>
          <cell r="D2512" t="e">
            <v>#N/A</v>
          </cell>
          <cell r="E2512">
            <v>2210</v>
          </cell>
        </row>
        <row r="2513">
          <cell r="A2513" t="str">
            <v>1RE1LPN1058XM-S1</v>
          </cell>
          <cell r="B2513" t="str">
            <v>SMT</v>
          </cell>
          <cell r="C2513">
            <v>1</v>
          </cell>
          <cell r="D2513">
            <v>663</v>
          </cell>
        </row>
        <row r="2514">
          <cell r="A2514" t="str">
            <v>1RE2LPN1058XM-S1</v>
          </cell>
          <cell r="B2514" t="str">
            <v>SMT</v>
          </cell>
          <cell r="C2514">
            <v>1</v>
          </cell>
          <cell r="D2514">
            <v>592</v>
          </cell>
        </row>
        <row r="2515">
          <cell r="A2515" t="str">
            <v>1AP1LPN1058XM-S1</v>
          </cell>
          <cell r="B2515" t="str">
            <v>DIP</v>
          </cell>
          <cell r="C2515">
            <v>1</v>
          </cell>
          <cell r="D2515" t="e">
            <v>#N/A</v>
          </cell>
          <cell r="E2515">
            <v>2210</v>
          </cell>
        </row>
        <row r="2516">
          <cell r="A2516" t="str">
            <v>1RE1LPN1058YM-S1</v>
          </cell>
          <cell r="B2516" t="str">
            <v>SMT</v>
          </cell>
          <cell r="C2516">
            <v>1</v>
          </cell>
          <cell r="D2516">
            <v>661</v>
          </cell>
        </row>
        <row r="2517">
          <cell r="A2517" t="str">
            <v>1RE2LPN1058YM-S1</v>
          </cell>
          <cell r="B2517" t="str">
            <v>SMT</v>
          </cell>
          <cell r="C2517">
            <v>1</v>
          </cell>
          <cell r="D2517">
            <v>585</v>
          </cell>
        </row>
        <row r="2518">
          <cell r="A2518" t="str">
            <v>1AP1LPN1058YM-S1</v>
          </cell>
          <cell r="B2518" t="str">
            <v>DIP</v>
          </cell>
          <cell r="C2518">
            <v>1</v>
          </cell>
          <cell r="D2518" t="e">
            <v>#N/A</v>
          </cell>
          <cell r="E2518">
            <v>2210</v>
          </cell>
        </row>
        <row r="2519">
          <cell r="A2519" t="str">
            <v>1RE1LPN1058YT-S1</v>
          </cell>
          <cell r="B2519" t="str">
            <v>SMT</v>
          </cell>
          <cell r="C2519">
            <v>1</v>
          </cell>
          <cell r="D2519">
            <v>30</v>
          </cell>
        </row>
        <row r="2520">
          <cell r="A2520" t="str">
            <v>1RE2LPN1058YT-S1</v>
          </cell>
          <cell r="B2520" t="str">
            <v>SMT</v>
          </cell>
          <cell r="C2520">
            <v>1</v>
          </cell>
          <cell r="D2520">
            <v>264</v>
          </cell>
        </row>
        <row r="2521">
          <cell r="A2521" t="str">
            <v>1AP1LPN1058YT-S1</v>
          </cell>
          <cell r="B2521" t="str">
            <v>DIP</v>
          </cell>
          <cell r="C2521">
            <v>1</v>
          </cell>
          <cell r="D2521" t="e">
            <v>#N/A</v>
          </cell>
          <cell r="E2521">
            <v>2210</v>
          </cell>
        </row>
        <row r="2522">
          <cell r="A2522" t="str">
            <v>1RH1LPN1058YW-S1</v>
          </cell>
          <cell r="B2522" t="str">
            <v>SMT</v>
          </cell>
          <cell r="C2522">
            <v>1</v>
          </cell>
          <cell r="D2522">
            <v>2</v>
          </cell>
        </row>
        <row r="2523">
          <cell r="A2523" t="str">
            <v>1AP1LPN1058YW-S1</v>
          </cell>
          <cell r="B2523" t="str">
            <v>DIP</v>
          </cell>
          <cell r="C2523">
            <v>1</v>
          </cell>
          <cell r="D2523" t="e">
            <v>#N/A</v>
          </cell>
          <cell r="E2523">
            <v>2210</v>
          </cell>
        </row>
        <row r="2524">
          <cell r="A2524" t="str">
            <v>1VI1LPS1058YMZA</v>
          </cell>
          <cell r="B2524" t="str">
            <v>SMT</v>
          </cell>
          <cell r="C2524">
            <v>1</v>
          </cell>
          <cell r="D2524" t="e">
            <v>#N/A</v>
          </cell>
        </row>
        <row r="2525">
          <cell r="A2525" t="str">
            <v>1RE1LPS1028YMZA</v>
          </cell>
          <cell r="B2525" t="str">
            <v>SMT</v>
          </cell>
          <cell r="C2525">
            <v>1</v>
          </cell>
          <cell r="D2525">
            <v>644</v>
          </cell>
        </row>
        <row r="2526">
          <cell r="A2526" t="str">
            <v>1RE2LPS1028YMZA</v>
          </cell>
          <cell r="B2526" t="str">
            <v>SMT</v>
          </cell>
          <cell r="C2526">
            <v>1</v>
          </cell>
          <cell r="D2526">
            <v>544</v>
          </cell>
        </row>
        <row r="2527">
          <cell r="A2527" t="str">
            <v>1AP1LPS1028YMZA</v>
          </cell>
          <cell r="B2527" t="str">
            <v>DIP</v>
          </cell>
          <cell r="C2527">
            <v>1</v>
          </cell>
          <cell r="D2527" t="e">
            <v>#N/A</v>
          </cell>
          <cell r="E2527">
            <v>2210</v>
          </cell>
        </row>
        <row r="2528">
          <cell r="A2528" t="str">
            <v>1RE1LPS1058YMZA</v>
          </cell>
          <cell r="B2528" t="str">
            <v>SMT</v>
          </cell>
          <cell r="C2528">
            <v>1</v>
          </cell>
          <cell r="D2528">
            <v>663</v>
          </cell>
        </row>
        <row r="2529">
          <cell r="A2529" t="str">
            <v>1RE2LPS1058YMZA</v>
          </cell>
          <cell r="B2529" t="str">
            <v>SMT</v>
          </cell>
          <cell r="C2529">
            <v>1</v>
          </cell>
          <cell r="D2529">
            <v>579</v>
          </cell>
        </row>
        <row r="2530">
          <cell r="A2530" t="str">
            <v>1AP1LPS1058YMZA</v>
          </cell>
          <cell r="B2530" t="str">
            <v>DIP</v>
          </cell>
          <cell r="C2530">
            <v>1</v>
          </cell>
          <cell r="D2530" t="e">
            <v>#N/A</v>
          </cell>
          <cell r="E2530">
            <v>2210</v>
          </cell>
        </row>
        <row r="2531">
          <cell r="A2531" t="str">
            <v>1VI344PCB01-ARRCC</v>
          </cell>
          <cell r="B2531" t="str">
            <v>SMT</v>
          </cell>
          <cell r="C2531">
            <v>1</v>
          </cell>
          <cell r="D2531" t="e">
            <v>#N/A</v>
          </cell>
        </row>
        <row r="2532">
          <cell r="A2532" t="str">
            <v>CMRF344PCB01-ARRCC</v>
          </cell>
          <cell r="B2532" t="str">
            <v>SMT</v>
          </cell>
          <cell r="C2532">
            <v>1</v>
          </cell>
          <cell r="D2532">
            <v>219</v>
          </cell>
        </row>
        <row r="2533">
          <cell r="A2533" t="str">
            <v>CMFF344PCB01-ARRCC</v>
          </cell>
          <cell r="B2533" t="str">
            <v>SMT</v>
          </cell>
          <cell r="C2533">
            <v>1</v>
          </cell>
          <cell r="D2533">
            <v>150</v>
          </cell>
          <cell r="E2533">
            <v>2210</v>
          </cell>
          <cell r="F2533" t="str">
            <v>VC01</v>
          </cell>
          <cell r="G2533" t="str">
            <v>Auto</v>
          </cell>
          <cell r="H2533">
            <v>311</v>
          </cell>
          <cell r="I2533">
            <v>2210</v>
          </cell>
          <cell r="J2533" t="e">
            <v>#N/A</v>
          </cell>
          <cell r="K2533" t="str">
            <v>VC01</v>
          </cell>
        </row>
        <row r="2534">
          <cell r="A2534" t="str">
            <v>HNDF344PCB01-ARRCC</v>
          </cell>
          <cell r="B2534" t="str">
            <v>DIP</v>
          </cell>
          <cell r="C2534">
            <v>1</v>
          </cell>
          <cell r="D2534" t="e">
            <v>#N/A</v>
          </cell>
          <cell r="E2534">
            <v>2210</v>
          </cell>
        </row>
        <row r="2535">
          <cell r="A2535" t="str">
            <v>1VJ1D971V4</v>
          </cell>
          <cell r="B2535" t="str">
            <v>SMT</v>
          </cell>
          <cell r="C2535">
            <v>1</v>
          </cell>
          <cell r="D2535" t="e">
            <v>#N/A</v>
          </cell>
        </row>
        <row r="2536">
          <cell r="A2536" t="str">
            <v>1RE1D971V4</v>
          </cell>
          <cell r="B2536" t="str">
            <v>SMT</v>
          </cell>
          <cell r="C2536">
            <v>1</v>
          </cell>
          <cell r="D2536">
            <v>327</v>
          </cell>
          <cell r="E2536">
            <v>2210</v>
          </cell>
          <cell r="F2536" t="str">
            <v>VC01</v>
          </cell>
          <cell r="G2536" t="str">
            <v>Auto</v>
          </cell>
          <cell r="H2536">
            <v>311</v>
          </cell>
          <cell r="I2536">
            <v>2210</v>
          </cell>
          <cell r="J2536">
            <v>2220</v>
          </cell>
          <cell r="K2536" t="str">
            <v>VC01</v>
          </cell>
        </row>
        <row r="2537">
          <cell r="A2537" t="str">
            <v>1AP1D971V4</v>
          </cell>
          <cell r="B2537" t="str">
            <v>DIP</v>
          </cell>
          <cell r="C2537">
            <v>1</v>
          </cell>
          <cell r="D2537" t="e">
            <v>#N/A</v>
          </cell>
          <cell r="E2537">
            <v>2210</v>
          </cell>
          <cell r="F2537" t="str">
            <v>VC01</v>
          </cell>
          <cell r="G2537" t="str">
            <v>Auto</v>
          </cell>
          <cell r="H2537">
            <v>311</v>
          </cell>
          <cell r="I2537">
            <v>2210</v>
          </cell>
          <cell r="J2537">
            <v>2220</v>
          </cell>
          <cell r="K2537" t="str">
            <v>VC01</v>
          </cell>
        </row>
        <row r="2538">
          <cell r="A2538" t="str">
            <v>1RE1TDA0105XJV4</v>
          </cell>
          <cell r="B2538" t="str">
            <v>SMT</v>
          </cell>
          <cell r="C2538">
            <v>1</v>
          </cell>
          <cell r="D2538">
            <v>52</v>
          </cell>
        </row>
        <row r="2539">
          <cell r="A2539" t="str">
            <v>1RE2TDA0105XJV4</v>
          </cell>
          <cell r="B2539" t="str">
            <v>SMT</v>
          </cell>
          <cell r="C2539">
            <v>1</v>
          </cell>
          <cell r="D2539">
            <v>48</v>
          </cell>
          <cell r="E2539">
            <v>2210</v>
          </cell>
          <cell r="F2539" t="str">
            <v>VC01</v>
          </cell>
          <cell r="G2539" t="str">
            <v>Auto</v>
          </cell>
          <cell r="H2539">
            <v>311</v>
          </cell>
          <cell r="I2539">
            <v>2210</v>
          </cell>
          <cell r="J2539">
            <v>2310</v>
          </cell>
          <cell r="K2539" t="str">
            <v>VC01</v>
          </cell>
        </row>
        <row r="2540">
          <cell r="A2540" t="str">
            <v>1VI1NS0131</v>
          </cell>
          <cell r="B2540" t="str">
            <v>SMT</v>
          </cell>
          <cell r="C2540">
            <v>1</v>
          </cell>
          <cell r="D2540" t="e">
            <v>#N/A</v>
          </cell>
        </row>
        <row r="2541">
          <cell r="A2541" t="str">
            <v>1VI2NS0131</v>
          </cell>
          <cell r="B2541" t="str">
            <v>SMT</v>
          </cell>
          <cell r="C2541">
            <v>1</v>
          </cell>
          <cell r="D2541" t="e">
            <v>#N/A</v>
          </cell>
        </row>
        <row r="2542">
          <cell r="A2542" t="str">
            <v>1RE1NS0131</v>
          </cell>
          <cell r="B2542" t="str">
            <v>SMT</v>
          </cell>
          <cell r="C2542">
            <v>1</v>
          </cell>
          <cell r="D2542">
            <v>685</v>
          </cell>
          <cell r="E2542">
            <v>2210</v>
          </cell>
          <cell r="F2542" t="str">
            <v>VC01</v>
          </cell>
          <cell r="G2542" t="str">
            <v>Auto</v>
          </cell>
          <cell r="H2542">
            <v>311</v>
          </cell>
          <cell r="I2542">
            <v>2210</v>
          </cell>
          <cell r="J2542">
            <v>2310</v>
          </cell>
          <cell r="K2542" t="str">
            <v>VC01</v>
          </cell>
        </row>
        <row r="2543">
          <cell r="A2543" t="str">
            <v>1AP1NS0131</v>
          </cell>
          <cell r="B2543" t="str">
            <v>DIP</v>
          </cell>
          <cell r="C2543">
            <v>1</v>
          </cell>
          <cell r="D2543" t="e">
            <v>#N/A</v>
          </cell>
          <cell r="E2543">
            <v>2210</v>
          </cell>
          <cell r="F2543" t="str">
            <v>VC01</v>
          </cell>
          <cell r="G2543" t="str">
            <v>Auto</v>
          </cell>
          <cell r="H2543">
            <v>311</v>
          </cell>
          <cell r="I2543">
            <v>2210</v>
          </cell>
          <cell r="J2543">
            <v>2310</v>
          </cell>
          <cell r="K2543" t="str">
            <v>VC01</v>
          </cell>
        </row>
        <row r="2544">
          <cell r="A2544" t="str">
            <v>1RE1NCP1180AL</v>
          </cell>
          <cell r="B2544" t="str">
            <v>SMT</v>
          </cell>
          <cell r="C2544">
            <v>1</v>
          </cell>
          <cell r="D2544">
            <v>232</v>
          </cell>
        </row>
        <row r="2545">
          <cell r="A2545" t="str">
            <v>1RE2NCP1180AL</v>
          </cell>
          <cell r="B2545" t="str">
            <v>SMT</v>
          </cell>
          <cell r="C2545">
            <v>1</v>
          </cell>
          <cell r="D2545">
            <v>323</v>
          </cell>
        </row>
        <row r="2546">
          <cell r="A2546" t="str">
            <v>1RH1NCP1180AL</v>
          </cell>
          <cell r="B2546" t="str">
            <v>SMT</v>
          </cell>
          <cell r="C2546">
            <v>1</v>
          </cell>
          <cell r="D2546">
            <v>21</v>
          </cell>
          <cell r="E2546">
            <v>2210</v>
          </cell>
          <cell r="F2546" t="str">
            <v>VC01</v>
          </cell>
          <cell r="G2546" t="str">
            <v>Auto</v>
          </cell>
          <cell r="H2546">
            <v>311</v>
          </cell>
          <cell r="I2546">
            <v>2210</v>
          </cell>
          <cell r="J2546">
            <v>2310</v>
          </cell>
          <cell r="K2546" t="str">
            <v>VC01</v>
          </cell>
        </row>
        <row r="2547">
          <cell r="A2547" t="str">
            <v>1AP1NCP1180AL</v>
          </cell>
          <cell r="B2547" t="str">
            <v>DIP</v>
          </cell>
          <cell r="C2547">
            <v>1</v>
          </cell>
          <cell r="D2547" t="e">
            <v>#N/A</v>
          </cell>
          <cell r="E2547">
            <v>2210</v>
          </cell>
          <cell r="F2547" t="str">
            <v>VC01</v>
          </cell>
          <cell r="G2547" t="str">
            <v>Auto</v>
          </cell>
          <cell r="H2547">
            <v>311</v>
          </cell>
          <cell r="I2547">
            <v>2210</v>
          </cell>
          <cell r="J2547">
            <v>2310</v>
          </cell>
          <cell r="K2547" t="str">
            <v>VC01</v>
          </cell>
        </row>
        <row r="2548">
          <cell r="A2548" t="str">
            <v>1RE1NS5112</v>
          </cell>
          <cell r="B2548" t="str">
            <v>SMT</v>
          </cell>
          <cell r="C2548">
            <v>1</v>
          </cell>
          <cell r="D2548">
            <v>206</v>
          </cell>
        </row>
        <row r="2549">
          <cell r="A2549" t="str">
            <v>1RE2NS5112</v>
          </cell>
          <cell r="B2549" t="str">
            <v>SMT</v>
          </cell>
          <cell r="C2549">
            <v>1</v>
          </cell>
          <cell r="D2549">
            <v>290</v>
          </cell>
          <cell r="E2549">
            <v>2210</v>
          </cell>
          <cell r="F2549" t="str">
            <v>VC01</v>
          </cell>
          <cell r="G2549" t="str">
            <v>Auto</v>
          </cell>
          <cell r="H2549">
            <v>311</v>
          </cell>
          <cell r="I2549">
            <v>2210</v>
          </cell>
          <cell r="J2549">
            <v>2310</v>
          </cell>
          <cell r="K2549" t="str">
            <v>VC01</v>
          </cell>
        </row>
        <row r="2550">
          <cell r="A2550" t="str">
            <v>1VJ1LPGST100CER-S1</v>
          </cell>
          <cell r="B2550" t="str">
            <v>SMT</v>
          </cell>
          <cell r="C2550">
            <v>1</v>
          </cell>
          <cell r="D2550" t="e">
            <v>#N/A</v>
          </cell>
        </row>
        <row r="2551">
          <cell r="A2551" t="str">
            <v>1RE1LPGST100CER-S1</v>
          </cell>
          <cell r="B2551" t="str">
            <v>SMT</v>
          </cell>
          <cell r="C2551">
            <v>1</v>
          </cell>
          <cell r="D2551">
            <v>45</v>
          </cell>
        </row>
        <row r="2552">
          <cell r="A2552" t="str">
            <v>1RE2LPGST100CER-S1</v>
          </cell>
          <cell r="B2552" t="str">
            <v>SMT</v>
          </cell>
          <cell r="C2552">
            <v>1</v>
          </cell>
          <cell r="D2552">
            <v>201</v>
          </cell>
        </row>
        <row r="2553">
          <cell r="A2553" t="str">
            <v>1VJ1LP2583ZA</v>
          </cell>
          <cell r="B2553" t="str">
            <v>SMT</v>
          </cell>
          <cell r="C2553">
            <v>1</v>
          </cell>
          <cell r="D2553" t="e">
            <v>#N/A</v>
          </cell>
        </row>
        <row r="2554">
          <cell r="A2554" t="str">
            <v>1RE1LP2583ZA</v>
          </cell>
          <cell r="B2554" t="str">
            <v>SMT</v>
          </cell>
          <cell r="C2554">
            <v>1</v>
          </cell>
          <cell r="D2554">
            <v>415</v>
          </cell>
        </row>
        <row r="2555">
          <cell r="A2555" t="str">
            <v>1RE2LP2583ZA</v>
          </cell>
          <cell r="B2555" t="str">
            <v>SMT</v>
          </cell>
          <cell r="C2555">
            <v>1</v>
          </cell>
          <cell r="D2555">
            <v>494</v>
          </cell>
        </row>
        <row r="2556">
          <cell r="A2556" t="str">
            <v>1RH1LP2583ZA</v>
          </cell>
          <cell r="B2556" t="str">
            <v>SMT</v>
          </cell>
          <cell r="C2556">
            <v>1</v>
          </cell>
          <cell r="D2556">
            <v>11</v>
          </cell>
          <cell r="E2556">
            <v>2210</v>
          </cell>
          <cell r="F2556" t="str">
            <v>VC01</v>
          </cell>
          <cell r="G2556" t="str">
            <v>Auto</v>
          </cell>
          <cell r="H2556">
            <v>311</v>
          </cell>
          <cell r="I2556">
            <v>2210</v>
          </cell>
          <cell r="J2556">
            <v>2310</v>
          </cell>
          <cell r="K2556" t="str">
            <v>VC01</v>
          </cell>
        </row>
        <row r="2557">
          <cell r="A2557" t="str">
            <v>1AP1LP2583ZA</v>
          </cell>
          <cell r="B2557" t="str">
            <v>DIP</v>
          </cell>
          <cell r="C2557">
            <v>1</v>
          </cell>
          <cell r="D2557" t="e">
            <v>#N/A</v>
          </cell>
          <cell r="E2557">
            <v>2210</v>
          </cell>
          <cell r="F2557" t="str">
            <v>VC01</v>
          </cell>
          <cell r="G2557" t="str">
            <v>Auto</v>
          </cell>
          <cell r="H2557">
            <v>311</v>
          </cell>
          <cell r="I2557">
            <v>2210</v>
          </cell>
          <cell r="J2557">
            <v>2310</v>
          </cell>
          <cell r="K2557" t="str">
            <v>VC01</v>
          </cell>
        </row>
        <row r="2558">
          <cell r="A2558" t="str">
            <v>1RE1TDA0181NEV4</v>
          </cell>
          <cell r="B2558" t="str">
            <v>SMT</v>
          </cell>
          <cell r="C2558">
            <v>1</v>
          </cell>
          <cell r="D2558">
            <v>878</v>
          </cell>
        </row>
        <row r="2559">
          <cell r="A2559" t="str">
            <v>1RE2TDA0181NEV4</v>
          </cell>
          <cell r="B2559" t="str">
            <v>SMT</v>
          </cell>
          <cell r="C2559">
            <v>1</v>
          </cell>
          <cell r="D2559">
            <v>446</v>
          </cell>
          <cell r="E2559">
            <v>2210</v>
          </cell>
          <cell r="F2559" t="str">
            <v>VC01</v>
          </cell>
          <cell r="G2559" t="str">
            <v>Auto</v>
          </cell>
          <cell r="H2559">
            <v>311</v>
          </cell>
          <cell r="I2559">
            <v>2210</v>
          </cell>
          <cell r="J2559">
            <v>2310</v>
          </cell>
          <cell r="K2559" t="str">
            <v>VC01</v>
          </cell>
        </row>
        <row r="2560">
          <cell r="A2560" t="str">
            <v>1AP1TDA0181NEV4</v>
          </cell>
          <cell r="B2560" t="str">
            <v>DIP</v>
          </cell>
          <cell r="C2560">
            <v>1</v>
          </cell>
          <cell r="D2560" t="e">
            <v>#N/A</v>
          </cell>
          <cell r="E2560">
            <v>2210</v>
          </cell>
          <cell r="F2560" t="str">
            <v>VC01</v>
          </cell>
          <cell r="G2560" t="str">
            <v>Auto</v>
          </cell>
          <cell r="H2560">
            <v>311</v>
          </cell>
          <cell r="I2560">
            <v>2210</v>
          </cell>
          <cell r="J2560">
            <v>2310</v>
          </cell>
          <cell r="K2560" t="str">
            <v>VC01</v>
          </cell>
        </row>
        <row r="2561">
          <cell r="A2561" t="str">
            <v>1VI1NCP1290</v>
          </cell>
          <cell r="B2561" t="str">
            <v>SMT</v>
          </cell>
          <cell r="C2561">
            <v>1</v>
          </cell>
          <cell r="D2561" t="e">
            <v>#N/A</v>
          </cell>
        </row>
        <row r="2562">
          <cell r="A2562" t="str">
            <v>1RE1NCP1290</v>
          </cell>
          <cell r="B2562" t="str">
            <v>SMT</v>
          </cell>
          <cell r="C2562">
            <v>1</v>
          </cell>
          <cell r="D2562">
            <v>480</v>
          </cell>
        </row>
        <row r="2563">
          <cell r="A2563" t="str">
            <v>1RH1NCP1290</v>
          </cell>
          <cell r="B2563" t="str">
            <v>SMT</v>
          </cell>
          <cell r="C2563">
            <v>1</v>
          </cell>
          <cell r="D2563">
            <v>6</v>
          </cell>
          <cell r="E2563">
            <v>2210</v>
          </cell>
          <cell r="F2563" t="str">
            <v>VC01</v>
          </cell>
          <cell r="G2563" t="str">
            <v>Auto</v>
          </cell>
          <cell r="H2563">
            <v>311</v>
          </cell>
          <cell r="I2563">
            <v>2210</v>
          </cell>
          <cell r="J2563">
            <v>2310</v>
          </cell>
          <cell r="K2563" t="str">
            <v>VC01</v>
          </cell>
        </row>
        <row r="2564">
          <cell r="A2564" t="str">
            <v>1AP1NCP1290</v>
          </cell>
          <cell r="B2564" t="str">
            <v>DIP</v>
          </cell>
          <cell r="C2564">
            <v>1</v>
          </cell>
          <cell r="D2564" t="e">
            <v>#N/A</v>
          </cell>
          <cell r="E2564">
            <v>2210</v>
          </cell>
          <cell r="F2564" t="str">
            <v>VC01</v>
          </cell>
          <cell r="G2564" t="str">
            <v>Auto</v>
          </cell>
          <cell r="H2564">
            <v>311</v>
          </cell>
          <cell r="I2564">
            <v>2210</v>
          </cell>
          <cell r="J2564">
            <v>2310</v>
          </cell>
          <cell r="K2564" t="str">
            <v>VC01</v>
          </cell>
        </row>
        <row r="2565">
          <cell r="A2565" t="str">
            <v>1VJ1LPPL200REMZAS1</v>
          </cell>
          <cell r="B2565" t="str">
            <v>SMT</v>
          </cell>
          <cell r="C2565">
            <v>1</v>
          </cell>
          <cell r="D2565" t="e">
            <v>#N/A</v>
          </cell>
        </row>
        <row r="2566">
          <cell r="A2566" t="str">
            <v>1RE1LPPL200REMZAS1</v>
          </cell>
          <cell r="B2566" t="str">
            <v>SMT</v>
          </cell>
          <cell r="C2566">
            <v>1</v>
          </cell>
          <cell r="D2566" t="e">
            <v>#N/A</v>
          </cell>
        </row>
        <row r="2567">
          <cell r="A2567" t="str">
            <v>1RE2LPPL200REMZAS1</v>
          </cell>
          <cell r="B2567" t="str">
            <v>SMT</v>
          </cell>
          <cell r="C2567">
            <v>1</v>
          </cell>
          <cell r="D2567" t="e">
            <v>#N/A</v>
          </cell>
        </row>
        <row r="2568">
          <cell r="A2568" t="str">
            <v>1VJ1LPPL200REMZAS2</v>
          </cell>
          <cell r="B2568" t="str">
            <v>SMT</v>
          </cell>
          <cell r="C2568">
            <v>1</v>
          </cell>
          <cell r="D2568" t="e">
            <v>#N/A</v>
          </cell>
        </row>
        <row r="2569">
          <cell r="A2569" t="str">
            <v>1RE1LPPL200REMZAS2</v>
          </cell>
          <cell r="B2569" t="str">
            <v>SMT</v>
          </cell>
          <cell r="C2569">
            <v>1</v>
          </cell>
          <cell r="D2569">
            <v>142</v>
          </cell>
        </row>
        <row r="2570">
          <cell r="A2570" t="str">
            <v>1RE2LPPL200REMZAS2</v>
          </cell>
          <cell r="B2570" t="str">
            <v>SMT</v>
          </cell>
          <cell r="C2570">
            <v>1</v>
          </cell>
          <cell r="D2570">
            <v>107</v>
          </cell>
        </row>
        <row r="2571">
          <cell r="A2571" t="str">
            <v>1RE1LPTDA6381CX2ZA</v>
          </cell>
          <cell r="B2571" t="str">
            <v>SMT</v>
          </cell>
          <cell r="C2571">
            <v>1</v>
          </cell>
          <cell r="D2571">
            <v>304</v>
          </cell>
        </row>
        <row r="2572">
          <cell r="A2572" t="str">
            <v>1RE2LPTDA6381CX2ZA</v>
          </cell>
          <cell r="B2572" t="str">
            <v>SMT</v>
          </cell>
          <cell r="C2572">
            <v>1</v>
          </cell>
          <cell r="D2572">
            <v>210</v>
          </cell>
          <cell r="E2572">
            <v>2210</v>
          </cell>
          <cell r="F2572" t="str">
            <v>VC01</v>
          </cell>
          <cell r="G2572" t="str">
            <v>Auto</v>
          </cell>
          <cell r="H2572">
            <v>311</v>
          </cell>
          <cell r="I2572">
            <v>2210</v>
          </cell>
          <cell r="J2572">
            <v>2310</v>
          </cell>
          <cell r="K2572" t="str">
            <v>VC01</v>
          </cell>
        </row>
        <row r="2573">
          <cell r="A2573" t="str">
            <v>1AP1LPTDA6381CX2ZA</v>
          </cell>
          <cell r="B2573" t="str">
            <v>DIP</v>
          </cell>
          <cell r="C2573">
            <v>1</v>
          </cell>
          <cell r="D2573" t="e">
            <v>#N/A</v>
          </cell>
          <cell r="E2573">
            <v>2210</v>
          </cell>
          <cell r="F2573" t="str">
            <v>VC01</v>
          </cell>
          <cell r="G2573" t="str">
            <v>Auto</v>
          </cell>
          <cell r="H2573">
            <v>311</v>
          </cell>
          <cell r="I2573">
            <v>2210</v>
          </cell>
          <cell r="J2573">
            <v>2310</v>
          </cell>
          <cell r="K2573" t="str">
            <v>VC01</v>
          </cell>
        </row>
        <row r="2574">
          <cell r="A2574" t="str">
            <v>1VJ1LPTDA6381CX1ZA</v>
          </cell>
          <cell r="B2574" t="str">
            <v>SMT</v>
          </cell>
          <cell r="C2574">
            <v>1</v>
          </cell>
          <cell r="D2574" t="e">
            <v>#N/A</v>
          </cell>
        </row>
        <row r="2575">
          <cell r="A2575" t="str">
            <v>1RE1LPTDA6381CX1ZA</v>
          </cell>
          <cell r="B2575" t="str">
            <v>SMT</v>
          </cell>
          <cell r="C2575">
            <v>1</v>
          </cell>
          <cell r="D2575">
            <v>302</v>
          </cell>
        </row>
        <row r="2576">
          <cell r="A2576" t="str">
            <v>1RE2LPTDA6381CX1ZA</v>
          </cell>
          <cell r="B2576" t="str">
            <v>SMT</v>
          </cell>
          <cell r="C2576">
            <v>1</v>
          </cell>
          <cell r="D2576">
            <v>480</v>
          </cell>
        </row>
        <row r="2577">
          <cell r="A2577" t="str">
            <v>1RH1LPTDA6381CX1ZA</v>
          </cell>
          <cell r="B2577" t="str">
            <v>SMT</v>
          </cell>
          <cell r="C2577">
            <v>1</v>
          </cell>
          <cell r="D2577">
            <v>25</v>
          </cell>
          <cell r="E2577">
            <v>2210</v>
          </cell>
          <cell r="F2577" t="str">
            <v>VC01</v>
          </cell>
          <cell r="G2577" t="str">
            <v>Auto</v>
          </cell>
          <cell r="H2577">
            <v>311</v>
          </cell>
          <cell r="I2577">
            <v>2210</v>
          </cell>
          <cell r="J2577">
            <v>2310</v>
          </cell>
          <cell r="K2577" t="str">
            <v>VC01</v>
          </cell>
        </row>
        <row r="2578">
          <cell r="A2578" t="str">
            <v>1AP1LPTDA6381CX1ZA</v>
          </cell>
          <cell r="B2578" t="str">
            <v>DIP</v>
          </cell>
          <cell r="C2578">
            <v>1</v>
          </cell>
          <cell r="D2578" t="e">
            <v>#N/A</v>
          </cell>
          <cell r="E2578">
            <v>2210</v>
          </cell>
          <cell r="F2578" t="str">
            <v>VC01</v>
          </cell>
          <cell r="G2578" t="str">
            <v>Auto</v>
          </cell>
          <cell r="H2578">
            <v>311</v>
          </cell>
          <cell r="I2578">
            <v>2210</v>
          </cell>
          <cell r="J2578">
            <v>2310</v>
          </cell>
          <cell r="K2578" t="str">
            <v>VC01</v>
          </cell>
        </row>
        <row r="2579">
          <cell r="A2579" t="str">
            <v>1RE1LPTDA6382CX2ZA</v>
          </cell>
          <cell r="B2579" t="str">
            <v>SMT</v>
          </cell>
          <cell r="C2579">
            <v>1</v>
          </cell>
          <cell r="D2579">
            <v>461</v>
          </cell>
        </row>
        <row r="2580">
          <cell r="A2580" t="str">
            <v>1RE2LPTDA6382CX2ZA</v>
          </cell>
          <cell r="B2580" t="str">
            <v>SMT</v>
          </cell>
          <cell r="C2580">
            <v>1</v>
          </cell>
          <cell r="D2580">
            <v>235</v>
          </cell>
          <cell r="E2580">
            <v>2210</v>
          </cell>
          <cell r="F2580" t="str">
            <v>VC01</v>
          </cell>
          <cell r="G2580" t="str">
            <v>Auto</v>
          </cell>
          <cell r="H2580">
            <v>311</v>
          </cell>
          <cell r="I2580">
            <v>2210</v>
          </cell>
          <cell r="J2580">
            <v>2310</v>
          </cell>
          <cell r="K2580" t="str">
            <v>VC01</v>
          </cell>
        </row>
        <row r="2581">
          <cell r="A2581" t="str">
            <v>1AP1LPTDA6382CX2ZA</v>
          </cell>
          <cell r="B2581" t="str">
            <v>DIP</v>
          </cell>
          <cell r="C2581">
            <v>1</v>
          </cell>
          <cell r="D2581" t="e">
            <v>#N/A</v>
          </cell>
          <cell r="E2581">
            <v>2210</v>
          </cell>
          <cell r="F2581" t="str">
            <v>VC01</v>
          </cell>
          <cell r="G2581" t="str">
            <v>Auto</v>
          </cell>
          <cell r="H2581">
            <v>311</v>
          </cell>
          <cell r="I2581">
            <v>2210</v>
          </cell>
          <cell r="J2581">
            <v>2310</v>
          </cell>
          <cell r="K2581" t="str">
            <v>VC01</v>
          </cell>
        </row>
        <row r="2582">
          <cell r="A2582" t="str">
            <v>1VJ1LPTDA6382CX1ZA</v>
          </cell>
          <cell r="B2582" t="str">
            <v>SMT</v>
          </cell>
          <cell r="C2582">
            <v>1</v>
          </cell>
          <cell r="D2582" t="e">
            <v>#N/A</v>
          </cell>
        </row>
        <row r="2583">
          <cell r="A2583" t="str">
            <v>1RE1LPTDA6382CX1ZA</v>
          </cell>
          <cell r="B2583" t="str">
            <v>SMT</v>
          </cell>
          <cell r="C2583">
            <v>1</v>
          </cell>
          <cell r="D2583">
            <v>363</v>
          </cell>
        </row>
        <row r="2584">
          <cell r="A2584" t="str">
            <v>1RE2LPTDA6382CX1ZA</v>
          </cell>
          <cell r="B2584" t="str">
            <v>SMT</v>
          </cell>
          <cell r="C2584">
            <v>1</v>
          </cell>
          <cell r="D2584">
            <v>597</v>
          </cell>
        </row>
        <row r="2585">
          <cell r="A2585" t="str">
            <v>1RH1LPTDA6382CX1ZA</v>
          </cell>
          <cell r="B2585" t="str">
            <v>SMT</v>
          </cell>
          <cell r="C2585">
            <v>1</v>
          </cell>
          <cell r="D2585">
            <v>25</v>
          </cell>
          <cell r="E2585">
            <v>2210</v>
          </cell>
          <cell r="F2585" t="str">
            <v>VC01</v>
          </cell>
          <cell r="G2585" t="str">
            <v>Auto</v>
          </cell>
          <cell r="H2585">
            <v>311</v>
          </cell>
          <cell r="I2585">
            <v>2210</v>
          </cell>
          <cell r="J2585">
            <v>2310</v>
          </cell>
          <cell r="K2585" t="str">
            <v>VC01</v>
          </cell>
        </row>
        <row r="2586">
          <cell r="A2586" t="str">
            <v>1AP1LPTDA6382CX1ZA</v>
          </cell>
          <cell r="B2586" t="str">
            <v>DIP</v>
          </cell>
          <cell r="C2586">
            <v>1</v>
          </cell>
          <cell r="D2586" t="e">
            <v>#N/A</v>
          </cell>
          <cell r="E2586">
            <v>2210</v>
          </cell>
          <cell r="F2586" t="str">
            <v>VC01</v>
          </cell>
          <cell r="G2586" t="str">
            <v>Auto</v>
          </cell>
          <cell r="H2586">
            <v>311</v>
          </cell>
          <cell r="I2586">
            <v>2210</v>
          </cell>
          <cell r="J2586">
            <v>2310</v>
          </cell>
          <cell r="K2586" t="str">
            <v>VC01</v>
          </cell>
        </row>
        <row r="2587">
          <cell r="A2587" t="str">
            <v>1RE1LPFG520RAAYA</v>
          </cell>
          <cell r="B2587" t="str">
            <v>SMT</v>
          </cell>
          <cell r="C2587">
            <v>1</v>
          </cell>
          <cell r="D2587">
            <v>97</v>
          </cell>
        </row>
        <row r="2588">
          <cell r="A2588" t="str">
            <v>1AE1LPFG520RAAYA</v>
          </cell>
          <cell r="B2588" t="str">
            <v>SMT</v>
          </cell>
          <cell r="C2588">
            <v>1</v>
          </cell>
          <cell r="D2588" t="e">
            <v>#N/A</v>
          </cell>
        </row>
        <row r="2589">
          <cell r="A2589" t="str">
            <v>1RH1LPFG520RAAYA</v>
          </cell>
          <cell r="B2589" t="str">
            <v>SMT</v>
          </cell>
          <cell r="C2589">
            <v>1</v>
          </cell>
          <cell r="D2589">
            <v>8</v>
          </cell>
        </row>
        <row r="2590">
          <cell r="A2590" t="str">
            <v>1AP1LPFG520RAAYA</v>
          </cell>
          <cell r="B2590" t="str">
            <v>DIP</v>
          </cell>
          <cell r="C2590">
            <v>1</v>
          </cell>
          <cell r="D2590" t="e">
            <v>#N/A</v>
          </cell>
          <cell r="E2590">
            <v>2210</v>
          </cell>
        </row>
        <row r="2591">
          <cell r="A2591" t="str">
            <v>1AE1LPFG520RDAYA</v>
          </cell>
          <cell r="B2591" t="str">
            <v>SMT</v>
          </cell>
          <cell r="C2591">
            <v>1</v>
          </cell>
          <cell r="D2591">
            <v>0</v>
          </cell>
        </row>
        <row r="2592">
          <cell r="A2592" t="str">
            <v>1RH1LPFG520RDAYA</v>
          </cell>
          <cell r="B2592" t="str">
            <v>SMT</v>
          </cell>
          <cell r="C2592">
            <v>1</v>
          </cell>
          <cell r="D2592">
            <v>7</v>
          </cell>
          <cell r="E2592">
            <v>2210</v>
          </cell>
          <cell r="F2592" t="str">
            <v>VC01</v>
          </cell>
          <cell r="G2592" t="str">
            <v>Auto</v>
          </cell>
          <cell r="H2592">
            <v>311</v>
          </cell>
          <cell r="I2592">
            <v>2210</v>
          </cell>
          <cell r="J2592">
            <v>2280</v>
          </cell>
          <cell r="K2592" t="str">
            <v>VC01</v>
          </cell>
        </row>
        <row r="2593">
          <cell r="A2593" t="str">
            <v>1AP1LPFG520RDAYA</v>
          </cell>
          <cell r="B2593" t="str">
            <v>DIP</v>
          </cell>
          <cell r="C2593">
            <v>1</v>
          </cell>
          <cell r="D2593" t="e">
            <v>#N/A</v>
          </cell>
          <cell r="E2593">
            <v>2210</v>
          </cell>
          <cell r="F2593" t="str">
            <v>VC01</v>
          </cell>
          <cell r="G2593" t="str">
            <v>Auto</v>
          </cell>
          <cell r="H2593">
            <v>311</v>
          </cell>
          <cell r="I2593">
            <v>2210</v>
          </cell>
          <cell r="J2593">
            <v>2280</v>
          </cell>
          <cell r="K2593" t="str">
            <v>VC01</v>
          </cell>
        </row>
        <row r="2594">
          <cell r="A2594" t="str">
            <v>1AE1LPFG520REAYA</v>
          </cell>
          <cell r="B2594" t="str">
            <v>SMT</v>
          </cell>
          <cell r="C2594">
            <v>1</v>
          </cell>
          <cell r="D2594">
            <v>0</v>
          </cell>
        </row>
        <row r="2595">
          <cell r="A2595" t="str">
            <v>1RH1LPFG520REAYA</v>
          </cell>
          <cell r="B2595" t="str">
            <v>SMT</v>
          </cell>
          <cell r="C2595">
            <v>1</v>
          </cell>
          <cell r="D2595">
            <v>6</v>
          </cell>
          <cell r="E2595">
            <v>2210</v>
          </cell>
          <cell r="F2595" t="str">
            <v>VC01</v>
          </cell>
          <cell r="G2595" t="str">
            <v>Auto</v>
          </cell>
          <cell r="H2595">
            <v>311</v>
          </cell>
          <cell r="I2595">
            <v>2210</v>
          </cell>
          <cell r="J2595">
            <v>2280</v>
          </cell>
          <cell r="K2595" t="str">
            <v>VC01</v>
          </cell>
        </row>
        <row r="2596">
          <cell r="A2596" t="str">
            <v>1AP1LPFG520REAYA</v>
          </cell>
          <cell r="B2596" t="str">
            <v>DIP</v>
          </cell>
          <cell r="C2596">
            <v>1</v>
          </cell>
          <cell r="D2596" t="e">
            <v>#N/A</v>
          </cell>
          <cell r="E2596">
            <v>2210</v>
          </cell>
          <cell r="F2596" t="str">
            <v>VC01</v>
          </cell>
          <cell r="G2596" t="str">
            <v>Auto</v>
          </cell>
          <cell r="H2596">
            <v>311</v>
          </cell>
          <cell r="I2596">
            <v>2210</v>
          </cell>
          <cell r="J2596">
            <v>2280</v>
          </cell>
          <cell r="K2596" t="str">
            <v>VC01</v>
          </cell>
        </row>
        <row r="2597">
          <cell r="A2597" t="str">
            <v>PNLB2406ZA-GW</v>
          </cell>
          <cell r="B2597" t="str">
            <v>SMT</v>
          </cell>
          <cell r="C2597">
            <v>1</v>
          </cell>
          <cell r="D2597" t="e">
            <v>#N/A</v>
          </cell>
        </row>
        <row r="2598">
          <cell r="A2598" t="str">
            <v>1VJ1LPTPA65ALRZA</v>
          </cell>
          <cell r="B2598" t="str">
            <v>SMT</v>
          </cell>
          <cell r="C2598">
            <v>1</v>
          </cell>
          <cell r="D2598" t="e">
            <v>#N/A</v>
          </cell>
        </row>
        <row r="2599">
          <cell r="A2599" t="str">
            <v>1VJ2LPTPA65ALRZA</v>
          </cell>
          <cell r="B2599" t="str">
            <v>SMT</v>
          </cell>
          <cell r="C2599">
            <v>1</v>
          </cell>
          <cell r="D2599" t="e">
            <v>#N/A</v>
          </cell>
        </row>
        <row r="2600">
          <cell r="A2600" t="str">
            <v>1RE1LPTPA65ALRZA</v>
          </cell>
          <cell r="B2600" t="str">
            <v>SMT</v>
          </cell>
          <cell r="C2600">
            <v>1</v>
          </cell>
          <cell r="D2600">
            <v>45</v>
          </cell>
        </row>
        <row r="2601">
          <cell r="A2601" t="str">
            <v>1RE2LPTPA65ALRZA</v>
          </cell>
          <cell r="B2601" t="str">
            <v>SMT</v>
          </cell>
          <cell r="C2601">
            <v>1</v>
          </cell>
          <cell r="D2601">
            <v>221</v>
          </cell>
          <cell r="E2601">
            <v>2210</v>
          </cell>
          <cell r="F2601" t="str">
            <v>VC01</v>
          </cell>
          <cell r="G2601" t="str">
            <v>Auto</v>
          </cell>
          <cell r="H2601">
            <v>311</v>
          </cell>
          <cell r="I2601">
            <v>2210</v>
          </cell>
          <cell r="J2601">
            <v>2220</v>
          </cell>
          <cell r="K2601" t="str">
            <v>VC01</v>
          </cell>
        </row>
        <row r="2602">
          <cell r="A2602" t="str">
            <v>1VJ1LPTPA65CERZA</v>
          </cell>
          <cell r="B2602" t="str">
            <v>SMT</v>
          </cell>
          <cell r="C2602">
            <v>1</v>
          </cell>
          <cell r="D2602" t="e">
            <v>#N/A</v>
          </cell>
        </row>
        <row r="2603">
          <cell r="A2603" t="str">
            <v>1VJ2LPTPA65CERZA</v>
          </cell>
          <cell r="B2603" t="str">
            <v>SMT</v>
          </cell>
          <cell r="C2603">
            <v>1</v>
          </cell>
          <cell r="D2603" t="e">
            <v>#N/A</v>
          </cell>
        </row>
        <row r="2604">
          <cell r="A2604" t="str">
            <v>1RE1LPTPA65CERZA</v>
          </cell>
          <cell r="B2604" t="str">
            <v>SMT</v>
          </cell>
          <cell r="C2604">
            <v>1</v>
          </cell>
          <cell r="D2604">
            <v>45</v>
          </cell>
        </row>
        <row r="2605">
          <cell r="A2605" t="str">
            <v>1RE2LPTPA65CERZA</v>
          </cell>
          <cell r="B2605" t="str">
            <v>SMT</v>
          </cell>
          <cell r="C2605">
            <v>1</v>
          </cell>
          <cell r="D2605">
            <v>221</v>
          </cell>
          <cell r="E2605">
            <v>2210</v>
          </cell>
          <cell r="F2605" t="str">
            <v>VC01</v>
          </cell>
          <cell r="G2605" t="str">
            <v>Auto</v>
          </cell>
          <cell r="H2605">
            <v>311</v>
          </cell>
          <cell r="I2605">
            <v>2210</v>
          </cell>
          <cell r="J2605">
            <v>2220</v>
          </cell>
          <cell r="K2605" t="str">
            <v>VC01</v>
          </cell>
        </row>
        <row r="2606">
          <cell r="A2606" t="str">
            <v>1VJ1LPTPA65CRZA</v>
          </cell>
          <cell r="B2606" t="str">
            <v>SMT</v>
          </cell>
          <cell r="C2606">
            <v>1</v>
          </cell>
          <cell r="D2606" t="e">
            <v>#N/A</v>
          </cell>
        </row>
        <row r="2607">
          <cell r="A2607" t="str">
            <v>1VJ2LPTPA65CRZA</v>
          </cell>
          <cell r="B2607" t="str">
            <v>SMT</v>
          </cell>
          <cell r="C2607">
            <v>1</v>
          </cell>
          <cell r="D2607" t="e">
            <v>#N/A</v>
          </cell>
        </row>
        <row r="2608">
          <cell r="A2608" t="str">
            <v>1RE1LPTPA65CRZA</v>
          </cell>
          <cell r="B2608" t="str">
            <v>SMT</v>
          </cell>
          <cell r="C2608">
            <v>1</v>
          </cell>
          <cell r="D2608">
            <v>45</v>
          </cell>
        </row>
        <row r="2609">
          <cell r="A2609" t="str">
            <v>1RE2LPTPA65CRZA</v>
          </cell>
          <cell r="B2609" t="str">
            <v>SMT</v>
          </cell>
          <cell r="C2609">
            <v>1</v>
          </cell>
          <cell r="D2609">
            <v>221</v>
          </cell>
          <cell r="E2609">
            <v>2210</v>
          </cell>
          <cell r="F2609" t="str">
            <v>VC01</v>
          </cell>
          <cell r="G2609" t="str">
            <v>Auto</v>
          </cell>
          <cell r="H2609">
            <v>311</v>
          </cell>
          <cell r="I2609">
            <v>2210</v>
          </cell>
          <cell r="J2609">
            <v>2220</v>
          </cell>
          <cell r="K2609" t="str">
            <v>VC01</v>
          </cell>
        </row>
        <row r="2610">
          <cell r="A2610" t="str">
            <v>1VJ1LPTPA65LARZA</v>
          </cell>
          <cell r="B2610" t="str">
            <v>SMT</v>
          </cell>
          <cell r="C2610">
            <v>1</v>
          </cell>
          <cell r="D2610" t="e">
            <v>#N/A</v>
          </cell>
        </row>
        <row r="2611">
          <cell r="A2611" t="str">
            <v>1VJ2LPTPA65LARZA</v>
          </cell>
          <cell r="B2611" t="str">
            <v>SMT</v>
          </cell>
          <cell r="C2611">
            <v>1</v>
          </cell>
          <cell r="D2611" t="e">
            <v>#N/A</v>
          </cell>
        </row>
        <row r="2612">
          <cell r="A2612" t="str">
            <v>1RE1LPTPA65LARZA</v>
          </cell>
          <cell r="B2612" t="str">
            <v>SMT</v>
          </cell>
          <cell r="C2612">
            <v>1</v>
          </cell>
          <cell r="D2612">
            <v>45</v>
          </cell>
        </row>
        <row r="2613">
          <cell r="A2613" t="str">
            <v>1RE2LPTPA65LARZA</v>
          </cell>
          <cell r="B2613" t="str">
            <v>SMT</v>
          </cell>
          <cell r="C2613">
            <v>1</v>
          </cell>
          <cell r="D2613">
            <v>221</v>
          </cell>
          <cell r="E2613">
            <v>2210</v>
          </cell>
          <cell r="F2613" t="str">
            <v>VC01</v>
          </cell>
          <cell r="G2613" t="str">
            <v>Auto</v>
          </cell>
          <cell r="H2613">
            <v>311</v>
          </cell>
          <cell r="I2613">
            <v>2210</v>
          </cell>
          <cell r="J2613">
            <v>2220</v>
          </cell>
          <cell r="K2613" t="str">
            <v>VC01</v>
          </cell>
        </row>
        <row r="2614">
          <cell r="A2614" t="str">
            <v>1VJ1LPTPA65RURZA</v>
          </cell>
          <cell r="B2614" t="str">
            <v>SMT</v>
          </cell>
          <cell r="C2614">
            <v>1</v>
          </cell>
          <cell r="D2614" t="e">
            <v>#N/A</v>
          </cell>
        </row>
        <row r="2615">
          <cell r="A2615" t="str">
            <v>1VJ2LPTPA65RURZA</v>
          </cell>
          <cell r="B2615" t="str">
            <v>SMT</v>
          </cell>
          <cell r="C2615">
            <v>1</v>
          </cell>
          <cell r="D2615" t="e">
            <v>#N/A</v>
          </cell>
        </row>
        <row r="2616">
          <cell r="A2616" t="str">
            <v>1RE1LPTPA65RURZA</v>
          </cell>
          <cell r="B2616" t="str">
            <v>SMT</v>
          </cell>
          <cell r="C2616">
            <v>1</v>
          </cell>
          <cell r="D2616">
            <v>45</v>
          </cell>
        </row>
        <row r="2617">
          <cell r="A2617" t="str">
            <v>1RE2LPTPA65RURZA</v>
          </cell>
          <cell r="B2617" t="str">
            <v>SMT</v>
          </cell>
          <cell r="C2617">
            <v>1</v>
          </cell>
          <cell r="D2617">
            <v>221</v>
          </cell>
          <cell r="E2617">
            <v>2210</v>
          </cell>
          <cell r="F2617" t="str">
            <v>VC01</v>
          </cell>
          <cell r="G2617" t="str">
            <v>Auto</v>
          </cell>
          <cell r="H2617">
            <v>311</v>
          </cell>
          <cell r="I2617">
            <v>2210</v>
          </cell>
          <cell r="J2617">
            <v>2220</v>
          </cell>
          <cell r="K2617" t="str">
            <v>VC01</v>
          </cell>
        </row>
        <row r="2618">
          <cell r="A2618" t="str">
            <v>1VJ1LPTPA65RZA</v>
          </cell>
          <cell r="B2618" t="str">
            <v>SMT</v>
          </cell>
          <cell r="C2618">
            <v>1</v>
          </cell>
          <cell r="D2618" t="e">
            <v>#N/A</v>
          </cell>
        </row>
        <row r="2619">
          <cell r="A2619" t="str">
            <v>1VJ2LPTPA65RZA</v>
          </cell>
          <cell r="B2619" t="str">
            <v>SMT</v>
          </cell>
          <cell r="C2619">
            <v>1</v>
          </cell>
          <cell r="D2619" t="e">
            <v>#N/A</v>
          </cell>
        </row>
        <row r="2620">
          <cell r="A2620" t="str">
            <v>1RE1LPTPA65RZA</v>
          </cell>
          <cell r="B2620" t="str">
            <v>SMT</v>
          </cell>
          <cell r="C2620">
            <v>1</v>
          </cell>
          <cell r="D2620">
            <v>45</v>
          </cell>
        </row>
        <row r="2621">
          <cell r="A2621" t="str">
            <v>1RE2LPTPA65RZA</v>
          </cell>
          <cell r="B2621" t="str">
            <v>SMT</v>
          </cell>
          <cell r="C2621">
            <v>1</v>
          </cell>
          <cell r="D2621">
            <v>221</v>
          </cell>
          <cell r="E2621">
            <v>2210</v>
          </cell>
          <cell r="F2621" t="str">
            <v>VC01</v>
          </cell>
          <cell r="G2621" t="str">
            <v>Auto</v>
          </cell>
          <cell r="H2621">
            <v>311</v>
          </cell>
          <cell r="I2621">
            <v>2210</v>
          </cell>
          <cell r="J2621">
            <v>2220</v>
          </cell>
          <cell r="K2621" t="str">
            <v>VC01</v>
          </cell>
        </row>
        <row r="2622">
          <cell r="A2622" t="str">
            <v>1VI1LPFG520RCMVA</v>
          </cell>
          <cell r="B2622" t="str">
            <v>SMT</v>
          </cell>
          <cell r="C2622">
            <v>1</v>
          </cell>
          <cell r="D2622" t="e">
            <v>#N/A</v>
          </cell>
        </row>
        <row r="2623">
          <cell r="A2623" t="str">
            <v>1RE1LPFG520RCMVA</v>
          </cell>
          <cell r="B2623" t="str">
            <v>SMT</v>
          </cell>
          <cell r="C2623">
            <v>1</v>
          </cell>
          <cell r="D2623">
            <v>174</v>
          </cell>
        </row>
        <row r="2624">
          <cell r="A2624" t="str">
            <v>1RE2LPFG520RCMVA</v>
          </cell>
          <cell r="B2624" t="str">
            <v>SMT</v>
          </cell>
          <cell r="C2624">
            <v>1</v>
          </cell>
          <cell r="D2624">
            <v>134</v>
          </cell>
          <cell r="E2624">
            <v>2210</v>
          </cell>
          <cell r="F2624" t="str">
            <v>VC01</v>
          </cell>
          <cell r="G2624" t="str">
            <v>Auto</v>
          </cell>
          <cell r="H2624">
            <v>311</v>
          </cell>
          <cell r="I2624">
            <v>2210</v>
          </cell>
          <cell r="J2624">
            <v>2280</v>
          </cell>
          <cell r="K2624" t="str">
            <v>VC01</v>
          </cell>
        </row>
        <row r="2625">
          <cell r="A2625" t="str">
            <v>1AP1LPFG520RCMVA</v>
          </cell>
          <cell r="B2625" t="str">
            <v>DIP</v>
          </cell>
          <cell r="C2625">
            <v>1</v>
          </cell>
          <cell r="D2625" t="e">
            <v>#N/A</v>
          </cell>
          <cell r="E2625">
            <v>2210</v>
          </cell>
          <cell r="F2625" t="str">
            <v>VC01</v>
          </cell>
          <cell r="G2625" t="str">
            <v>Auto</v>
          </cell>
          <cell r="H2625">
            <v>311</v>
          </cell>
          <cell r="I2625">
            <v>2210</v>
          </cell>
          <cell r="J2625">
            <v>2280</v>
          </cell>
          <cell r="K2625" t="str">
            <v>VC01</v>
          </cell>
        </row>
        <row r="2626">
          <cell r="A2626" t="str">
            <v>1RE1TDA0161XJSX</v>
          </cell>
          <cell r="B2626" t="str">
            <v>SMT</v>
          </cell>
          <cell r="C2626">
            <v>1</v>
          </cell>
          <cell r="D2626">
            <v>196</v>
          </cell>
        </row>
        <row r="2627">
          <cell r="A2627" t="str">
            <v>1RE2TDA0161XJSX</v>
          </cell>
          <cell r="B2627" t="str">
            <v>SMT</v>
          </cell>
          <cell r="C2627">
            <v>1</v>
          </cell>
          <cell r="D2627">
            <v>67</v>
          </cell>
          <cell r="E2627">
            <v>2210</v>
          </cell>
          <cell r="F2627" t="str">
            <v>VC01</v>
          </cell>
          <cell r="G2627" t="str">
            <v>Auto</v>
          </cell>
          <cell r="H2627">
            <v>311</v>
          </cell>
          <cell r="I2627">
            <v>2210</v>
          </cell>
          <cell r="J2627">
            <v>2310</v>
          </cell>
          <cell r="K2627" t="str">
            <v>VC01</v>
          </cell>
        </row>
        <row r="2628">
          <cell r="A2628" t="str">
            <v>1AP1TDA0161XJSX</v>
          </cell>
          <cell r="B2628" t="str">
            <v>DIP</v>
          </cell>
          <cell r="C2628">
            <v>1</v>
          </cell>
          <cell r="D2628" t="e">
            <v>#N/A</v>
          </cell>
          <cell r="E2628">
            <v>2210</v>
          </cell>
          <cell r="F2628" t="str">
            <v>VC01</v>
          </cell>
          <cell r="G2628" t="str">
            <v>Auto</v>
          </cell>
          <cell r="H2628">
            <v>311</v>
          </cell>
          <cell r="I2628">
            <v>2210</v>
          </cell>
          <cell r="J2628">
            <v>2310</v>
          </cell>
          <cell r="K2628" t="str">
            <v>VC01</v>
          </cell>
        </row>
        <row r="2629">
          <cell r="A2629" t="str">
            <v>1RE1TDA0180XSX</v>
          </cell>
          <cell r="B2629" t="str">
            <v>SMT</v>
          </cell>
          <cell r="C2629">
            <v>1</v>
          </cell>
          <cell r="D2629">
            <v>440</v>
          </cell>
        </row>
        <row r="2630">
          <cell r="A2630" t="str">
            <v>1RH1TDA0180XSX</v>
          </cell>
          <cell r="B2630" t="str">
            <v>SMT</v>
          </cell>
          <cell r="C2630">
            <v>1</v>
          </cell>
          <cell r="D2630">
            <v>41</v>
          </cell>
        </row>
        <row r="2631">
          <cell r="A2631" t="str">
            <v>1CM1TDA0180XSX</v>
          </cell>
          <cell r="B2631" t="str">
            <v>SMT</v>
          </cell>
          <cell r="C2631">
            <v>1</v>
          </cell>
          <cell r="D2631">
            <v>275</v>
          </cell>
          <cell r="E2631">
            <v>2210</v>
          </cell>
          <cell r="F2631" t="str">
            <v>VC01</v>
          </cell>
          <cell r="G2631" t="str">
            <v>Auto</v>
          </cell>
          <cell r="H2631">
            <v>311</v>
          </cell>
          <cell r="I2631">
            <v>2210</v>
          </cell>
          <cell r="J2631">
            <v>2310</v>
          </cell>
          <cell r="K2631" t="str">
            <v>VC01</v>
          </cell>
        </row>
        <row r="2632">
          <cell r="A2632" t="str">
            <v>1AP1TDA0180XSX</v>
          </cell>
          <cell r="B2632" t="str">
            <v>DIP</v>
          </cell>
          <cell r="C2632">
            <v>1</v>
          </cell>
          <cell r="D2632" t="e">
            <v>#N/A</v>
          </cell>
          <cell r="E2632">
            <v>2210</v>
          </cell>
          <cell r="F2632" t="str">
            <v>VC01</v>
          </cell>
          <cell r="G2632" t="str">
            <v>Auto</v>
          </cell>
          <cell r="H2632">
            <v>311</v>
          </cell>
          <cell r="I2632">
            <v>2210</v>
          </cell>
          <cell r="J2632">
            <v>2310</v>
          </cell>
          <cell r="K2632" t="str">
            <v>VC01</v>
          </cell>
        </row>
        <row r="2633">
          <cell r="A2633" t="str">
            <v>1VJ1LPPL200REMZAR1</v>
          </cell>
          <cell r="B2633" t="str">
            <v>SMT</v>
          </cell>
          <cell r="C2633">
            <v>1</v>
          </cell>
          <cell r="D2633" t="e">
            <v>#N/A</v>
          </cell>
        </row>
        <row r="2634">
          <cell r="A2634" t="str">
            <v>1RE1LPPL200REMZAR1</v>
          </cell>
          <cell r="B2634" t="str">
            <v>SMT</v>
          </cell>
          <cell r="C2634">
            <v>1</v>
          </cell>
          <cell r="D2634">
            <v>143</v>
          </cell>
        </row>
        <row r="2635">
          <cell r="A2635" t="str">
            <v>1RE2LPPL200REMZAR1</v>
          </cell>
          <cell r="B2635" t="str">
            <v>SMT</v>
          </cell>
          <cell r="C2635">
            <v>1</v>
          </cell>
          <cell r="D2635">
            <v>107</v>
          </cell>
        </row>
        <row r="2636">
          <cell r="A2636" t="str">
            <v>PNLB2645ZA-WK</v>
          </cell>
          <cell r="B2636" t="str">
            <v>SMT</v>
          </cell>
          <cell r="C2636">
            <v>1</v>
          </cell>
          <cell r="D2636" t="e">
            <v>#N/A</v>
          </cell>
        </row>
        <row r="2637">
          <cell r="A2637" t="str">
            <v>1VJ1LPPL200REMZA</v>
          </cell>
          <cell r="B2637" t="str">
            <v>SMT</v>
          </cell>
          <cell r="C2637">
            <v>1</v>
          </cell>
          <cell r="D2637" t="e">
            <v>#N/A</v>
          </cell>
        </row>
        <row r="2638">
          <cell r="A2638" t="str">
            <v>1RE1LPPL200REMZA</v>
          </cell>
          <cell r="B2638" t="str">
            <v>SMT</v>
          </cell>
          <cell r="C2638">
            <v>1</v>
          </cell>
          <cell r="D2638">
            <v>143</v>
          </cell>
        </row>
        <row r="2639">
          <cell r="A2639" t="str">
            <v>1RE2LPPL200REMZA</v>
          </cell>
          <cell r="B2639" t="str">
            <v>SMT</v>
          </cell>
          <cell r="C2639">
            <v>1</v>
          </cell>
          <cell r="D2639">
            <v>107</v>
          </cell>
          <cell r="E2639">
            <v>2210</v>
          </cell>
          <cell r="F2639" t="str">
            <v>VC01</v>
          </cell>
          <cell r="G2639" t="str">
            <v>Auto</v>
          </cell>
          <cell r="H2639">
            <v>311</v>
          </cell>
          <cell r="I2639">
            <v>2210</v>
          </cell>
          <cell r="J2639" t="str">
            <v>22P1</v>
          </cell>
          <cell r="K2639" t="str">
            <v>VC01</v>
          </cell>
        </row>
        <row r="2640">
          <cell r="A2640" t="str">
            <v>1RE1NS5111CN</v>
          </cell>
          <cell r="B2640" t="str">
            <v>SMT</v>
          </cell>
          <cell r="C2640">
            <v>1</v>
          </cell>
          <cell r="D2640">
            <v>113</v>
          </cell>
        </row>
        <row r="2641">
          <cell r="A2641" t="str">
            <v>1RE2NS5111CN</v>
          </cell>
          <cell r="B2641" t="str">
            <v>SMT</v>
          </cell>
          <cell r="C2641">
            <v>1</v>
          </cell>
          <cell r="D2641">
            <v>195</v>
          </cell>
          <cell r="E2641">
            <v>2210</v>
          </cell>
          <cell r="F2641" t="str">
            <v>VC01</v>
          </cell>
          <cell r="G2641" t="str">
            <v>Auto</v>
          </cell>
          <cell r="H2641">
            <v>311</v>
          </cell>
          <cell r="I2641">
            <v>2210</v>
          </cell>
          <cell r="J2641">
            <v>2310</v>
          </cell>
          <cell r="K2641" t="str">
            <v>VC01</v>
          </cell>
        </row>
        <row r="2642">
          <cell r="A2642" t="str">
            <v>1VI1NS0131XSX</v>
          </cell>
          <cell r="B2642" t="str">
            <v>SMT</v>
          </cell>
          <cell r="C2642">
            <v>1</v>
          </cell>
          <cell r="D2642" t="e">
            <v>#N/A</v>
          </cell>
        </row>
        <row r="2643">
          <cell r="A2643" t="str">
            <v>1VI2NS0131XSX</v>
          </cell>
          <cell r="B2643" t="str">
            <v>SMT</v>
          </cell>
          <cell r="C2643">
            <v>1</v>
          </cell>
          <cell r="D2643" t="e">
            <v>#N/A</v>
          </cell>
        </row>
        <row r="2644">
          <cell r="A2644" t="str">
            <v>1RE1NS0131XSX</v>
          </cell>
          <cell r="B2644" t="str">
            <v>SMT</v>
          </cell>
          <cell r="C2644">
            <v>1</v>
          </cell>
          <cell r="D2644">
            <v>685</v>
          </cell>
          <cell r="E2644">
            <v>2210</v>
          </cell>
          <cell r="F2644" t="str">
            <v>VC01</v>
          </cell>
          <cell r="G2644" t="str">
            <v>Auto</v>
          </cell>
          <cell r="H2644">
            <v>311</v>
          </cell>
          <cell r="I2644">
            <v>2210</v>
          </cell>
          <cell r="J2644">
            <v>2310</v>
          </cell>
          <cell r="K2644" t="str">
            <v>VC01</v>
          </cell>
        </row>
        <row r="2645">
          <cell r="A2645" t="str">
            <v>1AP1NS0131XSX</v>
          </cell>
          <cell r="B2645" t="str">
            <v>DIP</v>
          </cell>
          <cell r="C2645">
            <v>1</v>
          </cell>
          <cell r="D2645" t="e">
            <v>#N/A</v>
          </cell>
          <cell r="E2645">
            <v>2210</v>
          </cell>
          <cell r="F2645" t="str">
            <v>VC01</v>
          </cell>
          <cell r="G2645" t="str">
            <v>Auto</v>
          </cell>
          <cell r="H2645">
            <v>311</v>
          </cell>
          <cell r="I2645">
            <v>2210</v>
          </cell>
          <cell r="J2645">
            <v>2310</v>
          </cell>
          <cell r="K2645" t="str">
            <v>VC01</v>
          </cell>
        </row>
        <row r="2646">
          <cell r="A2646" t="str">
            <v>1VJ1LPTCA385BRRZA</v>
          </cell>
          <cell r="B2646" t="str">
            <v>SMT</v>
          </cell>
          <cell r="C2646">
            <v>1</v>
          </cell>
          <cell r="D2646" t="e">
            <v>#N/A</v>
          </cell>
        </row>
        <row r="2647">
          <cell r="A2647" t="str">
            <v>1RE1LPTCA385BRRZA</v>
          </cell>
          <cell r="B2647" t="str">
            <v>SMT</v>
          </cell>
          <cell r="C2647">
            <v>1</v>
          </cell>
          <cell r="D2647">
            <v>21</v>
          </cell>
        </row>
        <row r="2648">
          <cell r="A2648" t="str">
            <v>1RE2LPTCA385BRRZA</v>
          </cell>
          <cell r="B2648" t="str">
            <v>SMT</v>
          </cell>
          <cell r="C2648">
            <v>1</v>
          </cell>
          <cell r="D2648">
            <v>163</v>
          </cell>
          <cell r="E2648">
            <v>2210</v>
          </cell>
          <cell r="F2648" t="str">
            <v>VC01</v>
          </cell>
          <cell r="G2648" t="str">
            <v>Auto</v>
          </cell>
          <cell r="H2648">
            <v>311</v>
          </cell>
          <cell r="I2648">
            <v>2210</v>
          </cell>
          <cell r="J2648">
            <v>2220</v>
          </cell>
          <cell r="K2648" t="str">
            <v>VC01</v>
          </cell>
        </row>
        <row r="2649">
          <cell r="A2649" t="str">
            <v>1RE1TDA0180V4</v>
          </cell>
          <cell r="B2649" t="str">
            <v>SMT</v>
          </cell>
          <cell r="C2649">
            <v>1</v>
          </cell>
          <cell r="D2649">
            <v>438</v>
          </cell>
        </row>
        <row r="2650">
          <cell r="A2650" t="str">
            <v>1RH1TDA0180V4</v>
          </cell>
          <cell r="B2650" t="str">
            <v>SMT</v>
          </cell>
          <cell r="C2650">
            <v>1</v>
          </cell>
          <cell r="D2650">
            <v>49</v>
          </cell>
        </row>
        <row r="2651">
          <cell r="A2651" t="str">
            <v>1CM1TDA0180V4</v>
          </cell>
          <cell r="B2651" t="str">
            <v>SMT</v>
          </cell>
          <cell r="C2651">
            <v>1</v>
          </cell>
          <cell r="D2651">
            <v>276</v>
          </cell>
          <cell r="E2651">
            <v>2210</v>
          </cell>
          <cell r="F2651" t="str">
            <v>VC01</v>
          </cell>
          <cell r="G2651" t="str">
            <v>Auto</v>
          </cell>
          <cell r="H2651">
            <v>311</v>
          </cell>
          <cell r="I2651">
            <v>2210</v>
          </cell>
          <cell r="J2651">
            <v>2310</v>
          </cell>
          <cell r="K2651" t="str">
            <v>VC01</v>
          </cell>
        </row>
        <row r="2652">
          <cell r="A2652" t="str">
            <v>1AP1TDA0180V4</v>
          </cell>
          <cell r="B2652" t="str">
            <v>DIP</v>
          </cell>
          <cell r="C2652">
            <v>1</v>
          </cell>
          <cell r="D2652" t="e">
            <v>#N/A</v>
          </cell>
          <cell r="E2652">
            <v>2210</v>
          </cell>
          <cell r="F2652" t="str">
            <v>VC01</v>
          </cell>
          <cell r="G2652" t="str">
            <v>Auto</v>
          </cell>
          <cell r="H2652">
            <v>311</v>
          </cell>
          <cell r="I2652">
            <v>2210</v>
          </cell>
          <cell r="J2652">
            <v>2310</v>
          </cell>
          <cell r="K2652" t="str">
            <v>VC01</v>
          </cell>
        </row>
        <row r="2653">
          <cell r="A2653" t="str">
            <v>1RE1TDA0180XEU</v>
          </cell>
          <cell r="B2653" t="str">
            <v>SMT</v>
          </cell>
          <cell r="C2653">
            <v>1</v>
          </cell>
          <cell r="D2653">
            <v>440</v>
          </cell>
        </row>
        <row r="2654">
          <cell r="A2654" t="str">
            <v>1RH1TDA0180XEU</v>
          </cell>
          <cell r="B2654" t="str">
            <v>SMT</v>
          </cell>
          <cell r="C2654">
            <v>1</v>
          </cell>
          <cell r="D2654">
            <v>41</v>
          </cell>
        </row>
        <row r="2655">
          <cell r="A2655" t="str">
            <v>1CM1TDA0180XEU</v>
          </cell>
          <cell r="B2655" t="str">
            <v>SMT</v>
          </cell>
          <cell r="C2655">
            <v>1</v>
          </cell>
          <cell r="D2655">
            <v>275</v>
          </cell>
          <cell r="E2655">
            <v>2210</v>
          </cell>
          <cell r="F2655" t="str">
            <v>VC01</v>
          </cell>
          <cell r="G2655" t="str">
            <v>Auto</v>
          </cell>
          <cell r="H2655">
            <v>311</v>
          </cell>
          <cell r="I2655">
            <v>2210</v>
          </cell>
          <cell r="J2655">
            <v>2310</v>
          </cell>
          <cell r="K2655" t="str">
            <v>VC01</v>
          </cell>
        </row>
        <row r="2656">
          <cell r="A2656" t="str">
            <v>1AP1TDA0180XEU</v>
          </cell>
          <cell r="B2656" t="str">
            <v>DIP</v>
          </cell>
          <cell r="C2656">
            <v>1</v>
          </cell>
          <cell r="D2656" t="e">
            <v>#N/A</v>
          </cell>
          <cell r="E2656">
            <v>2210</v>
          </cell>
          <cell r="F2656" t="str">
            <v>VC01</v>
          </cell>
          <cell r="G2656" t="str">
            <v>Auto</v>
          </cell>
          <cell r="H2656">
            <v>311</v>
          </cell>
          <cell r="I2656">
            <v>2210</v>
          </cell>
          <cell r="J2656">
            <v>2310</v>
          </cell>
          <cell r="K2656" t="str">
            <v>VC01</v>
          </cell>
        </row>
        <row r="2657">
          <cell r="A2657" t="str">
            <v>1RE1TDA1186XSX</v>
          </cell>
          <cell r="B2657" t="str">
            <v>SMT</v>
          </cell>
          <cell r="C2657">
            <v>1</v>
          </cell>
          <cell r="D2657">
            <v>461</v>
          </cell>
        </row>
        <row r="2658">
          <cell r="A2658" t="str">
            <v>1RE2TDA1186XSX</v>
          </cell>
          <cell r="B2658" t="str">
            <v>SMT</v>
          </cell>
          <cell r="C2658">
            <v>1</v>
          </cell>
          <cell r="D2658">
            <v>235</v>
          </cell>
          <cell r="E2658">
            <v>2210</v>
          </cell>
          <cell r="F2658" t="str">
            <v>VC01</v>
          </cell>
          <cell r="G2658" t="str">
            <v>Auto</v>
          </cell>
          <cell r="H2658">
            <v>311</v>
          </cell>
          <cell r="I2658">
            <v>2210</v>
          </cell>
          <cell r="J2658">
            <v>2310</v>
          </cell>
          <cell r="K2658" t="str">
            <v>VC01</v>
          </cell>
        </row>
        <row r="2659">
          <cell r="A2659" t="str">
            <v>1AP1TDA1186XSX</v>
          </cell>
          <cell r="B2659" t="str">
            <v>DIP</v>
          </cell>
          <cell r="C2659">
            <v>1</v>
          </cell>
          <cell r="D2659" t="e">
            <v>#N/A</v>
          </cell>
          <cell r="E2659">
            <v>2210</v>
          </cell>
          <cell r="F2659" t="str">
            <v>VC01</v>
          </cell>
          <cell r="G2659" t="str">
            <v>Auto</v>
          </cell>
          <cell r="H2659">
            <v>311</v>
          </cell>
          <cell r="I2659">
            <v>2210</v>
          </cell>
          <cell r="J2659">
            <v>2310</v>
          </cell>
          <cell r="K2659" t="str">
            <v>VC01</v>
          </cell>
        </row>
        <row r="2660">
          <cell r="A2660" t="str">
            <v>1VJ1TDA0170XJSX</v>
          </cell>
          <cell r="B2660" t="str">
            <v>SMT</v>
          </cell>
          <cell r="C2660">
            <v>1</v>
          </cell>
          <cell r="D2660" t="e">
            <v>#N/A</v>
          </cell>
        </row>
        <row r="2661">
          <cell r="A2661" t="str">
            <v>1RE1TDA0170XJSX</v>
          </cell>
          <cell r="B2661" t="str">
            <v>SMT</v>
          </cell>
          <cell r="C2661">
            <v>1</v>
          </cell>
          <cell r="D2661">
            <v>779</v>
          </cell>
        </row>
        <row r="2662">
          <cell r="A2662" t="str">
            <v>1RE2TDA0170XJSX</v>
          </cell>
          <cell r="B2662" t="str">
            <v>SMT</v>
          </cell>
          <cell r="C2662">
            <v>1</v>
          </cell>
          <cell r="D2662">
            <v>501</v>
          </cell>
        </row>
        <row r="2663">
          <cell r="A2663" t="str">
            <v>1RH1TDA0170XJSX</v>
          </cell>
          <cell r="B2663" t="str">
            <v>SMT</v>
          </cell>
          <cell r="C2663">
            <v>1</v>
          </cell>
          <cell r="D2663">
            <v>102</v>
          </cell>
          <cell r="E2663">
            <v>2210</v>
          </cell>
          <cell r="F2663" t="str">
            <v>VC01</v>
          </cell>
          <cell r="G2663" t="str">
            <v>Auto</v>
          </cell>
          <cell r="H2663">
            <v>311</v>
          </cell>
          <cell r="I2663">
            <v>2210</v>
          </cell>
          <cell r="J2663">
            <v>2310</v>
          </cell>
          <cell r="K2663" t="str">
            <v>VC01</v>
          </cell>
        </row>
        <row r="2664">
          <cell r="A2664" t="str">
            <v>1AP1TDA0170XJSX</v>
          </cell>
          <cell r="B2664" t="str">
            <v>DIP</v>
          </cell>
          <cell r="C2664">
            <v>1</v>
          </cell>
          <cell r="D2664" t="e">
            <v>#N/A</v>
          </cell>
          <cell r="E2664">
            <v>2210</v>
          </cell>
          <cell r="F2664" t="str">
            <v>VC01</v>
          </cell>
          <cell r="G2664" t="str">
            <v>Auto</v>
          </cell>
          <cell r="H2664">
            <v>311</v>
          </cell>
          <cell r="I2664">
            <v>2210</v>
          </cell>
          <cell r="J2664">
            <v>2310</v>
          </cell>
          <cell r="K2664" t="str">
            <v>VC01</v>
          </cell>
        </row>
        <row r="2665">
          <cell r="A2665" t="str">
            <v>1VJ1LP2589ZA</v>
          </cell>
          <cell r="B2665" t="str">
            <v>SMT</v>
          </cell>
          <cell r="C2665">
            <v>1</v>
          </cell>
          <cell r="D2665" t="e">
            <v>#N/A</v>
          </cell>
        </row>
        <row r="2666">
          <cell r="A2666" t="str">
            <v>1RE1LP2589ZA</v>
          </cell>
          <cell r="B2666" t="str">
            <v>SMT</v>
          </cell>
          <cell r="C2666">
            <v>1</v>
          </cell>
          <cell r="D2666">
            <v>552</v>
          </cell>
        </row>
        <row r="2667">
          <cell r="A2667" t="str">
            <v>1RE2LP2589ZA</v>
          </cell>
          <cell r="B2667" t="str">
            <v>SMT</v>
          </cell>
          <cell r="C2667">
            <v>1</v>
          </cell>
          <cell r="D2667">
            <v>638</v>
          </cell>
        </row>
        <row r="2668">
          <cell r="A2668" t="str">
            <v>1RH1LP2589ZA</v>
          </cell>
          <cell r="B2668" t="str">
            <v>SMT</v>
          </cell>
          <cell r="C2668">
            <v>1</v>
          </cell>
          <cell r="D2668">
            <v>15</v>
          </cell>
          <cell r="E2668">
            <v>2210</v>
          </cell>
          <cell r="F2668" t="str">
            <v>VC01</v>
          </cell>
          <cell r="G2668" t="str">
            <v>Auto</v>
          </cell>
          <cell r="H2668">
            <v>311</v>
          </cell>
          <cell r="I2668">
            <v>2210</v>
          </cell>
          <cell r="J2668">
            <v>2220</v>
          </cell>
          <cell r="K2668" t="str">
            <v>VC01</v>
          </cell>
        </row>
        <row r="2669">
          <cell r="A2669" t="str">
            <v>1AP1LP2589ZA</v>
          </cell>
          <cell r="B2669" t="str">
            <v>DIP</v>
          </cell>
          <cell r="C2669">
            <v>1</v>
          </cell>
          <cell r="D2669" t="e">
            <v>#N/A</v>
          </cell>
          <cell r="E2669">
            <v>2210</v>
          </cell>
          <cell r="F2669" t="str">
            <v>VC01</v>
          </cell>
          <cell r="G2669" t="str">
            <v>Auto</v>
          </cell>
          <cell r="H2669">
            <v>311</v>
          </cell>
          <cell r="I2669">
            <v>2210</v>
          </cell>
          <cell r="J2669">
            <v>2220</v>
          </cell>
          <cell r="K2669" t="str">
            <v>VC01</v>
          </cell>
        </row>
        <row r="2670">
          <cell r="A2670" t="str">
            <v>1RE1NS5180AG</v>
          </cell>
          <cell r="B2670" t="str">
            <v>SMT</v>
          </cell>
          <cell r="C2670">
            <v>1</v>
          </cell>
          <cell r="D2670">
            <v>166</v>
          </cell>
        </row>
        <row r="2671">
          <cell r="A2671" t="str">
            <v>1RE2NS5180AG</v>
          </cell>
          <cell r="B2671" t="str">
            <v>SMT</v>
          </cell>
          <cell r="C2671">
            <v>1</v>
          </cell>
          <cell r="D2671">
            <v>410</v>
          </cell>
        </row>
        <row r="2672">
          <cell r="A2672" t="str">
            <v>1RH1NS5180AG</v>
          </cell>
          <cell r="B2672" t="str">
            <v>SMT</v>
          </cell>
          <cell r="C2672">
            <v>1</v>
          </cell>
          <cell r="D2672">
            <v>1</v>
          </cell>
          <cell r="E2672">
            <v>2210</v>
          </cell>
          <cell r="F2672" t="str">
            <v>VC01</v>
          </cell>
          <cell r="G2672" t="str">
            <v>Auto</v>
          </cell>
          <cell r="H2672">
            <v>311</v>
          </cell>
          <cell r="I2672">
            <v>2210</v>
          </cell>
          <cell r="J2672">
            <v>2310</v>
          </cell>
          <cell r="K2672" t="str">
            <v>VC01</v>
          </cell>
        </row>
        <row r="2673">
          <cell r="A2673" t="str">
            <v>1AP1NS5180AG</v>
          </cell>
          <cell r="B2673" t="str">
            <v>DIP</v>
          </cell>
          <cell r="C2673">
            <v>1</v>
          </cell>
          <cell r="D2673" t="e">
            <v>#N/A</v>
          </cell>
          <cell r="E2673">
            <v>2210</v>
          </cell>
          <cell r="F2673" t="str">
            <v>VC01</v>
          </cell>
          <cell r="G2673" t="str">
            <v>Auto</v>
          </cell>
          <cell r="H2673">
            <v>311</v>
          </cell>
          <cell r="I2673">
            <v>2210</v>
          </cell>
          <cell r="J2673">
            <v>2310</v>
          </cell>
          <cell r="K2673" t="str">
            <v>VC01</v>
          </cell>
        </row>
        <row r="2674">
          <cell r="A2674" t="str">
            <v>1RE1TDA1180AG</v>
          </cell>
          <cell r="B2674" t="str">
            <v>SMT</v>
          </cell>
          <cell r="C2674">
            <v>1</v>
          </cell>
          <cell r="D2674">
            <v>290</v>
          </cell>
        </row>
        <row r="2675">
          <cell r="A2675" t="str">
            <v>1RE2TDA1180AG</v>
          </cell>
          <cell r="B2675" t="str">
            <v>SMT</v>
          </cell>
          <cell r="C2675">
            <v>1</v>
          </cell>
          <cell r="D2675">
            <v>530</v>
          </cell>
        </row>
        <row r="2676">
          <cell r="A2676" t="str">
            <v>1RH1TDA1180AG</v>
          </cell>
          <cell r="B2676" t="str">
            <v>SMT</v>
          </cell>
          <cell r="C2676">
            <v>1</v>
          </cell>
          <cell r="D2676">
            <v>26</v>
          </cell>
          <cell r="E2676">
            <v>2210</v>
          </cell>
          <cell r="F2676" t="str">
            <v>VC01</v>
          </cell>
          <cell r="G2676" t="str">
            <v>Auto</v>
          </cell>
          <cell r="H2676">
            <v>311</v>
          </cell>
          <cell r="I2676">
            <v>2210</v>
          </cell>
          <cell r="J2676">
            <v>2310</v>
          </cell>
          <cell r="K2676" t="str">
            <v>VC01</v>
          </cell>
        </row>
        <row r="2677">
          <cell r="A2677" t="str">
            <v>1AP1TDA1180AG</v>
          </cell>
          <cell r="B2677" t="str">
            <v>DIP</v>
          </cell>
          <cell r="C2677">
            <v>1</v>
          </cell>
          <cell r="D2677" t="e">
            <v>#N/A</v>
          </cell>
          <cell r="E2677">
            <v>2210</v>
          </cell>
          <cell r="F2677" t="str">
            <v>VC01</v>
          </cell>
          <cell r="G2677" t="str">
            <v>Auto</v>
          </cell>
          <cell r="H2677">
            <v>311</v>
          </cell>
          <cell r="I2677">
            <v>2210</v>
          </cell>
          <cell r="J2677">
            <v>2310</v>
          </cell>
          <cell r="K2677" t="str">
            <v>VC01</v>
          </cell>
        </row>
        <row r="2678">
          <cell r="A2678" t="str">
            <v>1RE1TDA1180BR</v>
          </cell>
          <cell r="B2678" t="str">
            <v>SMT</v>
          </cell>
          <cell r="C2678">
            <v>1</v>
          </cell>
          <cell r="D2678">
            <v>290</v>
          </cell>
        </row>
        <row r="2679">
          <cell r="A2679" t="str">
            <v>1RE2TDA1180BR</v>
          </cell>
          <cell r="B2679" t="str">
            <v>SMT</v>
          </cell>
          <cell r="C2679">
            <v>1</v>
          </cell>
          <cell r="D2679">
            <v>514</v>
          </cell>
        </row>
        <row r="2680">
          <cell r="A2680" t="str">
            <v>1RH1TDA1180BR</v>
          </cell>
          <cell r="B2680" t="str">
            <v>SMT</v>
          </cell>
          <cell r="C2680">
            <v>1</v>
          </cell>
          <cell r="D2680">
            <v>42</v>
          </cell>
          <cell r="E2680">
            <v>2210</v>
          </cell>
          <cell r="F2680" t="str">
            <v>VC01</v>
          </cell>
          <cell r="G2680" t="str">
            <v>Auto</v>
          </cell>
          <cell r="H2680">
            <v>311</v>
          </cell>
          <cell r="I2680">
            <v>2210</v>
          </cell>
          <cell r="J2680">
            <v>2310</v>
          </cell>
          <cell r="K2680" t="str">
            <v>VC01</v>
          </cell>
        </row>
        <row r="2681">
          <cell r="A2681" t="str">
            <v>1AP1TDA1180BR</v>
          </cell>
          <cell r="B2681" t="str">
            <v>DIP</v>
          </cell>
          <cell r="C2681">
            <v>1</v>
          </cell>
          <cell r="D2681" t="e">
            <v>#N/A</v>
          </cell>
          <cell r="E2681">
            <v>2210</v>
          </cell>
          <cell r="F2681" t="str">
            <v>VC01</v>
          </cell>
          <cell r="G2681" t="str">
            <v>Auto</v>
          </cell>
          <cell r="H2681">
            <v>311</v>
          </cell>
          <cell r="I2681">
            <v>2210</v>
          </cell>
          <cell r="J2681">
            <v>2310</v>
          </cell>
          <cell r="K2681" t="str">
            <v>VC01</v>
          </cell>
        </row>
        <row r="2682">
          <cell r="A2682" t="str">
            <v>1RE1TDA1180CN</v>
          </cell>
          <cell r="B2682" t="str">
            <v>SMT</v>
          </cell>
          <cell r="C2682">
            <v>1</v>
          </cell>
          <cell r="D2682">
            <v>290</v>
          </cell>
        </row>
        <row r="2683">
          <cell r="A2683" t="str">
            <v>1RE2TDA1180CN</v>
          </cell>
          <cell r="B2683" t="str">
            <v>SMT</v>
          </cell>
          <cell r="C2683">
            <v>1</v>
          </cell>
          <cell r="D2683">
            <v>530</v>
          </cell>
        </row>
        <row r="2684">
          <cell r="A2684" t="str">
            <v>1RH1TDA1180CN</v>
          </cell>
          <cell r="B2684" t="str">
            <v>SMT</v>
          </cell>
          <cell r="C2684">
            <v>1</v>
          </cell>
          <cell r="D2684">
            <v>26</v>
          </cell>
          <cell r="E2684">
            <v>2210</v>
          </cell>
          <cell r="F2684" t="str">
            <v>VC01</v>
          </cell>
          <cell r="G2684" t="str">
            <v>Auto</v>
          </cell>
          <cell r="H2684">
            <v>311</v>
          </cell>
          <cell r="I2684">
            <v>2210</v>
          </cell>
          <cell r="J2684">
            <v>2310</v>
          </cell>
          <cell r="K2684" t="str">
            <v>VC01</v>
          </cell>
        </row>
        <row r="2685">
          <cell r="A2685" t="str">
            <v>1AP1TDA1180CN</v>
          </cell>
          <cell r="B2685" t="str">
            <v>DIP</v>
          </cell>
          <cell r="C2685">
            <v>1</v>
          </cell>
          <cell r="D2685" t="e">
            <v>#N/A</v>
          </cell>
          <cell r="E2685">
            <v>2210</v>
          </cell>
          <cell r="F2685" t="str">
            <v>VC01</v>
          </cell>
          <cell r="G2685" t="str">
            <v>Auto</v>
          </cell>
          <cell r="H2685">
            <v>311</v>
          </cell>
          <cell r="I2685">
            <v>2210</v>
          </cell>
          <cell r="J2685">
            <v>2310</v>
          </cell>
          <cell r="K2685" t="str">
            <v>VC01</v>
          </cell>
        </row>
        <row r="2686">
          <cell r="A2686" t="str">
            <v>1RE1TDA1186AG</v>
          </cell>
          <cell r="B2686" t="str">
            <v>SMT</v>
          </cell>
          <cell r="C2686">
            <v>1</v>
          </cell>
          <cell r="D2686">
            <v>461</v>
          </cell>
        </row>
        <row r="2687">
          <cell r="A2687" t="str">
            <v>1RE2TDA1186AG</v>
          </cell>
          <cell r="B2687" t="str">
            <v>SMT</v>
          </cell>
          <cell r="C2687">
            <v>1</v>
          </cell>
          <cell r="D2687">
            <v>235</v>
          </cell>
          <cell r="E2687">
            <v>2210</v>
          </cell>
          <cell r="F2687" t="str">
            <v>VC01</v>
          </cell>
          <cell r="G2687" t="str">
            <v>Auto</v>
          </cell>
          <cell r="H2687">
            <v>311</v>
          </cell>
          <cell r="I2687">
            <v>2210</v>
          </cell>
          <cell r="J2687">
            <v>2310</v>
          </cell>
          <cell r="K2687" t="str">
            <v>VC01</v>
          </cell>
        </row>
        <row r="2688">
          <cell r="A2688" t="str">
            <v>1AP1TDA1186AG</v>
          </cell>
          <cell r="B2688" t="str">
            <v>DIP</v>
          </cell>
          <cell r="C2688">
            <v>1</v>
          </cell>
          <cell r="D2688" t="e">
            <v>#N/A</v>
          </cell>
          <cell r="E2688">
            <v>2210</v>
          </cell>
          <cell r="F2688" t="str">
            <v>VC01</v>
          </cell>
          <cell r="G2688" t="str">
            <v>Auto</v>
          </cell>
          <cell r="H2688">
            <v>311</v>
          </cell>
          <cell r="I2688">
            <v>2210</v>
          </cell>
          <cell r="J2688">
            <v>2310</v>
          </cell>
          <cell r="K2688" t="str">
            <v>VC01</v>
          </cell>
        </row>
        <row r="2689">
          <cell r="A2689" t="str">
            <v>1RE1TDA1186BR</v>
          </cell>
          <cell r="B2689" t="str">
            <v>SMT</v>
          </cell>
          <cell r="C2689">
            <v>1</v>
          </cell>
          <cell r="D2689">
            <v>461</v>
          </cell>
        </row>
        <row r="2690">
          <cell r="A2690" t="str">
            <v>1RE2TDA1186BR</v>
          </cell>
          <cell r="B2690" t="str">
            <v>SMT</v>
          </cell>
          <cell r="C2690">
            <v>1</v>
          </cell>
          <cell r="D2690">
            <v>235</v>
          </cell>
          <cell r="E2690">
            <v>2210</v>
          </cell>
          <cell r="F2690" t="str">
            <v>VC01</v>
          </cell>
          <cell r="G2690" t="str">
            <v>Auto</v>
          </cell>
          <cell r="H2690">
            <v>311</v>
          </cell>
          <cell r="I2690">
            <v>2210</v>
          </cell>
          <cell r="J2690">
            <v>2310</v>
          </cell>
          <cell r="K2690" t="str">
            <v>VC01</v>
          </cell>
        </row>
        <row r="2691">
          <cell r="A2691" t="str">
            <v>1AP1TDA1186BR</v>
          </cell>
          <cell r="B2691" t="str">
            <v>DIP</v>
          </cell>
          <cell r="C2691">
            <v>1</v>
          </cell>
          <cell r="D2691" t="e">
            <v>#N/A</v>
          </cell>
          <cell r="E2691">
            <v>2210</v>
          </cell>
          <cell r="F2691" t="str">
            <v>VC01</v>
          </cell>
          <cell r="G2691" t="str">
            <v>Auto</v>
          </cell>
          <cell r="H2691">
            <v>311</v>
          </cell>
          <cell r="I2691">
            <v>2210</v>
          </cell>
          <cell r="J2691">
            <v>2310</v>
          </cell>
          <cell r="K2691" t="str">
            <v>VC01</v>
          </cell>
        </row>
        <row r="2692">
          <cell r="A2692" t="str">
            <v>1RE1TDA1186CN</v>
          </cell>
          <cell r="B2692" t="str">
            <v>SMT</v>
          </cell>
          <cell r="C2692">
            <v>1</v>
          </cell>
          <cell r="D2692">
            <v>461</v>
          </cell>
        </row>
        <row r="2693">
          <cell r="A2693" t="str">
            <v>1RE2TDA1186CN</v>
          </cell>
          <cell r="B2693" t="str">
            <v>SMT</v>
          </cell>
          <cell r="C2693">
            <v>1</v>
          </cell>
          <cell r="D2693">
            <v>235</v>
          </cell>
          <cell r="E2693">
            <v>2210</v>
          </cell>
          <cell r="F2693" t="str">
            <v>VC01</v>
          </cell>
          <cell r="G2693" t="str">
            <v>Auto</v>
          </cell>
          <cell r="H2693">
            <v>311</v>
          </cell>
          <cell r="I2693">
            <v>2210</v>
          </cell>
          <cell r="J2693">
            <v>2310</v>
          </cell>
          <cell r="K2693" t="str">
            <v>VC01</v>
          </cell>
        </row>
        <row r="2694">
          <cell r="A2694" t="str">
            <v>1AP1TDA1186CN</v>
          </cell>
          <cell r="B2694" t="str">
            <v>DIP</v>
          </cell>
          <cell r="C2694">
            <v>1</v>
          </cell>
          <cell r="D2694" t="e">
            <v>#N/A</v>
          </cell>
          <cell r="E2694">
            <v>2210</v>
          </cell>
          <cell r="F2694" t="str">
            <v>VC01</v>
          </cell>
          <cell r="G2694" t="str">
            <v>Auto</v>
          </cell>
          <cell r="H2694">
            <v>311</v>
          </cell>
          <cell r="I2694">
            <v>2210</v>
          </cell>
          <cell r="J2694">
            <v>2310</v>
          </cell>
          <cell r="K2694" t="str">
            <v>VC01</v>
          </cell>
        </row>
        <row r="2695">
          <cell r="A2695" t="str">
            <v>1VJ1TDA6175XV4</v>
          </cell>
          <cell r="B2695" t="str">
            <v>SMT</v>
          </cell>
          <cell r="C2695">
            <v>1</v>
          </cell>
          <cell r="D2695" t="e">
            <v>#N/A</v>
          </cell>
        </row>
        <row r="2696">
          <cell r="A2696" t="str">
            <v>1CM1TDA6175XV4</v>
          </cell>
          <cell r="B2696" t="str">
            <v>SMT</v>
          </cell>
          <cell r="C2696">
            <v>1</v>
          </cell>
          <cell r="D2696">
            <v>252</v>
          </cell>
        </row>
        <row r="2697">
          <cell r="A2697" t="str">
            <v>1RE2TDA6175XV4</v>
          </cell>
          <cell r="B2697" t="str">
            <v>SMT</v>
          </cell>
          <cell r="C2697">
            <v>1</v>
          </cell>
          <cell r="D2697">
            <v>502</v>
          </cell>
        </row>
        <row r="2698">
          <cell r="A2698" t="str">
            <v>1RH1TDA6175XV4</v>
          </cell>
          <cell r="B2698" t="str">
            <v>SMT</v>
          </cell>
          <cell r="C2698">
            <v>1</v>
          </cell>
          <cell r="D2698">
            <v>117</v>
          </cell>
          <cell r="E2698">
            <v>2210</v>
          </cell>
          <cell r="F2698" t="str">
            <v>VC01</v>
          </cell>
          <cell r="G2698" t="str">
            <v>Auto</v>
          </cell>
          <cell r="H2698">
            <v>311</v>
          </cell>
          <cell r="I2698">
            <v>2210</v>
          </cell>
          <cell r="J2698">
            <v>2310</v>
          </cell>
          <cell r="K2698" t="str">
            <v>VC01</v>
          </cell>
        </row>
        <row r="2699">
          <cell r="A2699" t="str">
            <v>1AP1TDA6175XV4</v>
          </cell>
          <cell r="B2699" t="str">
            <v>DIP</v>
          </cell>
          <cell r="C2699">
            <v>1</v>
          </cell>
          <cell r="D2699" t="e">
            <v>#N/A</v>
          </cell>
          <cell r="E2699">
            <v>2210</v>
          </cell>
          <cell r="F2699" t="str">
            <v>VC01</v>
          </cell>
          <cell r="G2699" t="str">
            <v>Auto</v>
          </cell>
          <cell r="H2699">
            <v>311</v>
          </cell>
          <cell r="I2699">
            <v>2210</v>
          </cell>
          <cell r="J2699">
            <v>2310</v>
          </cell>
          <cell r="K2699" t="str">
            <v>VC01</v>
          </cell>
        </row>
        <row r="2700">
          <cell r="A2700" t="str">
            <v>1VJ1LP2588ZA</v>
          </cell>
          <cell r="B2700" t="str">
            <v>SMT</v>
          </cell>
          <cell r="C2700">
            <v>1</v>
          </cell>
          <cell r="D2700" t="e">
            <v>#N/A</v>
          </cell>
        </row>
        <row r="2701">
          <cell r="A2701" t="str">
            <v>1RE1LP2588ZA</v>
          </cell>
          <cell r="B2701" t="str">
            <v>SMT</v>
          </cell>
          <cell r="C2701">
            <v>1</v>
          </cell>
          <cell r="D2701" t="e">
            <v>#N/A</v>
          </cell>
        </row>
        <row r="2702">
          <cell r="A2702" t="str">
            <v>1RE2LP2588ZA</v>
          </cell>
          <cell r="B2702" t="str">
            <v>SMT</v>
          </cell>
          <cell r="C2702">
            <v>1</v>
          </cell>
          <cell r="D2702" t="e">
            <v>#N/A</v>
          </cell>
        </row>
        <row r="2703">
          <cell r="A2703" t="str">
            <v>1RH1LP2588ZA</v>
          </cell>
          <cell r="B2703" t="str">
            <v>SMT</v>
          </cell>
          <cell r="C2703">
            <v>1</v>
          </cell>
          <cell r="D2703" t="e">
            <v>#N/A</v>
          </cell>
          <cell r="E2703">
            <v>2210</v>
          </cell>
          <cell r="F2703" t="str">
            <v>VC01</v>
          </cell>
          <cell r="G2703" t="str">
            <v>Auto</v>
          </cell>
          <cell r="H2703">
            <v>311</v>
          </cell>
          <cell r="I2703">
            <v>2210</v>
          </cell>
          <cell r="J2703">
            <v>2310</v>
          </cell>
          <cell r="K2703" t="str">
            <v>VC01</v>
          </cell>
        </row>
        <row r="2704">
          <cell r="A2704" t="str">
            <v>1AP1LP2588ZA</v>
          </cell>
          <cell r="B2704" t="str">
            <v>DIP</v>
          </cell>
          <cell r="C2704">
            <v>1</v>
          </cell>
          <cell r="D2704" t="e">
            <v>#N/A</v>
          </cell>
          <cell r="E2704">
            <v>2210</v>
          </cell>
          <cell r="F2704" t="str">
            <v>VC01</v>
          </cell>
          <cell r="G2704" t="str">
            <v>Auto</v>
          </cell>
          <cell r="H2704">
            <v>311</v>
          </cell>
          <cell r="I2704">
            <v>2210</v>
          </cell>
          <cell r="J2704">
            <v>2310</v>
          </cell>
          <cell r="K2704" t="str">
            <v>VC01</v>
          </cell>
        </row>
        <row r="2705">
          <cell r="A2705" t="str">
            <v>1VI1LPS8147ZVMZA</v>
          </cell>
          <cell r="B2705" t="str">
            <v>SMT</v>
          </cell>
          <cell r="C2705">
            <v>1</v>
          </cell>
          <cell r="D2705" t="e">
            <v>#N/A</v>
          </cell>
        </row>
        <row r="2706">
          <cell r="A2706" t="str">
            <v>1RE1LPS8127ZVMZA</v>
          </cell>
          <cell r="B2706" t="str">
            <v>SMT</v>
          </cell>
          <cell r="C2706">
            <v>1</v>
          </cell>
          <cell r="D2706">
            <v>950</v>
          </cell>
        </row>
        <row r="2707">
          <cell r="A2707" t="str">
            <v>1RE2LPS8127ZVMZA</v>
          </cell>
          <cell r="B2707" t="str">
            <v>SMT</v>
          </cell>
          <cell r="C2707">
            <v>1</v>
          </cell>
          <cell r="D2707">
            <v>1023</v>
          </cell>
          <cell r="E2707">
            <v>2210</v>
          </cell>
          <cell r="F2707" t="str">
            <v>VC01</v>
          </cell>
          <cell r="G2707" t="str">
            <v>Auto</v>
          </cell>
          <cell r="H2707">
            <v>311</v>
          </cell>
          <cell r="I2707">
            <v>2210</v>
          </cell>
          <cell r="J2707" t="e">
            <v>#N/A</v>
          </cell>
          <cell r="K2707" t="str">
            <v>VC01</v>
          </cell>
        </row>
        <row r="2708">
          <cell r="A2708" t="str">
            <v>1AP1LPS8127ZVMZA</v>
          </cell>
          <cell r="B2708" t="str">
            <v>DIP</v>
          </cell>
          <cell r="C2708">
            <v>1</v>
          </cell>
          <cell r="D2708" t="e">
            <v>#N/A</v>
          </cell>
          <cell r="E2708">
            <v>2210</v>
          </cell>
        </row>
        <row r="2709">
          <cell r="A2709" t="str">
            <v>1RE1LPS8147ZVMZA</v>
          </cell>
          <cell r="B2709" t="str">
            <v>SMT</v>
          </cell>
          <cell r="C2709">
            <v>1</v>
          </cell>
          <cell r="D2709">
            <v>958</v>
          </cell>
        </row>
        <row r="2710">
          <cell r="A2710" t="str">
            <v>1RE2LPS8147ZVMZA</v>
          </cell>
          <cell r="B2710" t="str">
            <v>SMT</v>
          </cell>
          <cell r="C2710">
            <v>1</v>
          </cell>
          <cell r="D2710">
            <v>1043</v>
          </cell>
          <cell r="E2710">
            <v>2210</v>
          </cell>
          <cell r="F2710" t="str">
            <v>VC01</v>
          </cell>
          <cell r="G2710" t="str">
            <v>Auto</v>
          </cell>
          <cell r="H2710">
            <v>311</v>
          </cell>
          <cell r="I2710">
            <v>2210</v>
          </cell>
          <cell r="J2710">
            <v>2250</v>
          </cell>
          <cell r="K2710" t="str">
            <v>VC01</v>
          </cell>
        </row>
        <row r="2711">
          <cell r="A2711" t="str">
            <v>1AP1LPS8147ZVMZA</v>
          </cell>
          <cell r="B2711" t="str">
            <v>DIP</v>
          </cell>
          <cell r="C2711">
            <v>1</v>
          </cell>
          <cell r="D2711" t="e">
            <v>#N/A</v>
          </cell>
          <cell r="E2711">
            <v>2210</v>
          </cell>
          <cell r="F2711" t="str">
            <v>VC01</v>
          </cell>
          <cell r="G2711" t="str">
            <v>Auto</v>
          </cell>
          <cell r="H2711">
            <v>311</v>
          </cell>
          <cell r="I2711">
            <v>2210</v>
          </cell>
          <cell r="J2711">
            <v>2250</v>
          </cell>
          <cell r="K2711" t="str">
            <v>VC01</v>
          </cell>
        </row>
        <row r="2712">
          <cell r="A2712" t="str">
            <v>1RE1TDA0164XEU</v>
          </cell>
          <cell r="B2712" t="str">
            <v>SMT</v>
          </cell>
          <cell r="C2712">
            <v>1</v>
          </cell>
          <cell r="D2712">
            <v>74</v>
          </cell>
          <cell r="E2712">
            <v>2210</v>
          </cell>
          <cell r="F2712" t="str">
            <v>VC01</v>
          </cell>
          <cell r="G2712" t="str">
            <v>Auto</v>
          </cell>
          <cell r="H2712">
            <v>311</v>
          </cell>
          <cell r="I2712">
            <v>2210</v>
          </cell>
          <cell r="J2712">
            <v>2310</v>
          </cell>
          <cell r="K2712" t="str">
            <v>VC01</v>
          </cell>
        </row>
        <row r="2713">
          <cell r="A2713" t="str">
            <v>1AP1TDA0164XEU</v>
          </cell>
          <cell r="B2713" t="str">
            <v>DIP</v>
          </cell>
          <cell r="C2713">
            <v>1</v>
          </cell>
          <cell r="D2713" t="e">
            <v>#N/A</v>
          </cell>
          <cell r="E2713">
            <v>2210</v>
          </cell>
          <cell r="F2713" t="str">
            <v>VC01</v>
          </cell>
          <cell r="G2713" t="str">
            <v>Auto</v>
          </cell>
          <cell r="H2713">
            <v>311</v>
          </cell>
          <cell r="I2713">
            <v>2210</v>
          </cell>
          <cell r="J2713">
            <v>2310</v>
          </cell>
          <cell r="K2713" t="str">
            <v>VC01</v>
          </cell>
        </row>
        <row r="2714">
          <cell r="A2714" t="str">
            <v>1VJ1LP2582ZA</v>
          </cell>
          <cell r="B2714" t="str">
            <v>SMT</v>
          </cell>
          <cell r="C2714">
            <v>1</v>
          </cell>
          <cell r="D2714" t="e">
            <v>#N/A</v>
          </cell>
        </row>
        <row r="2715">
          <cell r="A2715" t="str">
            <v>1RE1LP2582ZA</v>
          </cell>
          <cell r="B2715" t="str">
            <v>SMT</v>
          </cell>
          <cell r="C2715">
            <v>1</v>
          </cell>
          <cell r="D2715">
            <v>546</v>
          </cell>
        </row>
        <row r="2716">
          <cell r="A2716" t="str">
            <v>1RE2LP2582ZA</v>
          </cell>
          <cell r="B2716" t="str">
            <v>SMT</v>
          </cell>
          <cell r="C2716">
            <v>1</v>
          </cell>
          <cell r="D2716">
            <v>643</v>
          </cell>
        </row>
        <row r="2717">
          <cell r="A2717" t="str">
            <v>1RH1LP2582ZA</v>
          </cell>
          <cell r="B2717" t="str">
            <v>SMT</v>
          </cell>
          <cell r="C2717">
            <v>1</v>
          </cell>
          <cell r="D2717">
            <v>15</v>
          </cell>
          <cell r="E2717">
            <v>2210</v>
          </cell>
          <cell r="F2717" t="str">
            <v>VC01</v>
          </cell>
          <cell r="G2717" t="str">
            <v>Auto</v>
          </cell>
          <cell r="H2717">
            <v>311</v>
          </cell>
          <cell r="I2717">
            <v>2210</v>
          </cell>
          <cell r="J2717">
            <v>2310</v>
          </cell>
          <cell r="K2717" t="str">
            <v>VC01</v>
          </cell>
        </row>
        <row r="2718">
          <cell r="A2718" t="str">
            <v>1AP1LP2582ZA</v>
          </cell>
          <cell r="B2718" t="str">
            <v>DIP</v>
          </cell>
          <cell r="C2718">
            <v>1</v>
          </cell>
          <cell r="D2718" t="e">
            <v>#N/A</v>
          </cell>
          <cell r="E2718">
            <v>2210</v>
          </cell>
          <cell r="F2718" t="str">
            <v>VC01</v>
          </cell>
          <cell r="G2718" t="str">
            <v>Auto</v>
          </cell>
          <cell r="H2718">
            <v>311</v>
          </cell>
          <cell r="I2718">
            <v>2210</v>
          </cell>
          <cell r="J2718">
            <v>2310</v>
          </cell>
          <cell r="K2718" t="str">
            <v>VC01</v>
          </cell>
        </row>
        <row r="2719">
          <cell r="A2719" t="str">
            <v>1VJ1TDA6175CXV4</v>
          </cell>
          <cell r="B2719" t="str">
            <v>SMT</v>
          </cell>
          <cell r="C2719">
            <v>1</v>
          </cell>
          <cell r="D2719" t="e">
            <v>#N/A</v>
          </cell>
        </row>
        <row r="2720">
          <cell r="A2720" t="str">
            <v>1CM1TDA6175CXV4</v>
          </cell>
          <cell r="B2720" t="str">
            <v>SMT</v>
          </cell>
          <cell r="C2720">
            <v>1</v>
          </cell>
          <cell r="D2720">
            <v>251</v>
          </cell>
        </row>
        <row r="2721">
          <cell r="A2721" t="str">
            <v>1RE2TDA6175CXV4</v>
          </cell>
          <cell r="B2721" t="str">
            <v>SMT</v>
          </cell>
          <cell r="C2721">
            <v>1</v>
          </cell>
          <cell r="D2721">
            <v>502</v>
          </cell>
        </row>
        <row r="2722">
          <cell r="A2722" t="str">
            <v>1RH1TDA6175CXV4</v>
          </cell>
          <cell r="B2722" t="str">
            <v>SMT</v>
          </cell>
          <cell r="C2722">
            <v>1</v>
          </cell>
          <cell r="D2722">
            <v>117</v>
          </cell>
          <cell r="E2722">
            <v>2210</v>
          </cell>
          <cell r="F2722" t="str">
            <v>VC01</v>
          </cell>
          <cell r="G2722" t="str">
            <v>Auto</v>
          </cell>
          <cell r="H2722">
            <v>311</v>
          </cell>
          <cell r="I2722">
            <v>2210</v>
          </cell>
          <cell r="J2722">
            <v>2310</v>
          </cell>
          <cell r="K2722" t="str">
            <v>VC01</v>
          </cell>
        </row>
        <row r="2723">
          <cell r="A2723" t="str">
            <v>1AP1TDA6175CXV4</v>
          </cell>
          <cell r="B2723" t="str">
            <v>DIP</v>
          </cell>
          <cell r="C2723">
            <v>1</v>
          </cell>
          <cell r="D2723" t="e">
            <v>#N/A</v>
          </cell>
          <cell r="E2723">
            <v>2210</v>
          </cell>
          <cell r="F2723" t="str">
            <v>VC01</v>
          </cell>
          <cell r="G2723" t="str">
            <v>Auto</v>
          </cell>
          <cell r="H2723">
            <v>311</v>
          </cell>
          <cell r="I2723">
            <v>2210</v>
          </cell>
          <cell r="J2723">
            <v>2310</v>
          </cell>
          <cell r="K2723" t="str">
            <v>VC01</v>
          </cell>
        </row>
        <row r="2724">
          <cell r="A2724" t="str">
            <v>1VJ1TDA6175XJSX</v>
          </cell>
          <cell r="B2724" t="str">
            <v>SMT</v>
          </cell>
          <cell r="C2724">
            <v>1</v>
          </cell>
          <cell r="D2724" t="e">
            <v>#N/A</v>
          </cell>
        </row>
        <row r="2725">
          <cell r="A2725" t="str">
            <v>1CM1TDA6175XJSX</v>
          </cell>
          <cell r="B2725" t="str">
            <v>SMT</v>
          </cell>
          <cell r="C2725">
            <v>1</v>
          </cell>
          <cell r="D2725">
            <v>252</v>
          </cell>
        </row>
        <row r="2726">
          <cell r="A2726" t="str">
            <v>1RE2TDA6175XJSX</v>
          </cell>
          <cell r="B2726" t="str">
            <v>SMT</v>
          </cell>
          <cell r="C2726">
            <v>1</v>
          </cell>
          <cell r="D2726">
            <v>503</v>
          </cell>
        </row>
        <row r="2727">
          <cell r="A2727" t="str">
            <v>1RH1TDA6175XJSX</v>
          </cell>
          <cell r="B2727" t="str">
            <v>SMT</v>
          </cell>
          <cell r="C2727">
            <v>1</v>
          </cell>
          <cell r="D2727">
            <v>117</v>
          </cell>
          <cell r="E2727">
            <v>2210</v>
          </cell>
          <cell r="F2727" t="str">
            <v>VC01</v>
          </cell>
          <cell r="G2727" t="str">
            <v>Auto</v>
          </cell>
          <cell r="H2727">
            <v>311</v>
          </cell>
          <cell r="I2727">
            <v>2210</v>
          </cell>
          <cell r="J2727">
            <v>2310</v>
          </cell>
          <cell r="K2727" t="str">
            <v>VC01</v>
          </cell>
        </row>
        <row r="2728">
          <cell r="A2728" t="str">
            <v>1AP1TDA6175XJSX</v>
          </cell>
          <cell r="B2728" t="str">
            <v>DIP</v>
          </cell>
          <cell r="C2728">
            <v>1</v>
          </cell>
          <cell r="D2728" t="e">
            <v>#N/A</v>
          </cell>
          <cell r="E2728">
            <v>2210</v>
          </cell>
          <cell r="F2728" t="str">
            <v>VC01</v>
          </cell>
          <cell r="G2728" t="str">
            <v>Auto</v>
          </cell>
          <cell r="H2728">
            <v>311</v>
          </cell>
          <cell r="I2728">
            <v>2210</v>
          </cell>
          <cell r="J2728">
            <v>2310</v>
          </cell>
          <cell r="K2728" t="str">
            <v>VC01</v>
          </cell>
        </row>
        <row r="2729">
          <cell r="A2729" t="str">
            <v>1VI1LPS8147ZVLZA</v>
          </cell>
          <cell r="B2729" t="str">
            <v>SMT</v>
          </cell>
          <cell r="C2729">
            <v>1</v>
          </cell>
          <cell r="D2729" t="e">
            <v>#N/A</v>
          </cell>
        </row>
        <row r="2730">
          <cell r="A2730" t="str">
            <v>1RE1LPS8147ZVLZA</v>
          </cell>
          <cell r="B2730" t="str">
            <v>SMT</v>
          </cell>
          <cell r="C2730">
            <v>1</v>
          </cell>
          <cell r="D2730">
            <v>50</v>
          </cell>
        </row>
        <row r="2731">
          <cell r="A2731" t="str">
            <v>1RE2LPS8147ZVLZA</v>
          </cell>
          <cell r="B2731" t="str">
            <v>SMT</v>
          </cell>
          <cell r="C2731">
            <v>1</v>
          </cell>
          <cell r="D2731">
            <v>79</v>
          </cell>
          <cell r="E2731">
            <v>2210</v>
          </cell>
          <cell r="F2731" t="str">
            <v>VC01</v>
          </cell>
          <cell r="G2731" t="str">
            <v>Auto</v>
          </cell>
          <cell r="H2731">
            <v>311</v>
          </cell>
          <cell r="I2731">
            <v>2210</v>
          </cell>
          <cell r="J2731">
            <v>2250</v>
          </cell>
          <cell r="K2731" t="str">
            <v>VC01</v>
          </cell>
        </row>
        <row r="2732">
          <cell r="A2732" t="str">
            <v>1AP1LPS8147ZVLZA</v>
          </cell>
          <cell r="B2732" t="str">
            <v>DIP</v>
          </cell>
          <cell r="C2732">
            <v>1</v>
          </cell>
          <cell r="D2732" t="e">
            <v>#N/A</v>
          </cell>
          <cell r="E2732">
            <v>2210</v>
          </cell>
          <cell r="F2732" t="str">
            <v>VC01</v>
          </cell>
          <cell r="G2732" t="str">
            <v>Auto</v>
          </cell>
          <cell r="H2732">
            <v>311</v>
          </cell>
          <cell r="I2732">
            <v>2210</v>
          </cell>
          <cell r="J2732">
            <v>2250</v>
          </cell>
          <cell r="K2732" t="str">
            <v>VC01</v>
          </cell>
        </row>
        <row r="2733">
          <cell r="A2733" t="str">
            <v>1VJ1TDA3470XJ</v>
          </cell>
          <cell r="B2733" t="str">
            <v>SMT</v>
          </cell>
          <cell r="C2733">
            <v>1</v>
          </cell>
          <cell r="D2733" t="e">
            <v>#N/A</v>
          </cell>
        </row>
        <row r="2734">
          <cell r="A2734" t="str">
            <v>1RE1TDA3470XJ</v>
          </cell>
          <cell r="B2734" t="str">
            <v>SMT</v>
          </cell>
          <cell r="C2734">
            <v>1</v>
          </cell>
          <cell r="D2734">
            <v>276</v>
          </cell>
        </row>
        <row r="2735">
          <cell r="A2735" t="str">
            <v>1RE2TDA3470XJ</v>
          </cell>
          <cell r="B2735" t="str">
            <v>SMT</v>
          </cell>
          <cell r="C2735">
            <v>1</v>
          </cell>
          <cell r="D2735">
            <v>448</v>
          </cell>
          <cell r="E2735">
            <v>2210</v>
          </cell>
          <cell r="F2735" t="str">
            <v>VC01</v>
          </cell>
          <cell r="G2735" t="str">
            <v>Auto</v>
          </cell>
          <cell r="H2735">
            <v>311</v>
          </cell>
          <cell r="I2735">
            <v>2210</v>
          </cell>
          <cell r="J2735">
            <v>2310</v>
          </cell>
          <cell r="K2735" t="str">
            <v>VC01</v>
          </cell>
        </row>
        <row r="2736">
          <cell r="A2736" t="str">
            <v>1AP1TDA3470XJ</v>
          </cell>
          <cell r="B2736" t="str">
            <v>DIP</v>
          </cell>
          <cell r="C2736">
            <v>1</v>
          </cell>
          <cell r="D2736" t="e">
            <v>#N/A</v>
          </cell>
          <cell r="E2736">
            <v>2210</v>
          </cell>
          <cell r="F2736" t="str">
            <v>VC01</v>
          </cell>
          <cell r="G2736" t="str">
            <v>Auto</v>
          </cell>
          <cell r="H2736">
            <v>311</v>
          </cell>
          <cell r="I2736">
            <v>2210</v>
          </cell>
          <cell r="J2736">
            <v>2310</v>
          </cell>
          <cell r="K2736" t="str">
            <v>VC01</v>
          </cell>
        </row>
        <row r="2737">
          <cell r="A2737" t="str">
            <v>1VI1PSLP1640ZA</v>
          </cell>
          <cell r="B2737" t="str">
            <v>SMT</v>
          </cell>
          <cell r="C2737">
            <v>1</v>
          </cell>
          <cell r="D2737" t="e">
            <v>#N/A</v>
          </cell>
        </row>
        <row r="2738">
          <cell r="A2738" t="str">
            <v>1VI2PSLP1640ZA</v>
          </cell>
          <cell r="B2738" t="str">
            <v>SMT</v>
          </cell>
          <cell r="C2738">
            <v>1</v>
          </cell>
          <cell r="D2738" t="e">
            <v>#N/A</v>
          </cell>
        </row>
        <row r="2739">
          <cell r="A2739" t="str">
            <v>1CM1PSLP1640ZA</v>
          </cell>
          <cell r="B2739" t="str">
            <v>SMT</v>
          </cell>
          <cell r="C2739">
            <v>1</v>
          </cell>
          <cell r="D2739">
            <v>613</v>
          </cell>
        </row>
        <row r="2740">
          <cell r="A2740" t="str">
            <v>1RE2PSLP1640ZA</v>
          </cell>
          <cell r="B2740" t="str">
            <v>SMT</v>
          </cell>
          <cell r="C2740">
            <v>1</v>
          </cell>
          <cell r="D2740">
            <v>809</v>
          </cell>
        </row>
        <row r="2741">
          <cell r="A2741" t="str">
            <v>1RH1PSLP1640ZA</v>
          </cell>
          <cell r="B2741" t="str">
            <v>SMT</v>
          </cell>
          <cell r="C2741">
            <v>1</v>
          </cell>
          <cell r="D2741">
            <v>6</v>
          </cell>
          <cell r="E2741">
            <v>2210</v>
          </cell>
          <cell r="F2741" t="str">
            <v>VC01</v>
          </cell>
          <cell r="G2741" t="str">
            <v>Auto</v>
          </cell>
          <cell r="H2741">
            <v>311</v>
          </cell>
          <cell r="I2741">
            <v>2210</v>
          </cell>
          <cell r="J2741">
            <v>2310</v>
          </cell>
          <cell r="K2741" t="str">
            <v>VC01</v>
          </cell>
        </row>
        <row r="2742">
          <cell r="A2742" t="str">
            <v>1AP1PSLP1640ZA</v>
          </cell>
          <cell r="B2742" t="str">
            <v>DIP</v>
          </cell>
          <cell r="C2742">
            <v>1</v>
          </cell>
          <cell r="D2742" t="e">
            <v>#N/A</v>
          </cell>
          <cell r="E2742">
            <v>2210</v>
          </cell>
          <cell r="F2742" t="str">
            <v>VC01</v>
          </cell>
          <cell r="G2742" t="str">
            <v>Auto</v>
          </cell>
          <cell r="H2742">
            <v>311</v>
          </cell>
          <cell r="I2742">
            <v>2210</v>
          </cell>
          <cell r="J2742">
            <v>2310</v>
          </cell>
          <cell r="K2742" t="str">
            <v>VC01</v>
          </cell>
        </row>
        <row r="2743">
          <cell r="A2743" t="str">
            <v>2RE1TDA0484XEU</v>
          </cell>
          <cell r="B2743" t="str">
            <v>SMT</v>
          </cell>
          <cell r="C2743">
            <v>1</v>
          </cell>
          <cell r="D2743">
            <v>37</v>
          </cell>
        </row>
        <row r="2744">
          <cell r="A2744" t="str">
            <v>2RE2TDA0484XEU</v>
          </cell>
          <cell r="B2744" t="str">
            <v>SMT</v>
          </cell>
          <cell r="C2744">
            <v>1</v>
          </cell>
          <cell r="D2744">
            <v>27</v>
          </cell>
          <cell r="E2744">
            <v>2210</v>
          </cell>
          <cell r="F2744" t="str">
            <v>VC01</v>
          </cell>
          <cell r="G2744" t="str">
            <v>Auto</v>
          </cell>
          <cell r="H2744">
            <v>311</v>
          </cell>
          <cell r="I2744">
            <v>2210</v>
          </cell>
          <cell r="J2744">
            <v>2310</v>
          </cell>
          <cell r="K2744" t="str">
            <v>VC01</v>
          </cell>
        </row>
        <row r="2745">
          <cell r="A2745" t="str">
            <v>2AP1TDA0484XEU</v>
          </cell>
          <cell r="B2745" t="str">
            <v>DIP</v>
          </cell>
          <cell r="C2745">
            <v>1</v>
          </cell>
          <cell r="D2745" t="e">
            <v>#N/A</v>
          </cell>
          <cell r="E2745">
            <v>2210</v>
          </cell>
          <cell r="F2745" t="str">
            <v>VC01</v>
          </cell>
          <cell r="G2745" t="str">
            <v>Auto</v>
          </cell>
          <cell r="H2745">
            <v>311</v>
          </cell>
          <cell r="I2745">
            <v>2210</v>
          </cell>
          <cell r="J2745">
            <v>2310</v>
          </cell>
          <cell r="K2745" t="str">
            <v>VC01</v>
          </cell>
        </row>
        <row r="2746">
          <cell r="A2746" t="str">
            <v>1VJ1TDA0484XEU</v>
          </cell>
          <cell r="B2746" t="str">
            <v>SMT</v>
          </cell>
          <cell r="C2746">
            <v>1</v>
          </cell>
          <cell r="D2746" t="e">
            <v>#N/A</v>
          </cell>
        </row>
        <row r="2747">
          <cell r="A2747" t="str">
            <v>1VJ2TDA0484XEU</v>
          </cell>
          <cell r="B2747" t="str">
            <v>SMT</v>
          </cell>
          <cell r="C2747">
            <v>1</v>
          </cell>
          <cell r="D2747" t="e">
            <v>#N/A</v>
          </cell>
        </row>
        <row r="2748">
          <cell r="A2748" t="str">
            <v>1RE1TDA0484XEU</v>
          </cell>
          <cell r="B2748" t="str">
            <v>SMT</v>
          </cell>
          <cell r="C2748">
            <v>1</v>
          </cell>
          <cell r="D2748">
            <v>243</v>
          </cell>
        </row>
        <row r="2749">
          <cell r="A2749" t="str">
            <v>1RE2TDA0484XEU</v>
          </cell>
          <cell r="B2749" t="str">
            <v>SMT</v>
          </cell>
          <cell r="C2749">
            <v>1</v>
          </cell>
          <cell r="D2749">
            <v>434</v>
          </cell>
          <cell r="E2749">
            <v>2210</v>
          </cell>
          <cell r="F2749" t="str">
            <v>VC01</v>
          </cell>
          <cell r="G2749" t="str">
            <v>Auto</v>
          </cell>
          <cell r="H2749">
            <v>311</v>
          </cell>
          <cell r="I2749">
            <v>2210</v>
          </cell>
          <cell r="J2749">
            <v>2310</v>
          </cell>
          <cell r="K2749" t="str">
            <v>VC01</v>
          </cell>
        </row>
        <row r="2750">
          <cell r="A2750" t="str">
            <v>1AP1TDA0484XEU</v>
          </cell>
          <cell r="B2750" t="str">
            <v>DIP</v>
          </cell>
          <cell r="C2750">
            <v>1</v>
          </cell>
          <cell r="D2750" t="e">
            <v>#N/A</v>
          </cell>
          <cell r="E2750">
            <v>2210</v>
          </cell>
          <cell r="F2750" t="str">
            <v>VC01</v>
          </cell>
          <cell r="G2750" t="str">
            <v>Auto</v>
          </cell>
          <cell r="H2750">
            <v>311</v>
          </cell>
          <cell r="I2750">
            <v>2210</v>
          </cell>
          <cell r="J2750">
            <v>2310</v>
          </cell>
          <cell r="K2750" t="str">
            <v>VC01</v>
          </cell>
        </row>
        <row r="2751">
          <cell r="A2751" t="str">
            <v>1RE1NS0290MS</v>
          </cell>
          <cell r="B2751" t="str">
            <v>SMT</v>
          </cell>
          <cell r="C2751">
            <v>1</v>
          </cell>
          <cell r="D2751">
            <v>46</v>
          </cell>
        </row>
        <row r="2752">
          <cell r="A2752" t="str">
            <v>1RE2NS0290MS</v>
          </cell>
          <cell r="B2752" t="str">
            <v>SMT</v>
          </cell>
          <cell r="C2752">
            <v>1</v>
          </cell>
          <cell r="D2752">
            <v>242</v>
          </cell>
        </row>
        <row r="2753">
          <cell r="A2753" t="str">
            <v>1RH1NS0290MS</v>
          </cell>
          <cell r="B2753" t="str">
            <v>SMT</v>
          </cell>
          <cell r="C2753">
            <v>1</v>
          </cell>
          <cell r="D2753">
            <v>16</v>
          </cell>
          <cell r="E2753">
            <v>2210</v>
          </cell>
          <cell r="F2753" t="str">
            <v>VC01</v>
          </cell>
          <cell r="G2753" t="str">
            <v>Auto</v>
          </cell>
          <cell r="H2753">
            <v>311</v>
          </cell>
          <cell r="I2753">
            <v>2210</v>
          </cell>
          <cell r="J2753">
            <v>2310</v>
          </cell>
          <cell r="K2753" t="str">
            <v>VC01</v>
          </cell>
        </row>
        <row r="2754">
          <cell r="A2754" t="str">
            <v>1AP1NS0290MS</v>
          </cell>
          <cell r="B2754" t="str">
            <v>DIP</v>
          </cell>
          <cell r="C2754">
            <v>1</v>
          </cell>
          <cell r="D2754" t="e">
            <v>#N/A</v>
          </cell>
          <cell r="E2754">
            <v>2210</v>
          </cell>
          <cell r="F2754" t="str">
            <v>VC01</v>
          </cell>
          <cell r="G2754" t="str">
            <v>Auto</v>
          </cell>
          <cell r="H2754">
            <v>311</v>
          </cell>
          <cell r="I2754">
            <v>2210</v>
          </cell>
          <cell r="J2754">
            <v>2310</v>
          </cell>
          <cell r="K2754" t="str">
            <v>VC01</v>
          </cell>
        </row>
        <row r="2755">
          <cell r="A2755" t="str">
            <v>1RE1PSLP1503ZAL4</v>
          </cell>
          <cell r="B2755" t="str">
            <v>SMT</v>
          </cell>
          <cell r="C2755">
            <v>1</v>
          </cell>
          <cell r="D2755">
            <v>51</v>
          </cell>
        </row>
        <row r="2756">
          <cell r="A2756" t="str">
            <v>1RE2PSLP1503ZAL4</v>
          </cell>
          <cell r="B2756" t="str">
            <v>SMT</v>
          </cell>
          <cell r="C2756">
            <v>1</v>
          </cell>
          <cell r="D2756">
            <v>352</v>
          </cell>
          <cell r="E2756">
            <v>2210</v>
          </cell>
          <cell r="F2756" t="str">
            <v>VC01</v>
          </cell>
          <cell r="G2756" t="str">
            <v>Auto</v>
          </cell>
          <cell r="H2756">
            <v>311</v>
          </cell>
          <cell r="I2756">
            <v>2210</v>
          </cell>
          <cell r="J2756">
            <v>2220</v>
          </cell>
          <cell r="K2756" t="str">
            <v>VC01</v>
          </cell>
        </row>
        <row r="2757">
          <cell r="A2757" t="str">
            <v>1RE1PSLP1601ZA</v>
          </cell>
          <cell r="B2757" t="str">
            <v>SMT</v>
          </cell>
          <cell r="C2757">
            <v>1</v>
          </cell>
          <cell r="D2757">
            <v>82</v>
          </cell>
        </row>
        <row r="2758">
          <cell r="A2758" t="str">
            <v>1RE2PSLP1601ZA</v>
          </cell>
          <cell r="B2758" t="str">
            <v>SMT</v>
          </cell>
          <cell r="C2758">
            <v>1</v>
          </cell>
          <cell r="D2758">
            <v>1</v>
          </cell>
          <cell r="E2758">
            <v>2210</v>
          </cell>
          <cell r="F2758" t="str">
            <v>VC01</v>
          </cell>
        </row>
        <row r="2759">
          <cell r="A2759" t="str">
            <v>1RE1PSLP1580ZA</v>
          </cell>
          <cell r="B2759" t="str">
            <v>SMT</v>
          </cell>
          <cell r="C2759">
            <v>1</v>
          </cell>
          <cell r="D2759">
            <v>43</v>
          </cell>
        </row>
        <row r="2760">
          <cell r="A2760" t="str">
            <v>1RE2PSLP1580ZA</v>
          </cell>
          <cell r="B2760" t="str">
            <v>SMT</v>
          </cell>
          <cell r="C2760">
            <v>1</v>
          </cell>
          <cell r="D2760">
            <v>200</v>
          </cell>
          <cell r="E2760">
            <v>2210</v>
          </cell>
          <cell r="F2760" t="str">
            <v>VC01</v>
          </cell>
          <cell r="G2760" t="str">
            <v>Auto</v>
          </cell>
          <cell r="H2760">
            <v>311</v>
          </cell>
          <cell r="I2760">
            <v>2210</v>
          </cell>
          <cell r="J2760">
            <v>2710</v>
          </cell>
          <cell r="K2760" t="str">
            <v>VC01</v>
          </cell>
        </row>
        <row r="2761">
          <cell r="A2761" t="str">
            <v>1VI1TDA0290MS</v>
          </cell>
          <cell r="B2761" t="str">
            <v>SMT</v>
          </cell>
          <cell r="C2761">
            <v>1</v>
          </cell>
          <cell r="D2761" t="e">
            <v>#N/A</v>
          </cell>
        </row>
        <row r="2762">
          <cell r="A2762" t="str">
            <v>1RE1TDA0290MS</v>
          </cell>
          <cell r="B2762" t="str">
            <v>SMT</v>
          </cell>
          <cell r="C2762">
            <v>1</v>
          </cell>
          <cell r="D2762">
            <v>483</v>
          </cell>
        </row>
        <row r="2763">
          <cell r="A2763" t="str">
            <v>1RH1TDA0290MS</v>
          </cell>
          <cell r="B2763" t="str">
            <v>SMT</v>
          </cell>
          <cell r="C2763">
            <v>1</v>
          </cell>
          <cell r="D2763">
            <v>6</v>
          </cell>
          <cell r="E2763">
            <v>2210</v>
          </cell>
          <cell r="F2763" t="str">
            <v>VC01</v>
          </cell>
          <cell r="G2763" t="str">
            <v>Auto</v>
          </cell>
          <cell r="H2763">
            <v>311</v>
          </cell>
          <cell r="I2763">
            <v>2210</v>
          </cell>
          <cell r="J2763">
            <v>2310</v>
          </cell>
          <cell r="K2763" t="str">
            <v>VC01</v>
          </cell>
        </row>
        <row r="2764">
          <cell r="A2764" t="str">
            <v>1AP1TDA0290MS</v>
          </cell>
          <cell r="B2764" t="str">
            <v>DIP</v>
          </cell>
          <cell r="C2764">
            <v>1</v>
          </cell>
          <cell r="D2764" t="e">
            <v>#N/A</v>
          </cell>
          <cell r="E2764">
            <v>2210</v>
          </cell>
          <cell r="F2764" t="str">
            <v>VC01</v>
          </cell>
          <cell r="G2764" t="str">
            <v>Auto</v>
          </cell>
          <cell r="H2764">
            <v>311</v>
          </cell>
          <cell r="I2764">
            <v>2210</v>
          </cell>
          <cell r="J2764">
            <v>2310</v>
          </cell>
          <cell r="K2764" t="str">
            <v>VC01</v>
          </cell>
        </row>
        <row r="2765">
          <cell r="A2765" t="str">
            <v>1VJ1TDA0490XEU</v>
          </cell>
          <cell r="B2765" t="str">
            <v>SMT</v>
          </cell>
          <cell r="C2765">
            <v>1</v>
          </cell>
          <cell r="D2765" t="e">
            <v>#N/A</v>
          </cell>
        </row>
        <row r="2766">
          <cell r="A2766" t="str">
            <v>1VJ2TDA0490XEU</v>
          </cell>
          <cell r="B2766" t="str">
            <v>SMT</v>
          </cell>
          <cell r="C2766">
            <v>1</v>
          </cell>
          <cell r="D2766" t="e">
            <v>#N/A</v>
          </cell>
        </row>
        <row r="2767">
          <cell r="A2767" t="str">
            <v>1RE1TDA0490XEU</v>
          </cell>
          <cell r="B2767" t="str">
            <v>SMT</v>
          </cell>
          <cell r="C2767">
            <v>1</v>
          </cell>
          <cell r="D2767">
            <v>256</v>
          </cell>
        </row>
        <row r="2768">
          <cell r="A2768" t="str">
            <v>1RE2TDA0490XEU</v>
          </cell>
          <cell r="B2768" t="str">
            <v>SMT</v>
          </cell>
          <cell r="C2768">
            <v>1</v>
          </cell>
          <cell r="D2768">
            <v>443</v>
          </cell>
          <cell r="E2768">
            <v>2210</v>
          </cell>
          <cell r="F2768" t="str">
            <v>VC01</v>
          </cell>
          <cell r="G2768" t="str">
            <v>Auto</v>
          </cell>
          <cell r="H2768">
            <v>311</v>
          </cell>
          <cell r="I2768">
            <v>2210</v>
          </cell>
          <cell r="J2768">
            <v>2310</v>
          </cell>
          <cell r="K2768" t="str">
            <v>VC01</v>
          </cell>
        </row>
        <row r="2769">
          <cell r="A2769" t="str">
            <v>1AP1TDA0490XEU</v>
          </cell>
          <cell r="B2769" t="str">
            <v>DIP</v>
          </cell>
          <cell r="C2769">
            <v>1</v>
          </cell>
          <cell r="D2769" t="e">
            <v>#N/A</v>
          </cell>
          <cell r="E2769">
            <v>2210</v>
          </cell>
          <cell r="F2769" t="str">
            <v>VC01</v>
          </cell>
          <cell r="G2769" t="str">
            <v>Auto</v>
          </cell>
          <cell r="H2769">
            <v>311</v>
          </cell>
          <cell r="I2769">
            <v>2210</v>
          </cell>
          <cell r="J2769">
            <v>2310</v>
          </cell>
          <cell r="K2769" t="str">
            <v>VC01</v>
          </cell>
        </row>
        <row r="2770">
          <cell r="A2770" t="str">
            <v>1VJ1LPPU100NMZA-S1</v>
          </cell>
          <cell r="B2770" t="str">
            <v>SMT</v>
          </cell>
          <cell r="C2770">
            <v>1</v>
          </cell>
          <cell r="D2770" t="e">
            <v>#N/A</v>
          </cell>
        </row>
        <row r="2771">
          <cell r="A2771" t="str">
            <v>1RE1LPPU100GMZA-S1</v>
          </cell>
          <cell r="B2771" t="str">
            <v>SMT</v>
          </cell>
          <cell r="C2771">
            <v>1</v>
          </cell>
          <cell r="D2771">
            <v>187</v>
          </cell>
        </row>
        <row r="2772">
          <cell r="A2772" t="str">
            <v>1RE2LPPU100GMZA-S1</v>
          </cell>
          <cell r="B2772" t="str">
            <v>SMT</v>
          </cell>
          <cell r="C2772">
            <v>1</v>
          </cell>
          <cell r="D2772">
            <v>171</v>
          </cell>
        </row>
        <row r="2773">
          <cell r="A2773" t="str">
            <v>1AP1LPPU100GMZA-S1</v>
          </cell>
          <cell r="B2773" t="str">
            <v>DIP</v>
          </cell>
          <cell r="C2773">
            <v>1</v>
          </cell>
          <cell r="D2773" t="e">
            <v>#N/A</v>
          </cell>
          <cell r="E2773">
            <v>2210</v>
          </cell>
        </row>
        <row r="2774">
          <cell r="A2774" t="str">
            <v>1RE1LPPU100GPZA-S1</v>
          </cell>
          <cell r="B2774" t="str">
            <v>SMT</v>
          </cell>
          <cell r="C2774">
            <v>1</v>
          </cell>
          <cell r="D2774">
            <v>12</v>
          </cell>
        </row>
        <row r="2775">
          <cell r="A2775" t="str">
            <v>1CM1LPPU100GPZA-S1</v>
          </cell>
          <cell r="B2775" t="str">
            <v>SMT</v>
          </cell>
          <cell r="C2775">
            <v>1</v>
          </cell>
          <cell r="D2775">
            <v>31</v>
          </cell>
        </row>
        <row r="2776">
          <cell r="A2776" t="str">
            <v>1AP1LPPU100GPZA-S1</v>
          </cell>
          <cell r="B2776" t="str">
            <v>DIP</v>
          </cell>
          <cell r="C2776">
            <v>1</v>
          </cell>
          <cell r="D2776" t="e">
            <v>#N/A</v>
          </cell>
          <cell r="E2776">
            <v>2210</v>
          </cell>
        </row>
        <row r="2777">
          <cell r="A2777" t="str">
            <v>1RE1LPPU100NMZA-S1</v>
          </cell>
          <cell r="B2777" t="str">
            <v>SMT</v>
          </cell>
          <cell r="C2777">
            <v>1</v>
          </cell>
          <cell r="D2777">
            <v>187</v>
          </cell>
        </row>
        <row r="2778">
          <cell r="A2778" t="str">
            <v>1RE2LPPU100NMZA-S1</v>
          </cell>
          <cell r="B2778" t="str">
            <v>SMT</v>
          </cell>
          <cell r="C2778">
            <v>1</v>
          </cell>
          <cell r="D2778">
            <v>171</v>
          </cell>
        </row>
        <row r="2779">
          <cell r="A2779" t="str">
            <v>1AP1LPPU100NMZA-S1</v>
          </cell>
          <cell r="B2779" t="str">
            <v>DIP</v>
          </cell>
          <cell r="C2779">
            <v>1</v>
          </cell>
          <cell r="D2779" t="e">
            <v>#N/A</v>
          </cell>
          <cell r="E2779">
            <v>2210</v>
          </cell>
        </row>
        <row r="2780">
          <cell r="A2780" t="str">
            <v>1RE1LPPU100NPZA-S1</v>
          </cell>
          <cell r="B2780" t="str">
            <v>SMT</v>
          </cell>
          <cell r="C2780">
            <v>1</v>
          </cell>
          <cell r="D2780">
            <v>12</v>
          </cell>
        </row>
        <row r="2781">
          <cell r="A2781" t="str">
            <v>1CM1LPPU100NPZA-S1</v>
          </cell>
          <cell r="B2781" t="str">
            <v>SMT</v>
          </cell>
          <cell r="C2781">
            <v>1</v>
          </cell>
          <cell r="D2781">
            <v>29</v>
          </cell>
        </row>
        <row r="2782">
          <cell r="A2782" t="str">
            <v>1AP1LPPU100NPZA-S1</v>
          </cell>
          <cell r="B2782" t="str">
            <v>DIP</v>
          </cell>
          <cell r="C2782">
            <v>1</v>
          </cell>
          <cell r="D2782" t="e">
            <v>#N/A</v>
          </cell>
          <cell r="E2782">
            <v>2210</v>
          </cell>
        </row>
        <row r="2783">
          <cell r="A2783" t="str">
            <v>1RE1LPPU101NMZA-S1</v>
          </cell>
          <cell r="B2783" t="str">
            <v>SMT</v>
          </cell>
          <cell r="C2783">
            <v>1</v>
          </cell>
          <cell r="D2783">
            <v>187</v>
          </cell>
        </row>
        <row r="2784">
          <cell r="A2784" t="str">
            <v>1RE2LPPU101NMZA-S1</v>
          </cell>
          <cell r="B2784" t="str">
            <v>SMT</v>
          </cell>
          <cell r="C2784">
            <v>1</v>
          </cell>
          <cell r="D2784">
            <v>171</v>
          </cell>
        </row>
        <row r="2785">
          <cell r="A2785" t="str">
            <v>1AP1LPPU101NMZA-S1</v>
          </cell>
          <cell r="B2785" t="str">
            <v>DIP</v>
          </cell>
          <cell r="C2785">
            <v>1</v>
          </cell>
          <cell r="D2785" t="e">
            <v>#N/A</v>
          </cell>
          <cell r="E2785">
            <v>2210</v>
          </cell>
        </row>
        <row r="2786">
          <cell r="A2786" t="str">
            <v>1RE1LPPU103NPZA-S1</v>
          </cell>
          <cell r="B2786" t="str">
            <v>SMT</v>
          </cell>
          <cell r="C2786">
            <v>1</v>
          </cell>
          <cell r="D2786">
            <v>12</v>
          </cell>
        </row>
        <row r="2787">
          <cell r="A2787" t="str">
            <v>1CM1LPPU103NPZA-S1</v>
          </cell>
          <cell r="B2787" t="str">
            <v>SMT</v>
          </cell>
          <cell r="C2787">
            <v>1</v>
          </cell>
          <cell r="D2787">
            <v>29</v>
          </cell>
        </row>
        <row r="2788">
          <cell r="A2788" t="str">
            <v>1AP1LPPU103NPZA-S1</v>
          </cell>
          <cell r="B2788" t="str">
            <v>DIP</v>
          </cell>
          <cell r="C2788">
            <v>1</v>
          </cell>
          <cell r="D2788" t="e">
            <v>#N/A</v>
          </cell>
          <cell r="E2788">
            <v>2210</v>
          </cell>
        </row>
        <row r="2789">
          <cell r="A2789" t="str">
            <v>1VJ1LPPL200REMZAR2</v>
          </cell>
          <cell r="B2789" t="str">
            <v>SMT</v>
          </cell>
          <cell r="C2789">
            <v>1</v>
          </cell>
          <cell r="D2789" t="e">
            <v>#N/A</v>
          </cell>
        </row>
        <row r="2790">
          <cell r="A2790" t="str">
            <v>1RE1LPPL200REMZAR2</v>
          </cell>
          <cell r="B2790" t="str">
            <v>SMT</v>
          </cell>
          <cell r="C2790">
            <v>1</v>
          </cell>
          <cell r="D2790">
            <v>143</v>
          </cell>
        </row>
        <row r="2791">
          <cell r="A2791" t="str">
            <v>1RE2LPPL200REMZAR2</v>
          </cell>
          <cell r="B2791" t="str">
            <v>SMT</v>
          </cell>
          <cell r="C2791">
            <v>1</v>
          </cell>
          <cell r="D2791">
            <v>107</v>
          </cell>
        </row>
        <row r="2792">
          <cell r="A2792" t="str">
            <v>1VJ1TDA0192XJSX</v>
          </cell>
          <cell r="B2792" t="str">
            <v>SMT</v>
          </cell>
          <cell r="C2792">
            <v>1</v>
          </cell>
          <cell r="D2792" t="e">
            <v>#N/A</v>
          </cell>
        </row>
        <row r="2793">
          <cell r="A2793" t="str">
            <v>1RE1TDA0192XJSX</v>
          </cell>
          <cell r="B2793" t="str">
            <v>SMT</v>
          </cell>
          <cell r="C2793">
            <v>1</v>
          </cell>
          <cell r="D2793">
            <v>104</v>
          </cell>
        </row>
        <row r="2794">
          <cell r="A2794" t="str">
            <v>1RE2TDA0192XJSX</v>
          </cell>
          <cell r="B2794" t="str">
            <v>SMT</v>
          </cell>
          <cell r="C2794">
            <v>1</v>
          </cell>
          <cell r="D2794">
            <v>223</v>
          </cell>
          <cell r="E2794">
            <v>2210</v>
          </cell>
          <cell r="F2794" t="str">
            <v>VC01</v>
          </cell>
          <cell r="G2794" t="str">
            <v>Auto</v>
          </cell>
          <cell r="H2794">
            <v>311</v>
          </cell>
          <cell r="I2794">
            <v>2210</v>
          </cell>
          <cell r="J2794">
            <v>2310</v>
          </cell>
          <cell r="K2794" t="str">
            <v>VC01</v>
          </cell>
        </row>
        <row r="2795">
          <cell r="A2795" t="str">
            <v>1VJ1NS5290MS</v>
          </cell>
          <cell r="B2795" t="str">
            <v>SMT</v>
          </cell>
          <cell r="C2795">
            <v>1</v>
          </cell>
          <cell r="D2795" t="e">
            <v>#N/A</v>
          </cell>
        </row>
        <row r="2796">
          <cell r="A2796" t="str">
            <v>1RE1NS5290MS</v>
          </cell>
          <cell r="B2796" t="str">
            <v>SMT</v>
          </cell>
          <cell r="C2796">
            <v>1</v>
          </cell>
          <cell r="D2796">
            <v>59</v>
          </cell>
        </row>
        <row r="2797">
          <cell r="A2797" t="str">
            <v>1RE2NS5290MS</v>
          </cell>
          <cell r="B2797" t="str">
            <v>SMT</v>
          </cell>
          <cell r="C2797">
            <v>1</v>
          </cell>
          <cell r="D2797">
            <v>209</v>
          </cell>
        </row>
        <row r="2798">
          <cell r="A2798" t="str">
            <v>1RH1NS5290MS</v>
          </cell>
          <cell r="B2798" t="str">
            <v>SMT</v>
          </cell>
          <cell r="C2798">
            <v>1</v>
          </cell>
          <cell r="D2798">
            <v>5</v>
          </cell>
          <cell r="E2798">
            <v>2210</v>
          </cell>
          <cell r="F2798" t="str">
            <v>VC01</v>
          </cell>
          <cell r="G2798" t="str">
            <v>Auto</v>
          </cell>
          <cell r="H2798">
            <v>311</v>
          </cell>
          <cell r="I2798">
            <v>2210</v>
          </cell>
          <cell r="J2798">
            <v>2310</v>
          </cell>
          <cell r="K2798" t="str">
            <v>VC01</v>
          </cell>
        </row>
        <row r="2799">
          <cell r="A2799" t="str">
            <v>1AP1NS5290MS</v>
          </cell>
          <cell r="B2799" t="str">
            <v>DIP</v>
          </cell>
          <cell r="C2799">
            <v>1</v>
          </cell>
          <cell r="D2799" t="e">
            <v>#N/A</v>
          </cell>
          <cell r="E2799">
            <v>2210</v>
          </cell>
          <cell r="F2799" t="str">
            <v>VC01</v>
          </cell>
          <cell r="G2799" t="str">
            <v>Auto</v>
          </cell>
          <cell r="H2799">
            <v>311</v>
          </cell>
          <cell r="I2799">
            <v>2210</v>
          </cell>
          <cell r="J2799">
            <v>2310</v>
          </cell>
          <cell r="K2799" t="str">
            <v>VC01</v>
          </cell>
        </row>
        <row r="2800">
          <cell r="A2800" t="str">
            <v>1VJ1LPNT6301ZA-S2</v>
          </cell>
          <cell r="B2800" t="str">
            <v>SMT</v>
          </cell>
          <cell r="C2800">
            <v>1</v>
          </cell>
          <cell r="D2800" t="e">
            <v>#N/A</v>
          </cell>
        </row>
        <row r="2801">
          <cell r="A2801" t="str">
            <v>1RE1LPNT6301ZA-S2</v>
          </cell>
          <cell r="B2801" t="str">
            <v>SMT</v>
          </cell>
          <cell r="C2801">
            <v>1</v>
          </cell>
          <cell r="D2801">
            <v>96</v>
          </cell>
        </row>
        <row r="2802">
          <cell r="A2802" t="str">
            <v>1RE2LPNT6301ZA-S2</v>
          </cell>
          <cell r="B2802" t="str">
            <v>SMT</v>
          </cell>
          <cell r="C2802">
            <v>1</v>
          </cell>
          <cell r="D2802">
            <v>360</v>
          </cell>
        </row>
        <row r="2803">
          <cell r="A2803" t="str">
            <v>1AP1LPNT6301ZA-S2</v>
          </cell>
          <cell r="B2803" t="str">
            <v>DIP</v>
          </cell>
          <cell r="C2803">
            <v>1</v>
          </cell>
          <cell r="D2803" t="e">
            <v>#N/A</v>
          </cell>
          <cell r="E2803">
            <v>2210</v>
          </cell>
        </row>
        <row r="2804">
          <cell r="A2804" t="str">
            <v>1VJ2LPNT6801ZA-S2</v>
          </cell>
          <cell r="B2804" t="str">
            <v>SMT</v>
          </cell>
          <cell r="C2804">
            <v>1</v>
          </cell>
          <cell r="D2804" t="e">
            <v>#N/A</v>
          </cell>
        </row>
        <row r="2805">
          <cell r="A2805" t="str">
            <v>1VJ1LPNT6801ZA-S2</v>
          </cell>
          <cell r="B2805" t="str">
            <v>SMT</v>
          </cell>
          <cell r="C2805">
            <v>1</v>
          </cell>
          <cell r="D2805" t="e">
            <v>#N/A</v>
          </cell>
        </row>
        <row r="2806">
          <cell r="A2806" t="str">
            <v>1RE1LPNT6801ZA-S2</v>
          </cell>
          <cell r="B2806" t="str">
            <v>SMT</v>
          </cell>
          <cell r="C2806">
            <v>1</v>
          </cell>
          <cell r="D2806">
            <v>130</v>
          </cell>
        </row>
        <row r="2807">
          <cell r="A2807" t="str">
            <v>1RE2LPNT6801ZA-S2</v>
          </cell>
          <cell r="B2807" t="str">
            <v>SMT</v>
          </cell>
          <cell r="C2807">
            <v>1</v>
          </cell>
          <cell r="D2807">
            <v>478</v>
          </cell>
        </row>
        <row r="2808">
          <cell r="A2808" t="str">
            <v>1AP1LPNT6801ZA-S2</v>
          </cell>
          <cell r="B2808" t="str">
            <v>DIP</v>
          </cell>
          <cell r="C2808">
            <v>1</v>
          </cell>
          <cell r="D2808" t="e">
            <v>#N/A</v>
          </cell>
          <cell r="E2808">
            <v>2210</v>
          </cell>
        </row>
        <row r="2809">
          <cell r="A2809" t="str">
            <v>1RE1XA1005WA/AS-S1</v>
          </cell>
          <cell r="B2809" t="str">
            <v>SMT</v>
          </cell>
          <cell r="C2809">
            <v>1</v>
          </cell>
          <cell r="D2809">
            <v>0</v>
          </cell>
        </row>
        <row r="2810">
          <cell r="A2810" t="str">
            <v>1VJ1LPPU100NMZA-S2</v>
          </cell>
          <cell r="B2810" t="str">
            <v>SMT</v>
          </cell>
          <cell r="C2810">
            <v>1</v>
          </cell>
          <cell r="D2810" t="e">
            <v>#N/A</v>
          </cell>
        </row>
        <row r="2811">
          <cell r="A2811" t="str">
            <v>1RE1LPPU100GMZA-S2</v>
          </cell>
          <cell r="B2811" t="str">
            <v>SMT</v>
          </cell>
          <cell r="C2811">
            <v>1</v>
          </cell>
          <cell r="D2811">
            <v>190</v>
          </cell>
        </row>
        <row r="2812">
          <cell r="A2812" t="str">
            <v>1RE2LPPU100GMZA-S2</v>
          </cell>
          <cell r="B2812" t="str">
            <v>SMT</v>
          </cell>
          <cell r="C2812">
            <v>1</v>
          </cell>
          <cell r="D2812">
            <v>170</v>
          </cell>
        </row>
        <row r="2813">
          <cell r="A2813" t="str">
            <v>1AP1LPPU100GMZA-S2</v>
          </cell>
          <cell r="B2813" t="str">
            <v>DIP</v>
          </cell>
          <cell r="C2813">
            <v>1</v>
          </cell>
          <cell r="D2813" t="e">
            <v>#N/A</v>
          </cell>
          <cell r="E2813">
            <v>2210</v>
          </cell>
        </row>
        <row r="2814">
          <cell r="A2814" t="str">
            <v>1RE1LPPU100GPZA-S2</v>
          </cell>
          <cell r="B2814" t="str">
            <v>SMT</v>
          </cell>
          <cell r="C2814">
            <v>1</v>
          </cell>
          <cell r="D2814">
            <v>12</v>
          </cell>
        </row>
        <row r="2815">
          <cell r="A2815" t="str">
            <v>1CM1LPPU100GPZA-S2</v>
          </cell>
          <cell r="B2815" t="str">
            <v>SMT</v>
          </cell>
          <cell r="C2815">
            <v>1</v>
          </cell>
          <cell r="D2815">
            <v>30</v>
          </cell>
        </row>
        <row r="2816">
          <cell r="A2816" t="str">
            <v>1AP1LPPU100GPZA-S2</v>
          </cell>
          <cell r="B2816" t="str">
            <v>DIP</v>
          </cell>
          <cell r="C2816">
            <v>1</v>
          </cell>
          <cell r="D2816" t="e">
            <v>#N/A</v>
          </cell>
          <cell r="E2816">
            <v>2210</v>
          </cell>
        </row>
        <row r="2817">
          <cell r="A2817" t="str">
            <v>1RE1LPPU100NMZA-S2</v>
          </cell>
          <cell r="B2817" t="str">
            <v>SMT</v>
          </cell>
          <cell r="C2817">
            <v>1</v>
          </cell>
          <cell r="D2817">
            <v>190</v>
          </cell>
        </row>
        <row r="2818">
          <cell r="A2818" t="str">
            <v>1RE2LPPU100NMZA-S2</v>
          </cell>
          <cell r="B2818" t="str">
            <v>SMT</v>
          </cell>
          <cell r="C2818">
            <v>1</v>
          </cell>
          <cell r="D2818">
            <v>170</v>
          </cell>
        </row>
        <row r="2819">
          <cell r="A2819" t="str">
            <v>1AP1LPPU100NMZA-S2</v>
          </cell>
          <cell r="B2819" t="str">
            <v>DIP</v>
          </cell>
          <cell r="C2819">
            <v>1</v>
          </cell>
          <cell r="D2819" t="e">
            <v>#N/A</v>
          </cell>
          <cell r="E2819">
            <v>2210</v>
          </cell>
        </row>
        <row r="2820">
          <cell r="A2820" t="str">
            <v>1RE1LPPU100NPZA-S2</v>
          </cell>
          <cell r="B2820" t="str">
            <v>SMT</v>
          </cell>
          <cell r="C2820">
            <v>1</v>
          </cell>
          <cell r="D2820">
            <v>12</v>
          </cell>
        </row>
        <row r="2821">
          <cell r="A2821" t="str">
            <v>1CM1LPPU100NPZA-S2</v>
          </cell>
          <cell r="B2821" t="str">
            <v>SMT</v>
          </cell>
          <cell r="C2821">
            <v>1</v>
          </cell>
          <cell r="D2821">
            <v>28</v>
          </cell>
        </row>
        <row r="2822">
          <cell r="A2822" t="str">
            <v>1AP1LPPU100NPZA-S2</v>
          </cell>
          <cell r="B2822" t="str">
            <v>DIP</v>
          </cell>
          <cell r="C2822">
            <v>1</v>
          </cell>
          <cell r="D2822" t="e">
            <v>#N/A</v>
          </cell>
          <cell r="E2822">
            <v>2210</v>
          </cell>
        </row>
        <row r="2823">
          <cell r="A2823" t="str">
            <v>1RE1LPPU102NPZA-S2</v>
          </cell>
          <cell r="B2823" t="str">
            <v>SMT</v>
          </cell>
          <cell r="C2823">
            <v>1</v>
          </cell>
          <cell r="D2823">
            <v>12</v>
          </cell>
        </row>
        <row r="2824">
          <cell r="A2824" t="str">
            <v>1CM1LPPU102NPZA-S2</v>
          </cell>
          <cell r="B2824" t="str">
            <v>SMT</v>
          </cell>
          <cell r="C2824">
            <v>1</v>
          </cell>
          <cell r="D2824">
            <v>28</v>
          </cell>
        </row>
        <row r="2825">
          <cell r="A2825" t="str">
            <v>1AP1LPPU102NPZA-S2</v>
          </cell>
          <cell r="B2825" t="str">
            <v>DIP</v>
          </cell>
          <cell r="C2825">
            <v>1</v>
          </cell>
          <cell r="D2825" t="e">
            <v>#N/A</v>
          </cell>
          <cell r="E2825">
            <v>2210</v>
          </cell>
        </row>
        <row r="2826">
          <cell r="A2826" t="str">
            <v>1VI1NCP1188XJ</v>
          </cell>
          <cell r="B2826" t="str">
            <v>SMT</v>
          </cell>
          <cell r="C2826">
            <v>1</v>
          </cell>
          <cell r="D2826" t="e">
            <v>#N/A</v>
          </cell>
        </row>
        <row r="2827">
          <cell r="A2827" t="str">
            <v>1RE1NCP1188XJ</v>
          </cell>
          <cell r="B2827" t="str">
            <v>SMT</v>
          </cell>
          <cell r="C2827">
            <v>1</v>
          </cell>
          <cell r="D2827">
            <v>386</v>
          </cell>
        </row>
        <row r="2828">
          <cell r="A2828" t="str">
            <v>1RH1NCP1188XJ</v>
          </cell>
          <cell r="B2828" t="str">
            <v>SMT</v>
          </cell>
          <cell r="C2828">
            <v>1</v>
          </cell>
          <cell r="D2828">
            <v>13</v>
          </cell>
        </row>
        <row r="2829">
          <cell r="A2829" t="str">
            <v>1CM1NCP1188XJ</v>
          </cell>
          <cell r="B2829" t="str">
            <v>SMT</v>
          </cell>
          <cell r="C2829">
            <v>1</v>
          </cell>
          <cell r="D2829">
            <v>163</v>
          </cell>
          <cell r="E2829">
            <v>2210</v>
          </cell>
          <cell r="F2829" t="str">
            <v>VC01</v>
          </cell>
          <cell r="G2829" t="str">
            <v>Auto</v>
          </cell>
          <cell r="H2829">
            <v>311</v>
          </cell>
          <cell r="I2829">
            <v>2210</v>
          </cell>
          <cell r="J2829">
            <v>2310</v>
          </cell>
          <cell r="K2829" t="str">
            <v>VC01</v>
          </cell>
        </row>
        <row r="2830">
          <cell r="A2830" t="str">
            <v>1AP1NCP1188XJ</v>
          </cell>
          <cell r="B2830" t="str">
            <v>DIP</v>
          </cell>
          <cell r="C2830">
            <v>1</v>
          </cell>
          <cell r="D2830" t="e">
            <v>#N/A</v>
          </cell>
          <cell r="E2830">
            <v>2210</v>
          </cell>
          <cell r="F2830" t="str">
            <v>VC01</v>
          </cell>
          <cell r="G2830" t="str">
            <v>Auto</v>
          </cell>
          <cell r="H2830">
            <v>311</v>
          </cell>
          <cell r="I2830">
            <v>2210</v>
          </cell>
          <cell r="J2830">
            <v>2310</v>
          </cell>
          <cell r="K2830" t="str">
            <v>VC01</v>
          </cell>
        </row>
        <row r="2831">
          <cell r="A2831" t="str">
            <v>1RE1TDA0193V4</v>
          </cell>
          <cell r="B2831" t="str">
            <v>SMT</v>
          </cell>
          <cell r="C2831">
            <v>1</v>
          </cell>
          <cell r="D2831">
            <v>189</v>
          </cell>
        </row>
        <row r="2832">
          <cell r="A2832" t="str">
            <v>1RE2TDA0193V4</v>
          </cell>
          <cell r="B2832" t="str">
            <v>SMT</v>
          </cell>
          <cell r="C2832">
            <v>1</v>
          </cell>
          <cell r="D2832">
            <v>87</v>
          </cell>
          <cell r="E2832">
            <v>2210</v>
          </cell>
          <cell r="F2832" t="str">
            <v>VC01</v>
          </cell>
          <cell r="G2832" t="str">
            <v>Auto</v>
          </cell>
          <cell r="H2832">
            <v>311</v>
          </cell>
          <cell r="I2832">
            <v>2210</v>
          </cell>
          <cell r="J2832">
            <v>2310</v>
          </cell>
          <cell r="K2832" t="str">
            <v>VC01</v>
          </cell>
        </row>
        <row r="2833">
          <cell r="A2833" t="str">
            <v>1AP1TDA0193V4</v>
          </cell>
          <cell r="B2833" t="str">
            <v>DIP</v>
          </cell>
          <cell r="C2833">
            <v>1</v>
          </cell>
          <cell r="D2833" t="e">
            <v>#N/A</v>
          </cell>
          <cell r="E2833">
            <v>2210</v>
          </cell>
          <cell r="F2833" t="str">
            <v>VC01</v>
          </cell>
          <cell r="G2833" t="str">
            <v>Auto</v>
          </cell>
          <cell r="H2833">
            <v>311</v>
          </cell>
          <cell r="I2833">
            <v>2210</v>
          </cell>
          <cell r="J2833">
            <v>2310</v>
          </cell>
          <cell r="K2833" t="str">
            <v>VC01</v>
          </cell>
        </row>
        <row r="2834">
          <cell r="A2834" t="str">
            <v>AEFF334PCB40-0RAZ</v>
          </cell>
          <cell r="B2834" t="str">
            <v>SMT</v>
          </cell>
          <cell r="C2834">
            <v>1</v>
          </cell>
          <cell r="D2834">
            <v>24</v>
          </cell>
        </row>
        <row r="2835">
          <cell r="A2835" t="str">
            <v>RHFF334PCB40-0RAZ</v>
          </cell>
          <cell r="B2835" t="str">
            <v>SMT</v>
          </cell>
          <cell r="C2835">
            <v>1</v>
          </cell>
          <cell r="D2835">
            <v>23</v>
          </cell>
        </row>
        <row r="2836">
          <cell r="A2836" t="str">
            <v>CMRF334PCB40-0RAZ</v>
          </cell>
          <cell r="B2836" t="str">
            <v>SMT</v>
          </cell>
          <cell r="C2836">
            <v>1</v>
          </cell>
          <cell r="D2836">
            <v>49</v>
          </cell>
        </row>
        <row r="2837">
          <cell r="A2837" t="str">
            <v>HNDF334PCB40-0RAZ</v>
          </cell>
          <cell r="B2837" t="str">
            <v>DIP</v>
          </cell>
          <cell r="C2837">
            <v>1</v>
          </cell>
          <cell r="D2837" t="e">
            <v>#N/A</v>
          </cell>
          <cell r="E2837">
            <v>2210</v>
          </cell>
          <cell r="F2837" t="str">
            <v>VC01</v>
          </cell>
          <cell r="G2837" t="str">
            <v>Auto</v>
          </cell>
          <cell r="H2837">
            <v>311</v>
          </cell>
          <cell r="I2837">
            <v>2210</v>
          </cell>
          <cell r="J2837">
            <v>2250</v>
          </cell>
          <cell r="K2837" t="str">
            <v>VC01</v>
          </cell>
        </row>
        <row r="2838">
          <cell r="A2838" t="str">
            <v>1VI1LPMB2123CNMZA</v>
          </cell>
          <cell r="B2838" t="str">
            <v>SMT</v>
          </cell>
          <cell r="C2838">
            <v>1</v>
          </cell>
          <cell r="D2838" t="e">
            <v>#N/A</v>
          </cell>
        </row>
        <row r="2839">
          <cell r="A2839" t="str">
            <v>1RE1LPMB2123CNMZA</v>
          </cell>
          <cell r="B2839" t="str">
            <v>SMT</v>
          </cell>
          <cell r="C2839">
            <v>1</v>
          </cell>
          <cell r="D2839">
            <v>272</v>
          </cell>
        </row>
        <row r="2840">
          <cell r="A2840" t="str">
            <v>1RE2LPMB2123CNMZA</v>
          </cell>
          <cell r="B2840" t="str">
            <v>SMT</v>
          </cell>
          <cell r="C2840">
            <v>1</v>
          </cell>
          <cell r="D2840">
            <v>347</v>
          </cell>
        </row>
        <row r="2841">
          <cell r="A2841" t="str">
            <v>1RH1LPMB2123CNMZA</v>
          </cell>
          <cell r="B2841" t="str">
            <v>SMT</v>
          </cell>
          <cell r="C2841">
            <v>1</v>
          </cell>
          <cell r="D2841">
            <v>6</v>
          </cell>
          <cell r="E2841">
            <v>2210</v>
          </cell>
          <cell r="F2841" t="str">
            <v>VC01</v>
          </cell>
          <cell r="G2841" t="str">
            <v>Auto</v>
          </cell>
          <cell r="H2841">
            <v>311</v>
          </cell>
          <cell r="I2841">
            <v>2210</v>
          </cell>
          <cell r="J2841">
            <v>2260</v>
          </cell>
          <cell r="K2841" t="str">
            <v>VC01</v>
          </cell>
        </row>
        <row r="2842">
          <cell r="A2842" t="str">
            <v>1AP1LPMB2123CNMZA</v>
          </cell>
          <cell r="B2842" t="str">
            <v>DIP</v>
          </cell>
          <cell r="C2842">
            <v>1</v>
          </cell>
          <cell r="D2842" t="e">
            <v>#N/A</v>
          </cell>
          <cell r="E2842">
            <v>2210</v>
          </cell>
          <cell r="F2842" t="str">
            <v>VC01</v>
          </cell>
          <cell r="G2842" t="str">
            <v>Auto</v>
          </cell>
          <cell r="H2842">
            <v>311</v>
          </cell>
          <cell r="I2842">
            <v>2210</v>
          </cell>
          <cell r="J2842">
            <v>2260</v>
          </cell>
          <cell r="K2842" t="str">
            <v>VC01</v>
          </cell>
        </row>
        <row r="2843">
          <cell r="A2843" t="str">
            <v>1RE1LPTPA68R-S1</v>
          </cell>
          <cell r="B2843" t="str">
            <v>SMT</v>
          </cell>
          <cell r="C2843">
            <v>1</v>
          </cell>
          <cell r="D2843" t="e">
            <v>#N/A</v>
          </cell>
        </row>
        <row r="2844">
          <cell r="A2844" t="str">
            <v>1RE2LPTPA68R-S1</v>
          </cell>
          <cell r="B2844" t="str">
            <v>SMT</v>
          </cell>
          <cell r="C2844">
            <v>1</v>
          </cell>
          <cell r="D2844" t="e">
            <v>#N/A</v>
          </cell>
        </row>
        <row r="2845">
          <cell r="A2845" t="str">
            <v>1AP1LPTPA68R-S1</v>
          </cell>
          <cell r="B2845" t="str">
            <v>DIP</v>
          </cell>
          <cell r="C2845">
            <v>1</v>
          </cell>
          <cell r="D2845" t="e">
            <v>#N/A</v>
          </cell>
          <cell r="E2845">
            <v>2210</v>
          </cell>
        </row>
        <row r="2846">
          <cell r="A2846" t="str">
            <v>1VJ1LPPU100NMZA-R1</v>
          </cell>
          <cell r="B2846" t="str">
            <v>SMT</v>
          </cell>
          <cell r="C2846">
            <v>1</v>
          </cell>
          <cell r="D2846" t="e">
            <v>#N/A</v>
          </cell>
        </row>
        <row r="2847">
          <cell r="A2847" t="str">
            <v>1RE1LPPU100GMZA-R1</v>
          </cell>
          <cell r="B2847" t="str">
            <v>SMT</v>
          </cell>
          <cell r="C2847">
            <v>1</v>
          </cell>
          <cell r="D2847">
            <v>167</v>
          </cell>
        </row>
        <row r="2848">
          <cell r="A2848" t="str">
            <v>1RE2LPPU100GMZA-R1</v>
          </cell>
          <cell r="B2848" t="str">
            <v>SMT</v>
          </cell>
          <cell r="C2848">
            <v>1</v>
          </cell>
          <cell r="D2848">
            <v>190</v>
          </cell>
        </row>
        <row r="2849">
          <cell r="A2849" t="str">
            <v>PNLPPU100GMZA-R1V4</v>
          </cell>
          <cell r="B2849" t="str">
            <v>SMT</v>
          </cell>
          <cell r="C2849">
            <v>1</v>
          </cell>
          <cell r="D2849" t="e">
            <v>#N/A</v>
          </cell>
        </row>
        <row r="2850">
          <cell r="A2850" t="str">
            <v>1RE1LPPU100GPZA-R1</v>
          </cell>
          <cell r="B2850" t="str">
            <v>SMT</v>
          </cell>
          <cell r="C2850">
            <v>1</v>
          </cell>
          <cell r="D2850">
            <v>14</v>
          </cell>
        </row>
        <row r="2851">
          <cell r="A2851" t="str">
            <v>1CM1LPPU100GPZA-R1</v>
          </cell>
          <cell r="B2851" t="str">
            <v>SMT</v>
          </cell>
          <cell r="C2851">
            <v>1</v>
          </cell>
          <cell r="D2851">
            <v>28</v>
          </cell>
        </row>
        <row r="2852">
          <cell r="A2852" t="str">
            <v>PNLPPU100GPZA-R1V4</v>
          </cell>
          <cell r="B2852" t="str">
            <v>SMT</v>
          </cell>
          <cell r="C2852">
            <v>1</v>
          </cell>
          <cell r="D2852" t="e">
            <v>#N/A</v>
          </cell>
        </row>
        <row r="2853">
          <cell r="A2853" t="str">
            <v>1RE1LPPU100NMZA-R1</v>
          </cell>
          <cell r="B2853" t="str">
            <v>SMT</v>
          </cell>
          <cell r="C2853">
            <v>1</v>
          </cell>
          <cell r="D2853">
            <v>167</v>
          </cell>
        </row>
        <row r="2854">
          <cell r="A2854" t="str">
            <v>1RE2LPPU100NMZA-R1</v>
          </cell>
          <cell r="B2854" t="str">
            <v>SMT</v>
          </cell>
          <cell r="C2854">
            <v>1</v>
          </cell>
          <cell r="D2854">
            <v>190</v>
          </cell>
        </row>
        <row r="2855">
          <cell r="A2855" t="str">
            <v>PNLPPU100NMZA-R1V4</v>
          </cell>
          <cell r="B2855" t="str">
            <v>SMT</v>
          </cell>
          <cell r="C2855">
            <v>1</v>
          </cell>
          <cell r="D2855" t="e">
            <v>#N/A</v>
          </cell>
        </row>
        <row r="2856">
          <cell r="A2856" t="str">
            <v>1RE1LPPU100NPZA-R1</v>
          </cell>
          <cell r="B2856" t="str">
            <v>SMT</v>
          </cell>
          <cell r="C2856">
            <v>1</v>
          </cell>
          <cell r="D2856">
            <v>14</v>
          </cell>
        </row>
        <row r="2857">
          <cell r="A2857" t="str">
            <v>1CM1LPPU100NPZA-R1</v>
          </cell>
          <cell r="B2857" t="str">
            <v>SMT</v>
          </cell>
          <cell r="C2857">
            <v>1</v>
          </cell>
          <cell r="D2857">
            <v>26</v>
          </cell>
        </row>
        <row r="2858">
          <cell r="A2858" t="str">
            <v>PNLPPU100NPZA-R1V4</v>
          </cell>
          <cell r="B2858" t="str">
            <v>SMT</v>
          </cell>
          <cell r="C2858">
            <v>1</v>
          </cell>
          <cell r="D2858" t="e">
            <v>#N/A</v>
          </cell>
        </row>
        <row r="2859">
          <cell r="A2859" t="str">
            <v>PNLPPU101NMZA-R1V4</v>
          </cell>
          <cell r="B2859" t="str">
            <v>SMT</v>
          </cell>
          <cell r="C2859">
            <v>1</v>
          </cell>
          <cell r="D2859" t="e">
            <v>#N/A</v>
          </cell>
        </row>
        <row r="2860">
          <cell r="A2860" t="str">
            <v>PNLPPU101NPZA-R1V4</v>
          </cell>
          <cell r="B2860" t="str">
            <v>SMT</v>
          </cell>
          <cell r="C2860">
            <v>1</v>
          </cell>
          <cell r="D2860" t="e">
            <v>#N/A</v>
          </cell>
        </row>
        <row r="2861">
          <cell r="A2861" t="str">
            <v>1RE1LPPU102NPZA-R1</v>
          </cell>
          <cell r="B2861" t="str">
            <v>SMT</v>
          </cell>
          <cell r="C2861">
            <v>1</v>
          </cell>
          <cell r="D2861">
            <v>14</v>
          </cell>
        </row>
        <row r="2862">
          <cell r="A2862" t="str">
            <v>1CM1LPPU102NPZA-R1</v>
          </cell>
          <cell r="B2862" t="str">
            <v>SMT</v>
          </cell>
          <cell r="C2862">
            <v>1</v>
          </cell>
          <cell r="D2862">
            <v>26</v>
          </cell>
        </row>
        <row r="2863">
          <cell r="A2863" t="str">
            <v>PNLPPU102NPZA-R1V4</v>
          </cell>
          <cell r="B2863" t="str">
            <v>SMT</v>
          </cell>
          <cell r="C2863">
            <v>1</v>
          </cell>
          <cell r="D2863" t="e">
            <v>#N/A</v>
          </cell>
        </row>
        <row r="2864">
          <cell r="A2864" t="str">
            <v>PNLPPU103NPZA-R1V4</v>
          </cell>
          <cell r="B2864" t="str">
            <v>SMT</v>
          </cell>
          <cell r="C2864">
            <v>1</v>
          </cell>
          <cell r="D2864" t="e">
            <v>#N/A</v>
          </cell>
        </row>
        <row r="2865">
          <cell r="A2865" t="str">
            <v>1RE1TDA0181V4</v>
          </cell>
          <cell r="B2865" t="str">
            <v>SMT</v>
          </cell>
          <cell r="C2865">
            <v>1</v>
          </cell>
          <cell r="D2865">
            <v>894</v>
          </cell>
        </row>
        <row r="2866">
          <cell r="A2866" t="str">
            <v>1RE2TDA0181V4</v>
          </cell>
          <cell r="B2866" t="str">
            <v>SMT</v>
          </cell>
          <cell r="C2866">
            <v>1</v>
          </cell>
          <cell r="D2866">
            <v>428</v>
          </cell>
        </row>
        <row r="2867">
          <cell r="A2867" t="str">
            <v>1RH1TDA0181V4</v>
          </cell>
          <cell r="B2867" t="str">
            <v>SMT</v>
          </cell>
          <cell r="C2867">
            <v>1</v>
          </cell>
          <cell r="D2867">
            <v>14</v>
          </cell>
          <cell r="E2867">
            <v>2210</v>
          </cell>
          <cell r="F2867" t="str">
            <v>VC01</v>
          </cell>
          <cell r="G2867" t="str">
            <v>Auto</v>
          </cell>
          <cell r="H2867">
            <v>311</v>
          </cell>
          <cell r="I2867">
            <v>2210</v>
          </cell>
          <cell r="J2867">
            <v>2310</v>
          </cell>
          <cell r="K2867" t="str">
            <v>VC01</v>
          </cell>
        </row>
        <row r="2868">
          <cell r="A2868" t="str">
            <v>1AP1TDA0181V4</v>
          </cell>
          <cell r="B2868" t="str">
            <v>DIP</v>
          </cell>
          <cell r="C2868">
            <v>1</v>
          </cell>
          <cell r="D2868" t="e">
            <v>#N/A</v>
          </cell>
          <cell r="E2868">
            <v>2210</v>
          </cell>
          <cell r="F2868" t="str">
            <v>VC01</v>
          </cell>
          <cell r="G2868" t="str">
            <v>Auto</v>
          </cell>
          <cell r="H2868">
            <v>311</v>
          </cell>
          <cell r="I2868">
            <v>2210</v>
          </cell>
          <cell r="J2868">
            <v>2310</v>
          </cell>
          <cell r="K2868" t="str">
            <v>VC01</v>
          </cell>
        </row>
        <row r="2869">
          <cell r="A2869" t="str">
            <v>1VI1PSLP1578ZA</v>
          </cell>
          <cell r="B2869" t="str">
            <v>SMT</v>
          </cell>
          <cell r="C2869">
            <v>1</v>
          </cell>
          <cell r="D2869" t="e">
            <v>#N/A</v>
          </cell>
        </row>
        <row r="2870">
          <cell r="A2870" t="str">
            <v>1VI2PSLP1578ZA</v>
          </cell>
          <cell r="B2870" t="str">
            <v>SMT</v>
          </cell>
          <cell r="C2870">
            <v>1</v>
          </cell>
          <cell r="D2870" t="e">
            <v>#N/A</v>
          </cell>
        </row>
        <row r="2871">
          <cell r="A2871" t="str">
            <v>1CM1PSLP1578ZA</v>
          </cell>
          <cell r="B2871" t="str">
            <v>SMT</v>
          </cell>
          <cell r="C2871">
            <v>1</v>
          </cell>
          <cell r="D2871">
            <v>608</v>
          </cell>
        </row>
        <row r="2872">
          <cell r="A2872" t="str">
            <v>1RE2PSLP1578ZA</v>
          </cell>
          <cell r="B2872" t="str">
            <v>SMT</v>
          </cell>
          <cell r="C2872">
            <v>1</v>
          </cell>
          <cell r="D2872">
            <v>807</v>
          </cell>
        </row>
        <row r="2873">
          <cell r="A2873" t="str">
            <v>1RH1PSLP1578ZA</v>
          </cell>
          <cell r="B2873" t="str">
            <v>SMT</v>
          </cell>
          <cell r="C2873">
            <v>1</v>
          </cell>
          <cell r="D2873">
            <v>6</v>
          </cell>
          <cell r="E2873">
            <v>2210</v>
          </cell>
          <cell r="F2873" t="str">
            <v>VC01</v>
          </cell>
          <cell r="G2873" t="str">
            <v>Auto</v>
          </cell>
          <cell r="H2873">
            <v>311</v>
          </cell>
          <cell r="I2873">
            <v>2210</v>
          </cell>
          <cell r="J2873">
            <v>2310</v>
          </cell>
          <cell r="K2873" t="str">
            <v>VC01</v>
          </cell>
        </row>
        <row r="2874">
          <cell r="A2874" t="str">
            <v>1AP1PSLP1578ZA</v>
          </cell>
          <cell r="B2874" t="str">
            <v>DIP</v>
          </cell>
          <cell r="C2874">
            <v>1</v>
          </cell>
          <cell r="D2874" t="e">
            <v>#N/A</v>
          </cell>
          <cell r="E2874">
            <v>2210</v>
          </cell>
          <cell r="F2874" t="str">
            <v>VC01</v>
          </cell>
          <cell r="G2874" t="str">
            <v>Auto</v>
          </cell>
          <cell r="H2874">
            <v>311</v>
          </cell>
          <cell r="I2874">
            <v>2210</v>
          </cell>
          <cell r="J2874">
            <v>2310</v>
          </cell>
          <cell r="K2874" t="str">
            <v>VC01</v>
          </cell>
        </row>
        <row r="2875">
          <cell r="A2875" t="str">
            <v>1VI1PSLP1612YA</v>
          </cell>
          <cell r="B2875" t="str">
            <v>SMT</v>
          </cell>
          <cell r="C2875">
            <v>1</v>
          </cell>
          <cell r="D2875" t="e">
            <v>#N/A</v>
          </cell>
        </row>
        <row r="2876">
          <cell r="A2876" t="str">
            <v>1RE1PSLP1612YA</v>
          </cell>
          <cell r="B2876" t="str">
            <v>SMT</v>
          </cell>
          <cell r="C2876">
            <v>1</v>
          </cell>
          <cell r="D2876">
            <v>703</v>
          </cell>
          <cell r="E2876">
            <v>2210</v>
          </cell>
          <cell r="F2876" t="str">
            <v>VC01</v>
          </cell>
          <cell r="G2876" t="str">
            <v>Auto</v>
          </cell>
          <cell r="H2876">
            <v>311</v>
          </cell>
          <cell r="I2876">
            <v>2210</v>
          </cell>
          <cell r="J2876">
            <v>2220</v>
          </cell>
          <cell r="K2876" t="str">
            <v>VC01</v>
          </cell>
        </row>
        <row r="2877">
          <cell r="A2877" t="str">
            <v>1AP1PSLP1612YA</v>
          </cell>
          <cell r="B2877" t="str">
            <v>DIP</v>
          </cell>
          <cell r="C2877">
            <v>1</v>
          </cell>
          <cell r="D2877" t="e">
            <v>#N/A</v>
          </cell>
          <cell r="E2877">
            <v>2210</v>
          </cell>
          <cell r="F2877" t="str">
            <v>VC01</v>
          </cell>
          <cell r="G2877" t="str">
            <v>Auto</v>
          </cell>
          <cell r="H2877">
            <v>311</v>
          </cell>
          <cell r="I2877">
            <v>2210</v>
          </cell>
          <cell r="J2877">
            <v>2220</v>
          </cell>
          <cell r="K2877" t="str">
            <v>VC01</v>
          </cell>
        </row>
        <row r="2878">
          <cell r="A2878" t="str">
            <v>1VI1PSLP1401YA</v>
          </cell>
          <cell r="B2878" t="str">
            <v>SMT</v>
          </cell>
          <cell r="C2878">
            <v>1</v>
          </cell>
          <cell r="D2878" t="e">
            <v>#N/A</v>
          </cell>
        </row>
        <row r="2879">
          <cell r="A2879" t="str">
            <v>1RE1PSLP1401YA</v>
          </cell>
          <cell r="B2879" t="str">
            <v>SMT</v>
          </cell>
          <cell r="C2879">
            <v>1</v>
          </cell>
          <cell r="D2879">
            <v>703</v>
          </cell>
          <cell r="E2879">
            <v>2210</v>
          </cell>
          <cell r="F2879" t="str">
            <v>VC01</v>
          </cell>
          <cell r="G2879" t="str">
            <v>Auto</v>
          </cell>
          <cell r="H2879">
            <v>311</v>
          </cell>
          <cell r="I2879">
            <v>2210</v>
          </cell>
          <cell r="J2879">
            <v>2220</v>
          </cell>
          <cell r="K2879" t="str">
            <v>VC01</v>
          </cell>
        </row>
        <row r="2880">
          <cell r="A2880" t="str">
            <v>1AP1PSLP1401YA</v>
          </cell>
          <cell r="B2880" t="str">
            <v>DIP</v>
          </cell>
          <cell r="C2880">
            <v>1</v>
          </cell>
          <cell r="D2880" t="e">
            <v>#N/A</v>
          </cell>
          <cell r="E2880">
            <v>2210</v>
          </cell>
          <cell r="F2880" t="str">
            <v>VC01</v>
          </cell>
          <cell r="G2880" t="str">
            <v>Auto</v>
          </cell>
          <cell r="H2880">
            <v>311</v>
          </cell>
          <cell r="I2880">
            <v>2210</v>
          </cell>
          <cell r="J2880">
            <v>2220</v>
          </cell>
          <cell r="K2880" t="str">
            <v>VC01</v>
          </cell>
        </row>
        <row r="2881">
          <cell r="A2881" t="str">
            <v>1VI1PSLP1464YA</v>
          </cell>
          <cell r="B2881" t="str">
            <v>SMT</v>
          </cell>
          <cell r="C2881">
            <v>1</v>
          </cell>
          <cell r="D2881" t="e">
            <v>#N/A</v>
          </cell>
        </row>
        <row r="2882">
          <cell r="A2882" t="str">
            <v>1RE1PSLP1464YA</v>
          </cell>
          <cell r="B2882" t="str">
            <v>SMT</v>
          </cell>
          <cell r="C2882">
            <v>1</v>
          </cell>
          <cell r="D2882" t="e">
            <v>#N/A</v>
          </cell>
          <cell r="E2882">
            <v>2210</v>
          </cell>
          <cell r="F2882" t="str">
            <v>VC01</v>
          </cell>
          <cell r="G2882" t="str">
            <v>Auto</v>
          </cell>
          <cell r="H2882">
            <v>311</v>
          </cell>
          <cell r="I2882">
            <v>2210</v>
          </cell>
          <cell r="J2882" t="e">
            <v>#N/A</v>
          </cell>
          <cell r="K2882" t="str">
            <v>VC01</v>
          </cell>
        </row>
        <row r="2883">
          <cell r="A2883" t="str">
            <v>1AP1PSLP1464YA</v>
          </cell>
          <cell r="B2883" t="str">
            <v>DIP</v>
          </cell>
          <cell r="C2883">
            <v>1</v>
          </cell>
          <cell r="D2883" t="e">
            <v>#N/A</v>
          </cell>
          <cell r="E2883">
            <v>2210</v>
          </cell>
        </row>
        <row r="2884">
          <cell r="A2884" t="str">
            <v>1RE1NCP1104</v>
          </cell>
          <cell r="B2884" t="str">
            <v>SMT</v>
          </cell>
          <cell r="C2884">
            <v>1</v>
          </cell>
          <cell r="D2884">
            <v>127</v>
          </cell>
        </row>
        <row r="2885">
          <cell r="A2885" t="str">
            <v>1RE2NCP1104</v>
          </cell>
          <cell r="B2885" t="str">
            <v>SMT</v>
          </cell>
          <cell r="C2885">
            <v>1</v>
          </cell>
          <cell r="D2885">
            <v>116</v>
          </cell>
          <cell r="E2885">
            <v>2210</v>
          </cell>
          <cell r="F2885" t="str">
            <v>VC01</v>
          </cell>
          <cell r="G2885" t="str">
            <v>Auto</v>
          </cell>
          <cell r="H2885">
            <v>311</v>
          </cell>
          <cell r="I2885">
            <v>2210</v>
          </cell>
          <cell r="J2885">
            <v>2310</v>
          </cell>
          <cell r="K2885" t="str">
            <v>VC01</v>
          </cell>
        </row>
        <row r="2886">
          <cell r="A2886" t="str">
            <v>1RE1LPFG520RAAXA</v>
          </cell>
          <cell r="B2886" t="str">
            <v>SMT</v>
          </cell>
          <cell r="C2886">
            <v>1</v>
          </cell>
          <cell r="D2886">
            <v>96</v>
          </cell>
        </row>
        <row r="2887">
          <cell r="A2887" t="str">
            <v>1AE1LPFG520RAAXA</v>
          </cell>
          <cell r="B2887" t="str">
            <v>SMT</v>
          </cell>
          <cell r="C2887">
            <v>1</v>
          </cell>
          <cell r="D2887">
            <v>0</v>
          </cell>
        </row>
        <row r="2888">
          <cell r="A2888" t="str">
            <v>1RH1LPFG520RAAXA</v>
          </cell>
          <cell r="B2888" t="str">
            <v>SMT</v>
          </cell>
          <cell r="C2888">
            <v>1</v>
          </cell>
          <cell r="D2888">
            <v>9</v>
          </cell>
          <cell r="E2888">
            <v>2210</v>
          </cell>
          <cell r="F2888" t="str">
            <v>VC01</v>
          </cell>
          <cell r="G2888" t="str">
            <v>Auto</v>
          </cell>
          <cell r="H2888">
            <v>311</v>
          </cell>
          <cell r="I2888">
            <v>2210</v>
          </cell>
          <cell r="J2888">
            <v>2280</v>
          </cell>
          <cell r="K2888" t="str">
            <v>VC01</v>
          </cell>
        </row>
        <row r="2889">
          <cell r="A2889" t="str">
            <v>1AP1LPFG520RAAXA</v>
          </cell>
          <cell r="B2889" t="str">
            <v>DIP</v>
          </cell>
          <cell r="C2889">
            <v>1</v>
          </cell>
          <cell r="D2889" t="e">
            <v>#N/A</v>
          </cell>
          <cell r="E2889">
            <v>2210</v>
          </cell>
        </row>
        <row r="2890">
          <cell r="A2890" t="str">
            <v>1RE1LPFG520RAAWA</v>
          </cell>
          <cell r="B2890" t="str">
            <v>SMT</v>
          </cell>
          <cell r="C2890">
            <v>1</v>
          </cell>
          <cell r="D2890">
            <v>96</v>
          </cell>
        </row>
        <row r="2891">
          <cell r="A2891" t="str">
            <v>1AE1LPFG520RAAWA</v>
          </cell>
          <cell r="B2891" t="str">
            <v>SMT</v>
          </cell>
          <cell r="C2891">
            <v>1</v>
          </cell>
          <cell r="D2891">
            <v>0</v>
          </cell>
        </row>
        <row r="2892">
          <cell r="A2892" t="str">
            <v>1RH1LPFG520RAAWA</v>
          </cell>
          <cell r="B2892" t="str">
            <v>SMT</v>
          </cell>
          <cell r="C2892">
            <v>1</v>
          </cell>
          <cell r="D2892">
            <v>8</v>
          </cell>
          <cell r="E2892">
            <v>2210</v>
          </cell>
          <cell r="F2892" t="str">
            <v>VC01</v>
          </cell>
          <cell r="G2892" t="str">
            <v>Auto</v>
          </cell>
          <cell r="H2892">
            <v>311</v>
          </cell>
          <cell r="I2892">
            <v>2210</v>
          </cell>
          <cell r="J2892">
            <v>2280</v>
          </cell>
          <cell r="K2892" t="str">
            <v>VC01</v>
          </cell>
        </row>
        <row r="2893">
          <cell r="A2893" t="str">
            <v>1AP1LPFG520RAAWA</v>
          </cell>
          <cell r="B2893" t="str">
            <v>DIP</v>
          </cell>
          <cell r="C2893">
            <v>1</v>
          </cell>
          <cell r="D2893" t="e">
            <v>#N/A</v>
          </cell>
          <cell r="E2893">
            <v>2210</v>
          </cell>
          <cell r="F2893" t="str">
            <v>VC01</v>
          </cell>
          <cell r="G2893" t="str">
            <v>Auto</v>
          </cell>
          <cell r="H2893">
            <v>311</v>
          </cell>
          <cell r="I2893">
            <v>2210</v>
          </cell>
          <cell r="J2893">
            <v>2280</v>
          </cell>
          <cell r="K2893" t="str">
            <v>VC01</v>
          </cell>
        </row>
        <row r="2894">
          <cell r="A2894" t="str">
            <v>1VJ1LPNT6301ZA-R1</v>
          </cell>
          <cell r="B2894" t="str">
            <v>SMT</v>
          </cell>
          <cell r="C2894">
            <v>1</v>
          </cell>
          <cell r="D2894" t="e">
            <v>#N/A</v>
          </cell>
        </row>
        <row r="2895">
          <cell r="A2895" t="str">
            <v>1RE1LPNT6301ZA-R1</v>
          </cell>
          <cell r="B2895" t="str">
            <v>SMT</v>
          </cell>
          <cell r="C2895">
            <v>1</v>
          </cell>
          <cell r="D2895">
            <v>97</v>
          </cell>
        </row>
        <row r="2896">
          <cell r="A2896" t="str">
            <v>1RE2LPNT6301ZA-R1</v>
          </cell>
          <cell r="B2896" t="str">
            <v>SMT</v>
          </cell>
          <cell r="C2896">
            <v>1</v>
          </cell>
          <cell r="D2896">
            <v>359</v>
          </cell>
        </row>
        <row r="2897">
          <cell r="A2897" t="str">
            <v>1AP1LPNT6301ZA-R1</v>
          </cell>
          <cell r="B2897" t="str">
            <v>DIP</v>
          </cell>
          <cell r="C2897">
            <v>1</v>
          </cell>
          <cell r="D2897" t="e">
            <v>#N/A</v>
          </cell>
          <cell r="E2897">
            <v>2210</v>
          </cell>
        </row>
        <row r="2898">
          <cell r="A2898" t="str">
            <v>1VJ1TDA6174XEU</v>
          </cell>
          <cell r="B2898" t="str">
            <v>SMT</v>
          </cell>
          <cell r="C2898">
            <v>1</v>
          </cell>
          <cell r="D2898" t="e">
            <v>#N/A</v>
          </cell>
        </row>
        <row r="2899">
          <cell r="A2899" t="str">
            <v>1RE1TDA6174XEU</v>
          </cell>
          <cell r="B2899" t="str">
            <v>SMT</v>
          </cell>
          <cell r="C2899">
            <v>1</v>
          </cell>
          <cell r="D2899">
            <v>225</v>
          </cell>
        </row>
        <row r="2900">
          <cell r="A2900" t="str">
            <v>1RE2TDA6174XEU</v>
          </cell>
          <cell r="B2900" t="str">
            <v>SMT</v>
          </cell>
          <cell r="C2900">
            <v>1</v>
          </cell>
          <cell r="D2900">
            <v>416</v>
          </cell>
        </row>
        <row r="2901">
          <cell r="A2901" t="str">
            <v>1RH1TDA6174XEU</v>
          </cell>
          <cell r="B2901" t="str">
            <v>SMT</v>
          </cell>
          <cell r="C2901">
            <v>1</v>
          </cell>
          <cell r="D2901">
            <v>101</v>
          </cell>
          <cell r="E2901">
            <v>2210</v>
          </cell>
          <cell r="F2901" t="str">
            <v>VC01</v>
          </cell>
          <cell r="G2901" t="str">
            <v>Auto</v>
          </cell>
          <cell r="H2901">
            <v>311</v>
          </cell>
          <cell r="I2901">
            <v>2210</v>
          </cell>
          <cell r="J2901">
            <v>2310</v>
          </cell>
          <cell r="K2901" t="str">
            <v>VC01</v>
          </cell>
        </row>
        <row r="2902">
          <cell r="A2902" t="str">
            <v>1AP1TDA6174XEU</v>
          </cell>
          <cell r="B2902" t="str">
            <v>DIP</v>
          </cell>
          <cell r="C2902">
            <v>1</v>
          </cell>
          <cell r="D2902" t="e">
            <v>#N/A</v>
          </cell>
          <cell r="E2902">
            <v>2210</v>
          </cell>
          <cell r="F2902" t="str">
            <v>VC01</v>
          </cell>
          <cell r="G2902" t="str">
            <v>Auto</v>
          </cell>
          <cell r="H2902">
            <v>311</v>
          </cell>
          <cell r="I2902">
            <v>2210</v>
          </cell>
          <cell r="J2902">
            <v>2310</v>
          </cell>
          <cell r="K2902" t="str">
            <v>VC01</v>
          </cell>
        </row>
        <row r="2903">
          <cell r="A2903" t="str">
            <v>1CM1PSLP1476ZA</v>
          </cell>
          <cell r="B2903" t="str">
            <v>SMT</v>
          </cell>
          <cell r="C2903">
            <v>1</v>
          </cell>
          <cell r="D2903">
            <v>10</v>
          </cell>
          <cell r="E2903">
            <v>2210</v>
          </cell>
          <cell r="F2903" t="str">
            <v>VC01</v>
          </cell>
          <cell r="G2903" t="str">
            <v>Auto</v>
          </cell>
          <cell r="H2903">
            <v>311</v>
          </cell>
          <cell r="I2903">
            <v>2210</v>
          </cell>
          <cell r="J2903">
            <v>2310</v>
          </cell>
          <cell r="K2903" t="str">
            <v>VC01</v>
          </cell>
        </row>
        <row r="2904">
          <cell r="A2904" t="str">
            <v>1AP1PSLP1476ZA</v>
          </cell>
          <cell r="B2904" t="str">
            <v>DIP</v>
          </cell>
          <cell r="C2904">
            <v>1</v>
          </cell>
          <cell r="D2904" t="e">
            <v>#N/A</v>
          </cell>
          <cell r="E2904">
            <v>2210</v>
          </cell>
          <cell r="F2904" t="str">
            <v>VC01</v>
          </cell>
          <cell r="G2904" t="str">
            <v>Auto</v>
          </cell>
          <cell r="H2904">
            <v>311</v>
          </cell>
          <cell r="I2904">
            <v>2210</v>
          </cell>
          <cell r="J2904">
            <v>2310</v>
          </cell>
          <cell r="K2904" t="str">
            <v>VC01</v>
          </cell>
        </row>
        <row r="2905">
          <cell r="A2905" t="str">
            <v>1VI1LPPU100NMZA</v>
          </cell>
          <cell r="B2905" t="str">
            <v>SMT</v>
          </cell>
          <cell r="C2905">
            <v>1</v>
          </cell>
          <cell r="D2905" t="e">
            <v>#N/A</v>
          </cell>
        </row>
        <row r="2906">
          <cell r="A2906" t="str">
            <v>PNLB2764ZA-WK</v>
          </cell>
          <cell r="B2906" t="str">
            <v>SMT</v>
          </cell>
          <cell r="C2906">
            <v>1</v>
          </cell>
          <cell r="D2906" t="e">
            <v>#N/A</v>
          </cell>
        </row>
        <row r="2907">
          <cell r="A2907" t="str">
            <v>1RE1LPPU100NMZA</v>
          </cell>
          <cell r="B2907" t="str">
            <v>SMT</v>
          </cell>
          <cell r="C2907">
            <v>1</v>
          </cell>
          <cell r="D2907">
            <v>167</v>
          </cell>
        </row>
        <row r="2908">
          <cell r="A2908" t="str">
            <v>1RE2LPPU100NMZA</v>
          </cell>
          <cell r="B2908" t="str">
            <v>SMT</v>
          </cell>
          <cell r="C2908">
            <v>1</v>
          </cell>
          <cell r="D2908">
            <v>190</v>
          </cell>
          <cell r="E2908">
            <v>2210</v>
          </cell>
          <cell r="F2908" t="str">
            <v>VC01</v>
          </cell>
          <cell r="G2908" t="str">
            <v>Auto</v>
          </cell>
          <cell r="H2908">
            <v>311</v>
          </cell>
          <cell r="I2908">
            <v>2210</v>
          </cell>
          <cell r="J2908" t="str">
            <v>23p1</v>
          </cell>
          <cell r="K2908" t="str">
            <v>VC01</v>
          </cell>
        </row>
        <row r="2909">
          <cell r="A2909" t="str">
            <v>PNLPPU100NMZA-V4</v>
          </cell>
          <cell r="B2909" t="str">
            <v>DIP</v>
          </cell>
          <cell r="C2909">
            <v>1</v>
          </cell>
          <cell r="D2909" t="e">
            <v>#N/A</v>
          </cell>
          <cell r="E2909">
            <v>2210</v>
          </cell>
          <cell r="F2909" t="str">
            <v>VC01</v>
          </cell>
          <cell r="G2909" t="str">
            <v>Auto</v>
          </cell>
          <cell r="H2909">
            <v>311</v>
          </cell>
          <cell r="I2909">
            <v>2210</v>
          </cell>
          <cell r="J2909" t="str">
            <v>23p1</v>
          </cell>
          <cell r="K2909" t="str">
            <v>VC01</v>
          </cell>
        </row>
        <row r="2910">
          <cell r="A2910" t="str">
            <v>PNLB2765ZA-WK</v>
          </cell>
          <cell r="B2910" t="str">
            <v>SMT</v>
          </cell>
          <cell r="C2910">
            <v>1</v>
          </cell>
          <cell r="D2910" t="e">
            <v>#N/A</v>
          </cell>
        </row>
        <row r="2911">
          <cell r="A2911" t="str">
            <v>1RE1LPPU100NPZA</v>
          </cell>
          <cell r="B2911" t="str">
            <v>SMT</v>
          </cell>
          <cell r="C2911">
            <v>1</v>
          </cell>
          <cell r="D2911">
            <v>14</v>
          </cell>
        </row>
        <row r="2912">
          <cell r="A2912" t="str">
            <v>1CM1LPPU100NPZA</v>
          </cell>
          <cell r="B2912" t="str">
            <v>SMT</v>
          </cell>
          <cell r="C2912">
            <v>1</v>
          </cell>
          <cell r="D2912">
            <v>26</v>
          </cell>
          <cell r="E2912">
            <v>2210</v>
          </cell>
          <cell r="F2912" t="str">
            <v>VC01</v>
          </cell>
          <cell r="G2912" t="str">
            <v>Auto</v>
          </cell>
          <cell r="H2912">
            <v>311</v>
          </cell>
          <cell r="I2912">
            <v>2210</v>
          </cell>
          <cell r="J2912" t="str">
            <v>23p1</v>
          </cell>
          <cell r="K2912" t="str">
            <v>VC01</v>
          </cell>
        </row>
        <row r="2913">
          <cell r="A2913" t="str">
            <v>PNLPPU100NPZA-V4</v>
          </cell>
          <cell r="B2913" t="str">
            <v>DIP</v>
          </cell>
          <cell r="C2913">
            <v>1</v>
          </cell>
          <cell r="D2913" t="e">
            <v>#N/A</v>
          </cell>
          <cell r="E2913">
            <v>2210</v>
          </cell>
          <cell r="F2913" t="str">
            <v>VC01</v>
          </cell>
          <cell r="G2913" t="str">
            <v>Auto</v>
          </cell>
          <cell r="H2913">
            <v>311</v>
          </cell>
          <cell r="I2913">
            <v>2210</v>
          </cell>
          <cell r="J2913" t="str">
            <v>23p1</v>
          </cell>
          <cell r="K2913" t="str">
            <v>VC01</v>
          </cell>
        </row>
        <row r="2914">
          <cell r="A2914" t="str">
            <v>PNLB2775ZA-WK</v>
          </cell>
          <cell r="B2914" t="str">
            <v>SMT</v>
          </cell>
          <cell r="C2914">
            <v>1</v>
          </cell>
          <cell r="D2914" t="e">
            <v>#N/A</v>
          </cell>
        </row>
        <row r="2915">
          <cell r="A2915" t="str">
            <v>1RE1LPPU102NPZA</v>
          </cell>
          <cell r="B2915" t="str">
            <v>SMT</v>
          </cell>
          <cell r="C2915">
            <v>1</v>
          </cell>
          <cell r="D2915">
            <v>14</v>
          </cell>
        </row>
        <row r="2916">
          <cell r="A2916" t="str">
            <v>1CM1LPPU102NPZA</v>
          </cell>
          <cell r="B2916" t="str">
            <v>SMT</v>
          </cell>
          <cell r="C2916">
            <v>1</v>
          </cell>
          <cell r="D2916">
            <v>26</v>
          </cell>
          <cell r="E2916">
            <v>2210</v>
          </cell>
          <cell r="F2916" t="str">
            <v>VC01</v>
          </cell>
          <cell r="G2916" t="str">
            <v>Auto</v>
          </cell>
          <cell r="H2916">
            <v>311</v>
          </cell>
          <cell r="I2916">
            <v>2210</v>
          </cell>
          <cell r="J2916" t="str">
            <v>23p1</v>
          </cell>
          <cell r="K2916" t="str">
            <v>VC01</v>
          </cell>
        </row>
        <row r="2917">
          <cell r="A2917" t="str">
            <v>PNLPPU102NPZA-V4</v>
          </cell>
          <cell r="B2917" t="str">
            <v>DIP</v>
          </cell>
          <cell r="C2917">
            <v>1</v>
          </cell>
          <cell r="D2917" t="e">
            <v>#N/A</v>
          </cell>
          <cell r="E2917">
            <v>2210</v>
          </cell>
          <cell r="F2917" t="str">
            <v>VC01</v>
          </cell>
          <cell r="G2917" t="str">
            <v>Auto</v>
          </cell>
          <cell r="H2917">
            <v>311</v>
          </cell>
          <cell r="I2917">
            <v>2210</v>
          </cell>
          <cell r="J2917" t="str">
            <v>23p1</v>
          </cell>
          <cell r="K2917" t="str">
            <v>VC01</v>
          </cell>
        </row>
        <row r="2918">
          <cell r="A2918" t="str">
            <v>1VI1LPFG510RCMZC</v>
          </cell>
          <cell r="B2918" t="str">
            <v>SMT</v>
          </cell>
          <cell r="C2918">
            <v>1</v>
          </cell>
          <cell r="D2918" t="e">
            <v>#N/A</v>
          </cell>
        </row>
        <row r="2919">
          <cell r="A2919" t="str">
            <v>1RE1LPFG510RCMZC</v>
          </cell>
          <cell r="B2919" t="str">
            <v>SMT</v>
          </cell>
          <cell r="C2919">
            <v>1</v>
          </cell>
          <cell r="D2919">
            <v>200</v>
          </cell>
        </row>
        <row r="2920">
          <cell r="A2920" t="str">
            <v>1RE2LPFG510RCMZC</v>
          </cell>
          <cell r="B2920" t="str">
            <v>SMT</v>
          </cell>
          <cell r="C2920">
            <v>1</v>
          </cell>
          <cell r="D2920">
            <v>168</v>
          </cell>
          <cell r="E2920">
            <v>2210</v>
          </cell>
          <cell r="F2920" t="str">
            <v>VC01</v>
          </cell>
          <cell r="G2920" t="str">
            <v>Auto</v>
          </cell>
          <cell r="H2920">
            <v>311</v>
          </cell>
          <cell r="I2920">
            <v>2210</v>
          </cell>
          <cell r="J2920">
            <v>2280</v>
          </cell>
          <cell r="K2920" t="str">
            <v>VC01</v>
          </cell>
        </row>
        <row r="2921">
          <cell r="A2921" t="str">
            <v>1AP1LPFG510RCMZC</v>
          </cell>
          <cell r="B2921" t="str">
            <v>DIP</v>
          </cell>
          <cell r="C2921">
            <v>1</v>
          </cell>
          <cell r="D2921" t="e">
            <v>#N/A</v>
          </cell>
          <cell r="E2921">
            <v>2210</v>
          </cell>
          <cell r="F2921" t="str">
            <v>VC01</v>
          </cell>
          <cell r="G2921" t="str">
            <v>Auto</v>
          </cell>
          <cell r="H2921">
            <v>311</v>
          </cell>
          <cell r="I2921">
            <v>2210</v>
          </cell>
          <cell r="J2921">
            <v>2280</v>
          </cell>
          <cell r="K2921" t="str">
            <v>VC01</v>
          </cell>
        </row>
        <row r="2922">
          <cell r="A2922" t="str">
            <v>1RE1334PCB00-AREB</v>
          </cell>
          <cell r="B2922" t="str">
            <v>SMT</v>
          </cell>
          <cell r="C2922">
            <v>1</v>
          </cell>
          <cell r="D2922">
            <v>485</v>
          </cell>
        </row>
        <row r="2923">
          <cell r="A2923" t="str">
            <v>1CM1334PCB00-AREB</v>
          </cell>
          <cell r="B2923" t="str">
            <v>SMT</v>
          </cell>
          <cell r="C2923">
            <v>1</v>
          </cell>
          <cell r="D2923">
            <v>301</v>
          </cell>
        </row>
        <row r="2924">
          <cell r="A2924" t="str">
            <v>1RH1334PCB00-AREB</v>
          </cell>
          <cell r="B2924" t="str">
            <v>SMT</v>
          </cell>
          <cell r="C2924">
            <v>1</v>
          </cell>
          <cell r="D2924">
            <v>10</v>
          </cell>
          <cell r="E2924">
            <v>2210</v>
          </cell>
          <cell r="F2924" t="str">
            <v>VC01</v>
          </cell>
          <cell r="G2924" t="str">
            <v>Auto</v>
          </cell>
          <cell r="H2924">
            <v>311</v>
          </cell>
          <cell r="I2924">
            <v>2210</v>
          </cell>
          <cell r="J2924" t="e">
            <v>#N/A</v>
          </cell>
          <cell r="K2924" t="str">
            <v>VC01</v>
          </cell>
        </row>
        <row r="2925">
          <cell r="A2925" t="str">
            <v>1AP1334PCB00-AREB</v>
          </cell>
          <cell r="B2925" t="str">
            <v>DIP</v>
          </cell>
          <cell r="C2925">
            <v>1</v>
          </cell>
          <cell r="D2925" t="e">
            <v>#N/A</v>
          </cell>
          <cell r="E2925">
            <v>2210</v>
          </cell>
        </row>
        <row r="2926">
          <cell r="A2926" t="str">
            <v>1VJ1LPNT6301ZA</v>
          </cell>
          <cell r="B2926" t="str">
            <v>SMT</v>
          </cell>
          <cell r="C2926">
            <v>1</v>
          </cell>
          <cell r="D2926" t="e">
            <v>#N/A</v>
          </cell>
        </row>
        <row r="2927">
          <cell r="A2927" t="str">
            <v>PNLB2749ZB-YY</v>
          </cell>
          <cell r="B2927" t="str">
            <v>SMT</v>
          </cell>
          <cell r="C2927">
            <v>1</v>
          </cell>
          <cell r="D2927" t="e">
            <v>#N/A</v>
          </cell>
        </row>
        <row r="2928">
          <cell r="A2928" t="str">
            <v>1RE1LPNT6301ZA</v>
          </cell>
          <cell r="B2928" t="str">
            <v>SMT</v>
          </cell>
          <cell r="C2928">
            <v>1</v>
          </cell>
          <cell r="D2928">
            <v>97</v>
          </cell>
        </row>
        <row r="2929">
          <cell r="A2929" t="str">
            <v>1RE2LPNT6301ZA</v>
          </cell>
          <cell r="B2929" t="str">
            <v>SMT</v>
          </cell>
          <cell r="C2929">
            <v>1</v>
          </cell>
          <cell r="D2929">
            <v>359</v>
          </cell>
          <cell r="E2929">
            <v>2210</v>
          </cell>
          <cell r="F2929" t="str">
            <v>VC01</v>
          </cell>
          <cell r="G2929" t="str">
            <v>Auto</v>
          </cell>
          <cell r="H2929">
            <v>311</v>
          </cell>
          <cell r="I2929">
            <v>2210</v>
          </cell>
          <cell r="J2929">
            <v>2220</v>
          </cell>
          <cell r="K2929" t="str">
            <v>VC01</v>
          </cell>
        </row>
        <row r="2930">
          <cell r="A2930" t="str">
            <v>1VJ1LPNT6801ZA-R1</v>
          </cell>
          <cell r="B2930" t="str">
            <v>SMT</v>
          </cell>
          <cell r="C2930">
            <v>1</v>
          </cell>
          <cell r="D2930" t="e">
            <v>#N/A</v>
          </cell>
        </row>
        <row r="2931">
          <cell r="A2931" t="str">
            <v>1RE1LPNT6801ZA-R1</v>
          </cell>
          <cell r="B2931" t="str">
            <v>SMT</v>
          </cell>
          <cell r="C2931">
            <v>1</v>
          </cell>
          <cell r="D2931">
            <v>145</v>
          </cell>
        </row>
        <row r="2932">
          <cell r="A2932" t="str">
            <v>1RE2LPNT6801ZA-R1</v>
          </cell>
          <cell r="B2932" t="str">
            <v>SMT</v>
          </cell>
          <cell r="C2932">
            <v>1</v>
          </cell>
          <cell r="D2932">
            <v>478</v>
          </cell>
        </row>
        <row r="2933">
          <cell r="A2933" t="str">
            <v>1AP1LPNT6801ZA-R1</v>
          </cell>
          <cell r="B2933" t="str">
            <v>DIP</v>
          </cell>
          <cell r="C2933">
            <v>1</v>
          </cell>
          <cell r="D2933" t="e">
            <v>#N/A</v>
          </cell>
          <cell r="E2933">
            <v>2210</v>
          </cell>
        </row>
        <row r="2934">
          <cell r="A2934" t="str">
            <v>1RE1TDA6111V4</v>
          </cell>
          <cell r="B2934" t="str">
            <v>SMT</v>
          </cell>
          <cell r="C2934">
            <v>1</v>
          </cell>
          <cell r="D2934">
            <v>32</v>
          </cell>
        </row>
        <row r="2935">
          <cell r="A2935" t="str">
            <v>1RE2TDA6111V4</v>
          </cell>
          <cell r="B2935" t="str">
            <v>SMT</v>
          </cell>
          <cell r="C2935">
            <v>1</v>
          </cell>
          <cell r="D2935">
            <v>65</v>
          </cell>
          <cell r="E2935">
            <v>2210</v>
          </cell>
          <cell r="F2935" t="str">
            <v>VC01</v>
          </cell>
          <cell r="G2935" t="str">
            <v>Auto</v>
          </cell>
          <cell r="H2935">
            <v>311</v>
          </cell>
          <cell r="I2935">
            <v>2210</v>
          </cell>
          <cell r="J2935">
            <v>2310</v>
          </cell>
          <cell r="K2935" t="str">
            <v>VC01</v>
          </cell>
        </row>
        <row r="2936">
          <cell r="A2936" t="str">
            <v>1RE1XA1005WA/AS</v>
          </cell>
          <cell r="B2936" t="str">
            <v>SMT</v>
          </cell>
          <cell r="C2936">
            <v>1</v>
          </cell>
          <cell r="D2936">
            <v>30</v>
          </cell>
        </row>
        <row r="2937">
          <cell r="A2937" t="str">
            <v>1RE1LPPU100GMZA</v>
          </cell>
          <cell r="B2937" t="str">
            <v>SMT</v>
          </cell>
          <cell r="C2937">
            <v>1</v>
          </cell>
          <cell r="D2937">
            <v>167</v>
          </cell>
        </row>
        <row r="2938">
          <cell r="A2938" t="str">
            <v>1RE2LPPU100GMZA</v>
          </cell>
          <cell r="B2938" t="str">
            <v>SMT</v>
          </cell>
          <cell r="C2938">
            <v>1</v>
          </cell>
          <cell r="D2938">
            <v>190</v>
          </cell>
          <cell r="E2938">
            <v>2210</v>
          </cell>
          <cell r="F2938" t="str">
            <v>VC01</v>
          </cell>
          <cell r="G2938" t="str">
            <v>Auto</v>
          </cell>
          <cell r="H2938">
            <v>311</v>
          </cell>
          <cell r="I2938">
            <v>2210</v>
          </cell>
          <cell r="J2938" t="str">
            <v>23p1</v>
          </cell>
          <cell r="K2938" t="str">
            <v>VC01</v>
          </cell>
        </row>
        <row r="2939">
          <cell r="A2939" t="str">
            <v>PNLPPU100GMZA-V4</v>
          </cell>
          <cell r="B2939" t="str">
            <v>DIP</v>
          </cell>
          <cell r="C2939">
            <v>1</v>
          </cell>
          <cell r="D2939" t="e">
            <v>#N/A</v>
          </cell>
          <cell r="E2939">
            <v>2210</v>
          </cell>
          <cell r="F2939" t="str">
            <v>VC01</v>
          </cell>
          <cell r="G2939" t="str">
            <v>Auto</v>
          </cell>
          <cell r="H2939">
            <v>311</v>
          </cell>
          <cell r="I2939">
            <v>2210</v>
          </cell>
          <cell r="J2939" t="str">
            <v>23p1</v>
          </cell>
          <cell r="K2939" t="str">
            <v>VC01</v>
          </cell>
        </row>
        <row r="2940">
          <cell r="A2940" t="str">
            <v>1RE1LPPU100GPZA</v>
          </cell>
          <cell r="B2940" t="str">
            <v>SMT</v>
          </cell>
          <cell r="C2940">
            <v>1</v>
          </cell>
          <cell r="D2940">
            <v>14</v>
          </cell>
        </row>
        <row r="2941">
          <cell r="A2941" t="str">
            <v>1CM1LPPU100GPZA</v>
          </cell>
          <cell r="B2941" t="str">
            <v>SMT</v>
          </cell>
          <cell r="C2941">
            <v>1</v>
          </cell>
          <cell r="D2941">
            <v>28</v>
          </cell>
          <cell r="E2941">
            <v>2210</v>
          </cell>
          <cell r="F2941" t="str">
            <v>VC01</v>
          </cell>
          <cell r="G2941" t="str">
            <v>Auto</v>
          </cell>
          <cell r="H2941">
            <v>311</v>
          </cell>
          <cell r="I2941">
            <v>2210</v>
          </cell>
          <cell r="J2941" t="str">
            <v>23p1</v>
          </cell>
          <cell r="K2941" t="str">
            <v>VC01</v>
          </cell>
        </row>
        <row r="2942">
          <cell r="A2942" t="str">
            <v>PNLPPU100GPZA-V4</v>
          </cell>
          <cell r="B2942" t="str">
            <v>DIP</v>
          </cell>
          <cell r="C2942">
            <v>1</v>
          </cell>
          <cell r="D2942" t="e">
            <v>#N/A</v>
          </cell>
          <cell r="E2942">
            <v>2210</v>
          </cell>
          <cell r="F2942" t="str">
            <v>VC01</v>
          </cell>
          <cell r="G2942" t="str">
            <v>Auto</v>
          </cell>
          <cell r="H2942">
            <v>311</v>
          </cell>
          <cell r="I2942">
            <v>2210</v>
          </cell>
          <cell r="J2942" t="str">
            <v>23p1</v>
          </cell>
          <cell r="K2942" t="str">
            <v>VC01</v>
          </cell>
        </row>
        <row r="2943">
          <cell r="A2943" t="str">
            <v>1RE1NS0111CN</v>
          </cell>
          <cell r="B2943" t="str">
            <v>SMT</v>
          </cell>
          <cell r="C2943">
            <v>1</v>
          </cell>
          <cell r="D2943">
            <v>114</v>
          </cell>
        </row>
        <row r="2944">
          <cell r="A2944" t="str">
            <v>1RE2NS0111CN</v>
          </cell>
          <cell r="B2944" t="str">
            <v>SMT</v>
          </cell>
          <cell r="C2944">
            <v>1</v>
          </cell>
          <cell r="D2944">
            <v>195</v>
          </cell>
          <cell r="E2944">
            <v>2210</v>
          </cell>
          <cell r="F2944" t="str">
            <v>VC01</v>
          </cell>
          <cell r="G2944" t="str">
            <v>Auto</v>
          </cell>
          <cell r="H2944">
            <v>311</v>
          </cell>
          <cell r="I2944">
            <v>2210</v>
          </cell>
          <cell r="J2944">
            <v>2310</v>
          </cell>
          <cell r="K2944" t="str">
            <v>VC01</v>
          </cell>
        </row>
        <row r="2945">
          <cell r="A2945" t="str">
            <v>1RE1NS5180SXT1</v>
          </cell>
          <cell r="B2945" t="str">
            <v>SMT</v>
          </cell>
          <cell r="C2945">
            <v>1</v>
          </cell>
          <cell r="D2945" t="e">
            <v>#N/A</v>
          </cell>
        </row>
        <row r="2946">
          <cell r="A2946" t="str">
            <v>1RE2NS5180SXT1</v>
          </cell>
          <cell r="B2946" t="str">
            <v>SMT</v>
          </cell>
          <cell r="C2946">
            <v>1</v>
          </cell>
          <cell r="D2946" t="e">
            <v>#N/A</v>
          </cell>
        </row>
        <row r="2947">
          <cell r="A2947" t="str">
            <v>1RH1NS5180SXT1</v>
          </cell>
          <cell r="B2947" t="str">
            <v>SMT</v>
          </cell>
          <cell r="C2947">
            <v>1</v>
          </cell>
          <cell r="D2947" t="e">
            <v>#N/A</v>
          </cell>
        </row>
        <row r="2948">
          <cell r="A2948" t="str">
            <v>1AP1NS5180SXT1</v>
          </cell>
          <cell r="B2948" t="str">
            <v>DIP</v>
          </cell>
          <cell r="C2948">
            <v>1</v>
          </cell>
          <cell r="D2948" t="e">
            <v>#N/A</v>
          </cell>
          <cell r="E2948">
            <v>2210</v>
          </cell>
        </row>
        <row r="2949">
          <cell r="A2949" t="str">
            <v>1VJ1NS0106</v>
          </cell>
          <cell r="B2949" t="str">
            <v>SMT</v>
          </cell>
          <cell r="C2949">
            <v>1</v>
          </cell>
          <cell r="D2949" t="e">
            <v>#N/A</v>
          </cell>
        </row>
        <row r="2950">
          <cell r="A2950" t="str">
            <v>1RE1NS0106</v>
          </cell>
          <cell r="B2950" t="str">
            <v>SMT</v>
          </cell>
          <cell r="C2950">
            <v>1</v>
          </cell>
          <cell r="D2950">
            <v>146</v>
          </cell>
        </row>
        <row r="2951">
          <cell r="A2951" t="str">
            <v>1RE2NS0106</v>
          </cell>
          <cell r="B2951" t="str">
            <v>SMT</v>
          </cell>
          <cell r="C2951">
            <v>1</v>
          </cell>
          <cell r="D2951">
            <v>130</v>
          </cell>
          <cell r="E2951">
            <v>2210</v>
          </cell>
          <cell r="F2951" t="str">
            <v>VC01</v>
          </cell>
          <cell r="G2951" t="str">
            <v>Auto</v>
          </cell>
          <cell r="H2951">
            <v>311</v>
          </cell>
          <cell r="I2951">
            <v>2210</v>
          </cell>
          <cell r="J2951">
            <v>2310</v>
          </cell>
          <cell r="K2951" t="str">
            <v>VC01</v>
          </cell>
        </row>
        <row r="2952">
          <cell r="A2952" t="str">
            <v>PNLB2758ZA-YY</v>
          </cell>
          <cell r="B2952" t="str">
            <v>SMT</v>
          </cell>
          <cell r="C2952">
            <v>1</v>
          </cell>
          <cell r="D2952" t="e">
            <v>#N/A</v>
          </cell>
        </row>
        <row r="2953">
          <cell r="A2953" t="str">
            <v>1VJ1LPNT6801ZA</v>
          </cell>
          <cell r="B2953" t="str">
            <v>SMT</v>
          </cell>
          <cell r="C2953">
            <v>1</v>
          </cell>
          <cell r="D2953" t="e">
            <v>#N/A</v>
          </cell>
        </row>
        <row r="2954">
          <cell r="A2954" t="str">
            <v>1RE1LPNT6801ZA</v>
          </cell>
          <cell r="B2954" t="str">
            <v>SMT</v>
          </cell>
          <cell r="C2954">
            <v>1</v>
          </cell>
          <cell r="D2954">
            <v>145</v>
          </cell>
        </row>
        <row r="2955">
          <cell r="A2955" t="str">
            <v>1RE2LPNT6801ZA</v>
          </cell>
          <cell r="B2955" t="str">
            <v>SMT</v>
          </cell>
          <cell r="C2955">
            <v>1</v>
          </cell>
          <cell r="D2955">
            <v>478</v>
          </cell>
          <cell r="E2955">
            <v>2210</v>
          </cell>
          <cell r="F2955" t="str">
            <v>VC01</v>
          </cell>
          <cell r="G2955" t="str">
            <v>Auto</v>
          </cell>
          <cell r="H2955">
            <v>311</v>
          </cell>
          <cell r="I2955">
            <v>2210</v>
          </cell>
          <cell r="J2955">
            <v>2220</v>
          </cell>
          <cell r="K2955" t="str">
            <v>VC01</v>
          </cell>
        </row>
        <row r="2956">
          <cell r="A2956" t="str">
            <v>1RE1LPTDA6381SX2T1</v>
          </cell>
          <cell r="B2956" t="str">
            <v>SMT</v>
          </cell>
          <cell r="C2956">
            <v>1</v>
          </cell>
          <cell r="D2956">
            <v>304</v>
          </cell>
        </row>
        <row r="2957">
          <cell r="A2957" t="str">
            <v>1RE2LPTDA6381SX2T1</v>
          </cell>
          <cell r="B2957" t="str">
            <v>SMT</v>
          </cell>
          <cell r="C2957">
            <v>1</v>
          </cell>
          <cell r="D2957">
            <v>226</v>
          </cell>
        </row>
        <row r="2958">
          <cell r="A2958" t="str">
            <v>1AP1LPTDA6381SX2T1</v>
          </cell>
          <cell r="B2958" t="str">
            <v>DIP</v>
          </cell>
          <cell r="C2958">
            <v>1</v>
          </cell>
          <cell r="D2958" t="e">
            <v>#N/A</v>
          </cell>
          <cell r="E2958">
            <v>2210</v>
          </cell>
        </row>
        <row r="2959">
          <cell r="A2959" t="str">
            <v>1VJ1LPTDA6381SX1T1</v>
          </cell>
          <cell r="B2959" t="str">
            <v>SMT</v>
          </cell>
          <cell r="C2959">
            <v>1</v>
          </cell>
          <cell r="D2959" t="e">
            <v>#N/A</v>
          </cell>
        </row>
        <row r="2960">
          <cell r="A2960" t="str">
            <v>1RE1LPTDA6381SX1T1</v>
          </cell>
          <cell r="B2960" t="str">
            <v>SMT</v>
          </cell>
          <cell r="C2960">
            <v>1</v>
          </cell>
          <cell r="D2960">
            <v>310</v>
          </cell>
        </row>
        <row r="2961">
          <cell r="A2961" t="str">
            <v>1RE2LPTDA6381SX1T1</v>
          </cell>
          <cell r="B2961" t="str">
            <v>SMT</v>
          </cell>
          <cell r="C2961">
            <v>1</v>
          </cell>
          <cell r="D2961">
            <v>488</v>
          </cell>
        </row>
        <row r="2962">
          <cell r="A2962" t="str">
            <v>1RH1LPTDA6381SX1T1</v>
          </cell>
          <cell r="B2962" t="str">
            <v>SMT</v>
          </cell>
          <cell r="C2962">
            <v>1</v>
          </cell>
          <cell r="D2962">
            <v>25</v>
          </cell>
        </row>
        <row r="2963">
          <cell r="A2963" t="str">
            <v>1AP1LPTDA6381SX1T1</v>
          </cell>
          <cell r="B2963" t="str">
            <v>DIP</v>
          </cell>
          <cell r="C2963">
            <v>1</v>
          </cell>
          <cell r="D2963" t="e">
            <v>#N/A</v>
          </cell>
          <cell r="E2963">
            <v>2210</v>
          </cell>
        </row>
        <row r="2964">
          <cell r="A2964" t="str">
            <v>1RE1LPTDA6382SX2T1</v>
          </cell>
          <cell r="B2964" t="str">
            <v>SMT</v>
          </cell>
          <cell r="C2964">
            <v>1</v>
          </cell>
          <cell r="D2964">
            <v>461</v>
          </cell>
        </row>
        <row r="2965">
          <cell r="A2965" t="str">
            <v>1RE2LPTDA6382SX2T1</v>
          </cell>
          <cell r="B2965" t="str">
            <v>SMT</v>
          </cell>
          <cell r="C2965">
            <v>1</v>
          </cell>
          <cell r="D2965">
            <v>251</v>
          </cell>
        </row>
        <row r="2966">
          <cell r="A2966" t="str">
            <v>1AP1LPTDA6382SX2T1</v>
          </cell>
          <cell r="B2966" t="str">
            <v>DIP</v>
          </cell>
          <cell r="C2966">
            <v>1</v>
          </cell>
          <cell r="D2966" t="e">
            <v>#N/A</v>
          </cell>
          <cell r="E2966">
            <v>2210</v>
          </cell>
        </row>
        <row r="2967">
          <cell r="A2967" t="str">
            <v>1VJ1LPTDA6382SX1T1</v>
          </cell>
          <cell r="B2967" t="str">
            <v>SMT</v>
          </cell>
          <cell r="C2967">
            <v>1</v>
          </cell>
          <cell r="D2967" t="e">
            <v>#N/A</v>
          </cell>
        </row>
        <row r="2968">
          <cell r="A2968" t="str">
            <v>1RE1LPTDA6382SX1T1</v>
          </cell>
          <cell r="B2968" t="str">
            <v>SMT</v>
          </cell>
          <cell r="C2968">
            <v>1</v>
          </cell>
          <cell r="D2968">
            <v>370</v>
          </cell>
        </row>
        <row r="2969">
          <cell r="A2969" t="str">
            <v>1RE2LPTDA6382SX1T1</v>
          </cell>
          <cell r="B2969" t="str">
            <v>SMT</v>
          </cell>
          <cell r="C2969">
            <v>1</v>
          </cell>
          <cell r="D2969">
            <v>606</v>
          </cell>
        </row>
        <row r="2970">
          <cell r="A2970" t="str">
            <v>1RH1LPTDA6382SX1T1</v>
          </cell>
          <cell r="B2970" t="str">
            <v>SMT</v>
          </cell>
          <cell r="C2970">
            <v>1</v>
          </cell>
          <cell r="D2970">
            <v>25</v>
          </cell>
        </row>
        <row r="2971">
          <cell r="A2971" t="str">
            <v>1AP1LPTDA6382SX1T1</v>
          </cell>
          <cell r="B2971" t="str">
            <v>DIP</v>
          </cell>
          <cell r="C2971">
            <v>1</v>
          </cell>
          <cell r="D2971" t="e">
            <v>#N/A</v>
          </cell>
          <cell r="E2971">
            <v>2210</v>
          </cell>
        </row>
        <row r="2972">
          <cell r="A2972" t="str">
            <v>1RE1LPTDA1180SXT1</v>
          </cell>
          <cell r="B2972" t="str">
            <v>SMT</v>
          </cell>
          <cell r="C2972">
            <v>1</v>
          </cell>
          <cell r="D2972">
            <v>298</v>
          </cell>
        </row>
        <row r="2973">
          <cell r="A2973" t="str">
            <v>1RE2LPTDA1180SXT1</v>
          </cell>
          <cell r="B2973" t="str">
            <v>SMT</v>
          </cell>
          <cell r="C2973">
            <v>1</v>
          </cell>
          <cell r="D2973">
            <v>538</v>
          </cell>
        </row>
        <row r="2974">
          <cell r="A2974" t="str">
            <v>1RH1LPTDA1180SXT1</v>
          </cell>
          <cell r="B2974" t="str">
            <v>SMT</v>
          </cell>
          <cell r="C2974">
            <v>1</v>
          </cell>
          <cell r="D2974">
            <v>17</v>
          </cell>
        </row>
        <row r="2975">
          <cell r="A2975" t="str">
            <v>1AP1LPTDA1180SXT1</v>
          </cell>
          <cell r="B2975" t="str">
            <v>DIP</v>
          </cell>
          <cell r="C2975">
            <v>1</v>
          </cell>
          <cell r="D2975" t="e">
            <v>#N/A</v>
          </cell>
          <cell r="E2975">
            <v>2210</v>
          </cell>
        </row>
        <row r="2976">
          <cell r="A2976" t="str">
            <v>1VI1LPFG520RCMWA</v>
          </cell>
          <cell r="B2976" t="str">
            <v>SMT</v>
          </cell>
          <cell r="C2976">
            <v>1</v>
          </cell>
          <cell r="D2976" t="e">
            <v>#N/A</v>
          </cell>
        </row>
        <row r="2977">
          <cell r="A2977" t="str">
            <v>1RE1LPFG520RCMWA</v>
          </cell>
          <cell r="B2977" t="str">
            <v>SMT</v>
          </cell>
          <cell r="C2977">
            <v>1</v>
          </cell>
          <cell r="D2977">
            <v>174</v>
          </cell>
        </row>
        <row r="2978">
          <cell r="A2978" t="str">
            <v>1RE2LPFG520RCMWA</v>
          </cell>
          <cell r="B2978" t="str">
            <v>SMT</v>
          </cell>
          <cell r="C2978">
            <v>1</v>
          </cell>
          <cell r="D2978">
            <v>134</v>
          </cell>
          <cell r="E2978">
            <v>2210</v>
          </cell>
          <cell r="F2978" t="str">
            <v>VC01</v>
          </cell>
          <cell r="G2978" t="str">
            <v>Auto</v>
          </cell>
          <cell r="H2978">
            <v>311</v>
          </cell>
          <cell r="I2978">
            <v>2210</v>
          </cell>
          <cell r="J2978">
            <v>2280</v>
          </cell>
          <cell r="K2978" t="str">
            <v>VC01</v>
          </cell>
        </row>
        <row r="2979">
          <cell r="A2979" t="str">
            <v>1AP1LPFG520RCMWA</v>
          </cell>
          <cell r="B2979" t="str">
            <v>DIP</v>
          </cell>
          <cell r="C2979">
            <v>1</v>
          </cell>
          <cell r="D2979" t="e">
            <v>#N/A</v>
          </cell>
          <cell r="E2979">
            <v>2210</v>
          </cell>
          <cell r="F2979" t="str">
            <v>VC01</v>
          </cell>
          <cell r="G2979" t="str">
            <v>Auto</v>
          </cell>
          <cell r="H2979">
            <v>311</v>
          </cell>
          <cell r="I2979">
            <v>2210</v>
          </cell>
          <cell r="J2979">
            <v>2280</v>
          </cell>
          <cell r="K2979" t="str">
            <v>VC01</v>
          </cell>
        </row>
        <row r="2980">
          <cell r="A2980" t="str">
            <v>1AP1ARBPC1A03913</v>
          </cell>
          <cell r="B2980" t="str">
            <v>DIP</v>
          </cell>
          <cell r="C2980">
            <v>1</v>
          </cell>
          <cell r="D2980" t="e">
            <v>#N/A</v>
          </cell>
        </row>
        <row r="2981">
          <cell r="A2981" t="str">
            <v>1RE1LPTGP700-G1</v>
          </cell>
          <cell r="B2981" t="str">
            <v>SMT</v>
          </cell>
          <cell r="C2981">
            <v>1</v>
          </cell>
          <cell r="D2981">
            <v>256</v>
          </cell>
        </row>
        <row r="2982">
          <cell r="A2982" t="str">
            <v>1RE2LPTGP700-G1</v>
          </cell>
          <cell r="B2982" t="str">
            <v>SMT</v>
          </cell>
          <cell r="C2982">
            <v>1</v>
          </cell>
          <cell r="D2982">
            <v>482</v>
          </cell>
          <cell r="E2982">
            <v>2210</v>
          </cell>
          <cell r="F2982" t="str">
            <v>VC01</v>
          </cell>
          <cell r="G2982" t="str">
            <v>Auto</v>
          </cell>
          <cell r="H2982">
            <v>311</v>
          </cell>
          <cell r="I2982">
            <v>2210</v>
          </cell>
          <cell r="J2982">
            <v>2220</v>
          </cell>
          <cell r="K2982" t="str">
            <v>VC01</v>
          </cell>
        </row>
        <row r="2983">
          <cell r="A2983" t="str">
            <v>1VJ1NS0106XSX</v>
          </cell>
          <cell r="B2983" t="str">
            <v>SMT</v>
          </cell>
          <cell r="C2983">
            <v>1</v>
          </cell>
          <cell r="D2983" t="e">
            <v>#N/A</v>
          </cell>
        </row>
        <row r="2984">
          <cell r="A2984" t="str">
            <v>1RE1NS0106XSX</v>
          </cell>
          <cell r="B2984" t="str">
            <v>SMT</v>
          </cell>
          <cell r="C2984">
            <v>1</v>
          </cell>
          <cell r="D2984">
            <v>145</v>
          </cell>
        </row>
        <row r="2985">
          <cell r="A2985" t="str">
            <v>1RE2NS0106XSX</v>
          </cell>
          <cell r="B2985" t="str">
            <v>SMT</v>
          </cell>
          <cell r="C2985">
            <v>1</v>
          </cell>
          <cell r="D2985">
            <v>131</v>
          </cell>
          <cell r="E2985">
            <v>2210</v>
          </cell>
          <cell r="F2985" t="str">
            <v>VC01</v>
          </cell>
          <cell r="G2985" t="str">
            <v>Auto</v>
          </cell>
          <cell r="H2985">
            <v>311</v>
          </cell>
          <cell r="I2985">
            <v>2210</v>
          </cell>
          <cell r="J2985">
            <v>2310</v>
          </cell>
          <cell r="K2985" t="str">
            <v>VC01</v>
          </cell>
        </row>
        <row r="2986">
          <cell r="A2986" t="str">
            <v>CMFF334PCB15-0RAU</v>
          </cell>
          <cell r="B2986" t="str">
            <v>SMT</v>
          </cell>
          <cell r="C2986">
            <v>1</v>
          </cell>
          <cell r="D2986" t="e">
            <v>#N/A</v>
          </cell>
          <cell r="E2986">
            <v>2210</v>
          </cell>
          <cell r="F2986" t="str">
            <v>VC01</v>
          </cell>
          <cell r="G2986" t="str">
            <v>Auto</v>
          </cell>
          <cell r="H2986">
            <v>311</v>
          </cell>
          <cell r="I2986">
            <v>2210</v>
          </cell>
          <cell r="J2986" t="e">
            <v>#N/A</v>
          </cell>
          <cell r="K2986" t="str">
            <v>VC01</v>
          </cell>
        </row>
        <row r="2987">
          <cell r="A2987" t="str">
            <v>1RE1LPTDA1180SXR1</v>
          </cell>
          <cell r="B2987" t="str">
            <v>SMT</v>
          </cell>
          <cell r="C2987">
            <v>1</v>
          </cell>
          <cell r="D2987">
            <v>298</v>
          </cell>
        </row>
        <row r="2988">
          <cell r="A2988" t="str">
            <v>1RE2LPTDA1180SXR1</v>
          </cell>
          <cell r="B2988" t="str">
            <v>SMT</v>
          </cell>
          <cell r="C2988">
            <v>1</v>
          </cell>
          <cell r="D2988">
            <v>538</v>
          </cell>
        </row>
        <row r="2989">
          <cell r="A2989" t="str">
            <v>1RH1LPTDA1180SXR1</v>
          </cell>
          <cell r="B2989" t="str">
            <v>SMT</v>
          </cell>
          <cell r="C2989">
            <v>1</v>
          </cell>
          <cell r="D2989">
            <v>17</v>
          </cell>
        </row>
        <row r="2990">
          <cell r="A2990" t="str">
            <v>1AP1LPTDA1180SXR1</v>
          </cell>
          <cell r="B2990" t="str">
            <v>DIP</v>
          </cell>
          <cell r="C2990">
            <v>1</v>
          </cell>
          <cell r="D2990" t="e">
            <v>#N/A</v>
          </cell>
          <cell r="E2990">
            <v>2210</v>
          </cell>
          <cell r="F2990" t="str">
            <v>VC01</v>
          </cell>
          <cell r="G2990" t="str">
            <v>Auto</v>
          </cell>
          <cell r="H2990">
            <v>311</v>
          </cell>
          <cell r="I2990">
            <v>2210</v>
          </cell>
          <cell r="J2990" t="e">
            <v>#N/A</v>
          </cell>
          <cell r="K2990" t="str">
            <v>VC01</v>
          </cell>
        </row>
        <row r="2991">
          <cell r="A2991" t="str">
            <v>1VJ1LPNT6801XZA</v>
          </cell>
          <cell r="B2991" t="str">
            <v>SMT</v>
          </cell>
          <cell r="C2991">
            <v>1</v>
          </cell>
          <cell r="D2991" t="e">
            <v>#N/A</v>
          </cell>
        </row>
        <row r="2992">
          <cell r="A2992" t="str">
            <v>1RE1LPNT6801XZA</v>
          </cell>
          <cell r="B2992" t="str">
            <v>SMT</v>
          </cell>
          <cell r="C2992">
            <v>1</v>
          </cell>
          <cell r="D2992">
            <v>145</v>
          </cell>
        </row>
        <row r="2993">
          <cell r="A2993" t="str">
            <v>1RE2LPNT6801XZA</v>
          </cell>
          <cell r="B2993" t="str">
            <v>SMT</v>
          </cell>
          <cell r="C2993">
            <v>1</v>
          </cell>
          <cell r="D2993">
            <v>478</v>
          </cell>
          <cell r="E2993">
            <v>2210</v>
          </cell>
          <cell r="F2993" t="str">
            <v>VC01</v>
          </cell>
          <cell r="G2993" t="str">
            <v>Auto</v>
          </cell>
          <cell r="H2993">
            <v>311</v>
          </cell>
          <cell r="I2993">
            <v>2210</v>
          </cell>
          <cell r="J2993">
            <v>2220</v>
          </cell>
          <cell r="K2993" t="str">
            <v>VC01</v>
          </cell>
        </row>
        <row r="2994">
          <cell r="A2994" t="str">
            <v>1VJ1LPNT6301XZA</v>
          </cell>
          <cell r="B2994" t="str">
            <v>SMT</v>
          </cell>
          <cell r="C2994">
            <v>1</v>
          </cell>
          <cell r="D2994" t="e">
            <v>#N/A</v>
          </cell>
        </row>
        <row r="2995">
          <cell r="A2995" t="str">
            <v>1RE1LPNT6301XZA</v>
          </cell>
          <cell r="B2995" t="str">
            <v>SMT</v>
          </cell>
          <cell r="C2995">
            <v>1</v>
          </cell>
          <cell r="D2995">
            <v>97</v>
          </cell>
        </row>
        <row r="2996">
          <cell r="A2996" t="str">
            <v>1RE2LPNT6301XZA</v>
          </cell>
          <cell r="B2996" t="str">
            <v>SMT</v>
          </cell>
          <cell r="C2996">
            <v>1</v>
          </cell>
          <cell r="D2996">
            <v>359</v>
          </cell>
          <cell r="E2996">
            <v>2210</v>
          </cell>
          <cell r="F2996" t="str">
            <v>VC01</v>
          </cell>
          <cell r="G2996" t="str">
            <v>Auto</v>
          </cell>
          <cell r="H2996">
            <v>311</v>
          </cell>
          <cell r="I2996">
            <v>2210</v>
          </cell>
          <cell r="J2996">
            <v>2220</v>
          </cell>
          <cell r="K2996" t="str">
            <v>VC01</v>
          </cell>
        </row>
        <row r="2997">
          <cell r="A2997" t="str">
            <v>1VI1LPFG810RAMXA</v>
          </cell>
          <cell r="B2997" t="str">
            <v>SMT</v>
          </cell>
          <cell r="C2997">
            <v>1</v>
          </cell>
          <cell r="D2997" t="e">
            <v>#N/A</v>
          </cell>
        </row>
        <row r="2998">
          <cell r="A2998" t="str">
            <v>1RE1LPFG810RAMXA</v>
          </cell>
          <cell r="B2998" t="str">
            <v>SMT</v>
          </cell>
          <cell r="C2998">
            <v>1</v>
          </cell>
          <cell r="D2998">
            <v>225</v>
          </cell>
        </row>
        <row r="2999">
          <cell r="A2999" t="str">
            <v>1RE2LPFG810RAMXA</v>
          </cell>
          <cell r="B2999" t="str">
            <v>SMT</v>
          </cell>
          <cell r="C2999">
            <v>1</v>
          </cell>
          <cell r="D2999">
            <v>319</v>
          </cell>
        </row>
        <row r="3000">
          <cell r="A3000" t="str">
            <v>1RH1LPFG810RAMXA</v>
          </cell>
          <cell r="B3000" t="str">
            <v>SMT</v>
          </cell>
          <cell r="C3000">
            <v>1</v>
          </cell>
          <cell r="D3000">
            <v>12</v>
          </cell>
        </row>
        <row r="3001">
          <cell r="A3001" t="str">
            <v>1AP1LPFG810RAMXA</v>
          </cell>
          <cell r="B3001" t="str">
            <v>DIP</v>
          </cell>
          <cell r="C3001">
            <v>1</v>
          </cell>
          <cell r="D3001" t="e">
            <v>#N/A</v>
          </cell>
          <cell r="E3001">
            <v>2210</v>
          </cell>
        </row>
        <row r="3002">
          <cell r="A3002" t="str">
            <v>1VI1LPFG810RDMXA</v>
          </cell>
          <cell r="B3002" t="str">
            <v>SMT</v>
          </cell>
          <cell r="C3002">
            <v>1</v>
          </cell>
          <cell r="D3002" t="e">
            <v>#N/A</v>
          </cell>
        </row>
        <row r="3003">
          <cell r="A3003" t="str">
            <v>1RE1LPFG810RDMXA</v>
          </cell>
          <cell r="B3003" t="str">
            <v>SMT</v>
          </cell>
          <cell r="C3003">
            <v>1</v>
          </cell>
          <cell r="D3003">
            <v>223</v>
          </cell>
        </row>
        <row r="3004">
          <cell r="A3004" t="str">
            <v>1RE2LPFG810RDMXA</v>
          </cell>
          <cell r="B3004" t="str">
            <v>SMT</v>
          </cell>
          <cell r="C3004">
            <v>1</v>
          </cell>
          <cell r="D3004">
            <v>268</v>
          </cell>
        </row>
        <row r="3005">
          <cell r="A3005" t="str">
            <v>1RH1LPFG810RDMXA</v>
          </cell>
          <cell r="B3005" t="str">
            <v>SMT</v>
          </cell>
          <cell r="C3005">
            <v>1</v>
          </cell>
          <cell r="D3005">
            <v>10</v>
          </cell>
        </row>
        <row r="3006">
          <cell r="A3006" t="str">
            <v>1AP1LPFG810RDMXA</v>
          </cell>
          <cell r="B3006" t="str">
            <v>DIP</v>
          </cell>
          <cell r="C3006">
            <v>1</v>
          </cell>
          <cell r="D3006" t="e">
            <v>#N/A</v>
          </cell>
          <cell r="E3006">
            <v>2210</v>
          </cell>
        </row>
        <row r="3007">
          <cell r="A3007" t="str">
            <v>1VI1LPFG810REMXA</v>
          </cell>
          <cell r="B3007" t="str">
            <v>SMT</v>
          </cell>
          <cell r="C3007">
            <v>1</v>
          </cell>
          <cell r="D3007" t="e">
            <v>#N/A</v>
          </cell>
        </row>
        <row r="3008">
          <cell r="A3008" t="str">
            <v>1RE1LPFG810REMXA</v>
          </cell>
          <cell r="B3008" t="str">
            <v>SMT</v>
          </cell>
          <cell r="C3008">
            <v>1</v>
          </cell>
          <cell r="D3008">
            <v>223</v>
          </cell>
        </row>
        <row r="3009">
          <cell r="A3009" t="str">
            <v>1RE2LPFG810REMXA</v>
          </cell>
          <cell r="B3009" t="str">
            <v>SMT</v>
          </cell>
          <cell r="C3009">
            <v>1</v>
          </cell>
          <cell r="D3009">
            <v>266</v>
          </cell>
        </row>
        <row r="3010">
          <cell r="A3010" t="str">
            <v>1RH1LPFG810REMXA</v>
          </cell>
          <cell r="B3010" t="str">
            <v>SMT</v>
          </cell>
          <cell r="C3010">
            <v>1</v>
          </cell>
          <cell r="D3010">
            <v>9</v>
          </cell>
        </row>
        <row r="3011">
          <cell r="A3011" t="str">
            <v>1AP1LPFG810REMXA</v>
          </cell>
          <cell r="B3011" t="str">
            <v>DIP</v>
          </cell>
          <cell r="C3011">
            <v>1</v>
          </cell>
          <cell r="D3011" t="e">
            <v>#N/A</v>
          </cell>
          <cell r="E3011">
            <v>2210</v>
          </cell>
        </row>
        <row r="3012">
          <cell r="A3012" t="str">
            <v>1VI1PNLPTEB308RUZA</v>
          </cell>
          <cell r="B3012" t="str">
            <v>SMT</v>
          </cell>
          <cell r="C3012">
            <v>1</v>
          </cell>
          <cell r="D3012" t="e">
            <v>#N/A</v>
          </cell>
        </row>
        <row r="3013">
          <cell r="A3013" t="str">
            <v>1RE1PNLPTEB308RUZA</v>
          </cell>
          <cell r="B3013" t="str">
            <v>SMT</v>
          </cell>
          <cell r="C3013">
            <v>1</v>
          </cell>
          <cell r="D3013">
            <v>590</v>
          </cell>
        </row>
        <row r="3014">
          <cell r="A3014" t="str">
            <v>1RH1PNLPTEB308RUZA</v>
          </cell>
          <cell r="B3014" t="str">
            <v>SMT</v>
          </cell>
          <cell r="C3014">
            <v>1</v>
          </cell>
          <cell r="D3014">
            <v>49</v>
          </cell>
        </row>
        <row r="3015">
          <cell r="A3015" t="str">
            <v>1CM1PNLPTEB308RUZA</v>
          </cell>
          <cell r="B3015" t="str">
            <v>SMT</v>
          </cell>
          <cell r="C3015">
            <v>1</v>
          </cell>
          <cell r="D3015">
            <v>291</v>
          </cell>
          <cell r="E3015">
            <v>2210</v>
          </cell>
          <cell r="F3015" t="str">
            <v>VC01</v>
          </cell>
          <cell r="G3015" t="str">
            <v>Auto</v>
          </cell>
          <cell r="H3015">
            <v>311</v>
          </cell>
          <cell r="I3015">
            <v>2210</v>
          </cell>
          <cell r="J3015">
            <v>2220</v>
          </cell>
          <cell r="K3015" t="str">
            <v>VC01</v>
          </cell>
        </row>
        <row r="3016">
          <cell r="A3016" t="str">
            <v>1AP1PNLPTEB308RUZA</v>
          </cell>
          <cell r="B3016" t="str">
            <v>DIP</v>
          </cell>
          <cell r="C3016">
            <v>1</v>
          </cell>
          <cell r="D3016" t="e">
            <v>#N/A</v>
          </cell>
          <cell r="E3016">
            <v>2210</v>
          </cell>
          <cell r="F3016" t="str">
            <v>VC01</v>
          </cell>
          <cell r="G3016" t="str">
            <v>Auto</v>
          </cell>
          <cell r="H3016">
            <v>311</v>
          </cell>
          <cell r="I3016">
            <v>2210</v>
          </cell>
          <cell r="J3016">
            <v>2220</v>
          </cell>
          <cell r="K3016" t="str">
            <v>VC01</v>
          </cell>
        </row>
        <row r="3017">
          <cell r="A3017" t="str">
            <v>1AP1PSLP1613ZA</v>
          </cell>
          <cell r="B3017" t="str">
            <v>DIP</v>
          </cell>
          <cell r="C3017">
            <v>1</v>
          </cell>
          <cell r="D3017" t="e">
            <v>#N/A</v>
          </cell>
          <cell r="E3017">
            <v>2210</v>
          </cell>
          <cell r="F3017" t="str">
            <v>VC01</v>
          </cell>
          <cell r="G3017" t="str">
            <v>Auto</v>
          </cell>
          <cell r="H3017">
            <v>311</v>
          </cell>
          <cell r="I3017">
            <v>2210</v>
          </cell>
          <cell r="J3017">
            <v>2310</v>
          </cell>
          <cell r="K3017" t="str">
            <v>VC01</v>
          </cell>
        </row>
        <row r="3018">
          <cell r="A3018" t="str">
            <v>1VI1PSLP1682ZA</v>
          </cell>
          <cell r="B3018" t="str">
            <v>SMT</v>
          </cell>
          <cell r="C3018">
            <v>1</v>
          </cell>
          <cell r="D3018" t="e">
            <v>#N/A</v>
          </cell>
        </row>
        <row r="3019">
          <cell r="A3019" t="str">
            <v>1RE1PSLP1682ZA</v>
          </cell>
          <cell r="B3019" t="str">
            <v>SMT</v>
          </cell>
          <cell r="C3019">
            <v>1</v>
          </cell>
          <cell r="D3019">
            <v>590</v>
          </cell>
        </row>
        <row r="3020">
          <cell r="A3020" t="str">
            <v>1RH1PSLP1682ZA</v>
          </cell>
          <cell r="B3020" t="str">
            <v>SMT</v>
          </cell>
          <cell r="C3020">
            <v>1</v>
          </cell>
          <cell r="D3020">
            <v>50</v>
          </cell>
        </row>
        <row r="3021">
          <cell r="A3021" t="str">
            <v>1CM1PSLP1682ZA</v>
          </cell>
          <cell r="B3021" t="str">
            <v>SMT</v>
          </cell>
          <cell r="C3021">
            <v>1</v>
          </cell>
          <cell r="D3021">
            <v>291</v>
          </cell>
          <cell r="E3021">
            <v>2210</v>
          </cell>
          <cell r="F3021" t="str">
            <v>VC01</v>
          </cell>
          <cell r="G3021" t="str">
            <v>Auto</v>
          </cell>
          <cell r="H3021">
            <v>311</v>
          </cell>
          <cell r="I3021">
            <v>2210</v>
          </cell>
          <cell r="J3021">
            <v>2310</v>
          </cell>
          <cell r="K3021" t="str">
            <v>VC01</v>
          </cell>
        </row>
        <row r="3022">
          <cell r="A3022" t="str">
            <v>1AP1PSLP1682ZA</v>
          </cell>
          <cell r="B3022" t="str">
            <v>DIP</v>
          </cell>
          <cell r="C3022">
            <v>1</v>
          </cell>
          <cell r="D3022" t="e">
            <v>#N/A</v>
          </cell>
          <cell r="E3022">
            <v>2210</v>
          </cell>
          <cell r="F3022" t="str">
            <v>VC01</v>
          </cell>
          <cell r="G3022" t="str">
            <v>Auto</v>
          </cell>
          <cell r="H3022">
            <v>311</v>
          </cell>
          <cell r="I3022">
            <v>2210</v>
          </cell>
          <cell r="J3022">
            <v>2310</v>
          </cell>
          <cell r="K3022" t="str">
            <v>VC01</v>
          </cell>
        </row>
        <row r="3023">
          <cell r="A3023" t="str">
            <v>1RE1PSLP1683ZA</v>
          </cell>
          <cell r="B3023" t="str">
            <v>SMT</v>
          </cell>
          <cell r="C3023">
            <v>1</v>
          </cell>
          <cell r="D3023">
            <v>173</v>
          </cell>
        </row>
        <row r="3024">
          <cell r="A3024" t="str">
            <v>1RH1PSLP1683ZA</v>
          </cell>
          <cell r="B3024" t="str">
            <v>SMT</v>
          </cell>
          <cell r="C3024">
            <v>1</v>
          </cell>
          <cell r="D3024">
            <v>19</v>
          </cell>
        </row>
        <row r="3025">
          <cell r="A3025" t="str">
            <v>1CM1PSLP1683ZA</v>
          </cell>
          <cell r="B3025" t="str">
            <v>SMT</v>
          </cell>
          <cell r="C3025">
            <v>1</v>
          </cell>
          <cell r="D3025">
            <v>117</v>
          </cell>
          <cell r="E3025">
            <v>2210</v>
          </cell>
          <cell r="F3025" t="str">
            <v>VC01</v>
          </cell>
          <cell r="G3025" t="str">
            <v>Auto</v>
          </cell>
          <cell r="H3025">
            <v>311</v>
          </cell>
          <cell r="I3025">
            <v>2210</v>
          </cell>
          <cell r="J3025">
            <v>2310</v>
          </cell>
          <cell r="K3025" t="str">
            <v>VC01</v>
          </cell>
        </row>
        <row r="3026">
          <cell r="A3026" t="str">
            <v>1AP1PSLP1683ZA</v>
          </cell>
          <cell r="B3026" t="str">
            <v>DIP</v>
          </cell>
          <cell r="C3026">
            <v>1</v>
          </cell>
          <cell r="D3026" t="e">
            <v>#N/A</v>
          </cell>
          <cell r="E3026">
            <v>2210</v>
          </cell>
          <cell r="F3026" t="str">
            <v>VC01</v>
          </cell>
          <cell r="G3026" t="str">
            <v>Auto</v>
          </cell>
          <cell r="H3026">
            <v>311</v>
          </cell>
          <cell r="I3026">
            <v>2210</v>
          </cell>
          <cell r="J3026">
            <v>2310</v>
          </cell>
          <cell r="K3026" t="str">
            <v>VC01</v>
          </cell>
        </row>
        <row r="3027">
          <cell r="A3027" t="str">
            <v>1RE1T7775</v>
          </cell>
          <cell r="B3027" t="str">
            <v>SMT</v>
          </cell>
          <cell r="C3027">
            <v>1</v>
          </cell>
          <cell r="D3027">
            <v>54</v>
          </cell>
        </row>
        <row r="3028">
          <cell r="A3028" t="str">
            <v>1RE2T7775</v>
          </cell>
          <cell r="B3028" t="str">
            <v>SMT</v>
          </cell>
          <cell r="C3028">
            <v>1</v>
          </cell>
          <cell r="D3028">
            <v>46</v>
          </cell>
          <cell r="E3028">
            <v>2210</v>
          </cell>
          <cell r="F3028" t="str">
            <v>VC01</v>
          </cell>
          <cell r="G3028" t="str">
            <v>Auto</v>
          </cell>
          <cell r="H3028">
            <v>311</v>
          </cell>
          <cell r="I3028">
            <v>2210</v>
          </cell>
          <cell r="J3028">
            <v>2310</v>
          </cell>
          <cell r="K3028" t="str">
            <v>VC01</v>
          </cell>
        </row>
        <row r="3029">
          <cell r="A3029" t="str">
            <v>1AP1T7775</v>
          </cell>
          <cell r="B3029" t="str">
            <v>DIP</v>
          </cell>
          <cell r="C3029">
            <v>1</v>
          </cell>
          <cell r="D3029" t="e">
            <v>#N/A</v>
          </cell>
          <cell r="E3029">
            <v>2210</v>
          </cell>
          <cell r="F3029" t="str">
            <v>VC01</v>
          </cell>
          <cell r="G3029" t="str">
            <v>Auto</v>
          </cell>
          <cell r="H3029">
            <v>311</v>
          </cell>
          <cell r="I3029">
            <v>2210</v>
          </cell>
          <cell r="J3029">
            <v>2310</v>
          </cell>
          <cell r="K3029" t="str">
            <v>VC01</v>
          </cell>
        </row>
        <row r="3030">
          <cell r="A3030" t="str">
            <v>1RE1PSLP1634ZA</v>
          </cell>
          <cell r="B3030" t="str">
            <v>SMT</v>
          </cell>
          <cell r="C3030">
            <v>1</v>
          </cell>
          <cell r="D3030">
            <v>1</v>
          </cell>
          <cell r="E3030">
            <v>2210</v>
          </cell>
          <cell r="F3030" t="str">
            <v>VC01</v>
          </cell>
          <cell r="G3030" t="str">
            <v>Auto</v>
          </cell>
          <cell r="H3030">
            <v>311</v>
          </cell>
          <cell r="I3030">
            <v>2210</v>
          </cell>
          <cell r="J3030">
            <v>2310</v>
          </cell>
          <cell r="K3030" t="str">
            <v>VC01</v>
          </cell>
        </row>
        <row r="3031">
          <cell r="A3031" t="str">
            <v>1VJ1LPTPA68CERZA</v>
          </cell>
          <cell r="B3031" t="str">
            <v>SMT</v>
          </cell>
          <cell r="C3031">
            <v>1</v>
          </cell>
          <cell r="D3031" t="e">
            <v>#N/A</v>
          </cell>
        </row>
        <row r="3032">
          <cell r="A3032" t="str">
            <v>1VJ2LPTPA68CERZA</v>
          </cell>
          <cell r="B3032" t="str">
            <v>SMT</v>
          </cell>
          <cell r="C3032">
            <v>1</v>
          </cell>
          <cell r="D3032" t="e">
            <v>#N/A</v>
          </cell>
        </row>
        <row r="3033">
          <cell r="A3033" t="str">
            <v>1RE1LPTPA68CERZA</v>
          </cell>
          <cell r="B3033" t="str">
            <v>SMT</v>
          </cell>
          <cell r="C3033">
            <v>1</v>
          </cell>
          <cell r="D3033">
            <v>118</v>
          </cell>
        </row>
        <row r="3034">
          <cell r="A3034" t="str">
            <v>1RE2LPTPA68CERZA</v>
          </cell>
          <cell r="B3034" t="str">
            <v>SMT</v>
          </cell>
          <cell r="C3034">
            <v>1</v>
          </cell>
          <cell r="D3034">
            <v>484</v>
          </cell>
          <cell r="E3034">
            <v>2210</v>
          </cell>
          <cell r="F3034" t="str">
            <v>VC01</v>
          </cell>
          <cell r="G3034" t="str">
            <v>Auto</v>
          </cell>
          <cell r="H3034">
            <v>311</v>
          </cell>
          <cell r="I3034">
            <v>2210</v>
          </cell>
          <cell r="J3034">
            <v>2220</v>
          </cell>
          <cell r="K3034" t="str">
            <v>VC01</v>
          </cell>
        </row>
        <row r="3035">
          <cell r="A3035" t="str">
            <v>PNLB2779ZA-YY</v>
          </cell>
          <cell r="B3035" t="str">
            <v>SMT</v>
          </cell>
          <cell r="C3035">
            <v>1</v>
          </cell>
          <cell r="D3035" t="e">
            <v>#N/A</v>
          </cell>
        </row>
        <row r="3036">
          <cell r="A3036" t="str">
            <v>1VJ1LPTPA68RZA</v>
          </cell>
          <cell r="B3036" t="str">
            <v>SMT</v>
          </cell>
          <cell r="C3036">
            <v>1</v>
          </cell>
          <cell r="D3036" t="e">
            <v>#N/A</v>
          </cell>
        </row>
        <row r="3037">
          <cell r="A3037" t="str">
            <v>1VJ2LPTPA68RZA</v>
          </cell>
          <cell r="B3037" t="str">
            <v>SMT</v>
          </cell>
          <cell r="C3037">
            <v>1</v>
          </cell>
          <cell r="D3037" t="e">
            <v>#N/A</v>
          </cell>
        </row>
        <row r="3038">
          <cell r="A3038" t="str">
            <v>1RE1LPTPA68RZA</v>
          </cell>
          <cell r="B3038" t="str">
            <v>SMT</v>
          </cell>
          <cell r="C3038">
            <v>1</v>
          </cell>
          <cell r="D3038">
            <v>118</v>
          </cell>
        </row>
        <row r="3039">
          <cell r="A3039" t="str">
            <v>1RE2LPTPA68RZA</v>
          </cell>
          <cell r="B3039" t="str">
            <v>SMT</v>
          </cell>
          <cell r="C3039">
            <v>1</v>
          </cell>
          <cell r="D3039">
            <v>484</v>
          </cell>
          <cell r="E3039">
            <v>2210</v>
          </cell>
          <cell r="F3039" t="str">
            <v>VC01</v>
          </cell>
          <cell r="G3039" t="str">
            <v>Auto</v>
          </cell>
          <cell r="H3039">
            <v>311</v>
          </cell>
          <cell r="I3039">
            <v>2210</v>
          </cell>
          <cell r="J3039">
            <v>2220</v>
          </cell>
          <cell r="K3039" t="str">
            <v>VC01</v>
          </cell>
        </row>
        <row r="3040">
          <cell r="A3040" t="str">
            <v>1RE1PSLP1517ZA</v>
          </cell>
          <cell r="B3040" t="str">
            <v>SMT</v>
          </cell>
          <cell r="C3040">
            <v>1</v>
          </cell>
          <cell r="D3040">
            <v>3</v>
          </cell>
        </row>
        <row r="3041">
          <cell r="A3041" t="str">
            <v>1RE2PSLP1517ZA</v>
          </cell>
          <cell r="B3041" t="str">
            <v>SMT</v>
          </cell>
          <cell r="C3041">
            <v>1</v>
          </cell>
          <cell r="D3041">
            <v>52</v>
          </cell>
          <cell r="E3041">
            <v>2210</v>
          </cell>
          <cell r="F3041" t="str">
            <v>VC01</v>
          </cell>
          <cell r="G3041" t="str">
            <v>Auto</v>
          </cell>
          <cell r="H3041">
            <v>311</v>
          </cell>
          <cell r="I3041">
            <v>2210</v>
          </cell>
          <cell r="J3041">
            <v>2310</v>
          </cell>
          <cell r="K3041" t="str">
            <v>VC01</v>
          </cell>
        </row>
        <row r="3042">
          <cell r="A3042" t="str">
            <v>1VJ1PSLP1564ZA</v>
          </cell>
          <cell r="B3042" t="str">
            <v>SMT</v>
          </cell>
          <cell r="C3042">
            <v>1</v>
          </cell>
          <cell r="D3042" t="e">
            <v>#N/A</v>
          </cell>
        </row>
        <row r="3043">
          <cell r="A3043" t="str">
            <v>1RE1PSLP1564ZA</v>
          </cell>
          <cell r="B3043" t="str">
            <v>SMT</v>
          </cell>
          <cell r="C3043">
            <v>1</v>
          </cell>
          <cell r="D3043">
            <v>13</v>
          </cell>
        </row>
        <row r="3044">
          <cell r="A3044" t="str">
            <v>1RE2PSLP1564ZA</v>
          </cell>
          <cell r="B3044" t="str">
            <v>SMT</v>
          </cell>
          <cell r="C3044">
            <v>1</v>
          </cell>
          <cell r="D3044">
            <v>434</v>
          </cell>
          <cell r="E3044">
            <v>2210</v>
          </cell>
          <cell r="F3044" t="str">
            <v>VC01</v>
          </cell>
          <cell r="G3044" t="str">
            <v>Auto</v>
          </cell>
          <cell r="H3044">
            <v>311</v>
          </cell>
          <cell r="I3044">
            <v>2210</v>
          </cell>
          <cell r="J3044" t="e">
            <v>#N/A</v>
          </cell>
          <cell r="K3044" t="str">
            <v>VC01</v>
          </cell>
        </row>
        <row r="3045">
          <cell r="A3045" t="str">
            <v>1VJ1PSLP1585ZA</v>
          </cell>
          <cell r="B3045" t="str">
            <v>SMT</v>
          </cell>
          <cell r="C3045">
            <v>1</v>
          </cell>
          <cell r="D3045" t="e">
            <v>#N/A</v>
          </cell>
        </row>
        <row r="3046">
          <cell r="A3046" t="str">
            <v>1RE1PSLP1585ZA</v>
          </cell>
          <cell r="B3046" t="str">
            <v>SMT</v>
          </cell>
          <cell r="C3046">
            <v>1</v>
          </cell>
          <cell r="D3046">
            <v>30</v>
          </cell>
        </row>
        <row r="3047">
          <cell r="A3047" t="str">
            <v>1RE2PSLP1585ZA</v>
          </cell>
          <cell r="B3047" t="str">
            <v>SMT</v>
          </cell>
          <cell r="C3047">
            <v>1</v>
          </cell>
          <cell r="D3047">
            <v>256</v>
          </cell>
          <cell r="E3047">
            <v>2210</v>
          </cell>
          <cell r="F3047" t="str">
            <v>VC01</v>
          </cell>
          <cell r="G3047" t="str">
            <v>Auto</v>
          </cell>
          <cell r="H3047">
            <v>311</v>
          </cell>
          <cell r="I3047">
            <v>2210</v>
          </cell>
          <cell r="J3047">
            <v>2310</v>
          </cell>
          <cell r="K3047" t="str">
            <v>VC01</v>
          </cell>
        </row>
        <row r="3048">
          <cell r="A3048" t="str">
            <v>1VJ1PSLP1586ZA</v>
          </cell>
          <cell r="B3048" t="str">
            <v>SMT</v>
          </cell>
          <cell r="C3048">
            <v>1</v>
          </cell>
          <cell r="D3048" t="e">
            <v>#N/A</v>
          </cell>
        </row>
        <row r="3049">
          <cell r="A3049" t="str">
            <v>1RE1PSLP1586ZA</v>
          </cell>
          <cell r="B3049" t="str">
            <v>SMT</v>
          </cell>
          <cell r="C3049">
            <v>1</v>
          </cell>
          <cell r="D3049">
            <v>30</v>
          </cell>
        </row>
        <row r="3050">
          <cell r="A3050" t="str">
            <v>1RE2PSLP1586ZA</v>
          </cell>
          <cell r="B3050" t="str">
            <v>SMT</v>
          </cell>
          <cell r="C3050">
            <v>1</v>
          </cell>
          <cell r="D3050">
            <v>240</v>
          </cell>
          <cell r="E3050">
            <v>2210</v>
          </cell>
          <cell r="F3050" t="str">
            <v>VC01</v>
          </cell>
          <cell r="G3050" t="str">
            <v>Auto</v>
          </cell>
          <cell r="H3050">
            <v>311</v>
          </cell>
          <cell r="I3050">
            <v>2210</v>
          </cell>
          <cell r="J3050">
            <v>2310</v>
          </cell>
          <cell r="K3050" t="str">
            <v>VC01</v>
          </cell>
        </row>
        <row r="3051">
          <cell r="A3051" t="str">
            <v>1RE1PSLP1587ZA</v>
          </cell>
          <cell r="B3051" t="str">
            <v>SMT</v>
          </cell>
          <cell r="C3051">
            <v>1</v>
          </cell>
          <cell r="D3051">
            <v>3</v>
          </cell>
        </row>
        <row r="3052">
          <cell r="A3052" t="str">
            <v>1RE2PSLP1587ZA</v>
          </cell>
          <cell r="B3052" t="str">
            <v>SMT</v>
          </cell>
          <cell r="C3052">
            <v>1</v>
          </cell>
          <cell r="D3052">
            <v>35</v>
          </cell>
          <cell r="E3052">
            <v>2210</v>
          </cell>
          <cell r="F3052" t="str">
            <v>VC01</v>
          </cell>
          <cell r="G3052" t="str">
            <v>Auto</v>
          </cell>
          <cell r="H3052">
            <v>311</v>
          </cell>
          <cell r="I3052">
            <v>2210</v>
          </cell>
          <cell r="J3052">
            <v>2310</v>
          </cell>
          <cell r="K3052" t="str">
            <v>VC01</v>
          </cell>
        </row>
        <row r="3053">
          <cell r="A3053" t="str">
            <v>1VJ1PSLP1589ZA</v>
          </cell>
          <cell r="B3053" t="str">
            <v>SMT</v>
          </cell>
          <cell r="C3053">
            <v>1</v>
          </cell>
          <cell r="D3053" t="e">
            <v>#N/A</v>
          </cell>
        </row>
        <row r="3054">
          <cell r="A3054" t="str">
            <v>1RE1PSLP1589ZA</v>
          </cell>
          <cell r="B3054" t="str">
            <v>SMT</v>
          </cell>
          <cell r="C3054">
            <v>1</v>
          </cell>
          <cell r="D3054">
            <v>60</v>
          </cell>
        </row>
        <row r="3055">
          <cell r="A3055" t="str">
            <v>1RE2PSLP1589ZA</v>
          </cell>
          <cell r="B3055" t="str">
            <v>SMT</v>
          </cell>
          <cell r="C3055">
            <v>1</v>
          </cell>
          <cell r="D3055">
            <v>92</v>
          </cell>
          <cell r="E3055">
            <v>2210</v>
          </cell>
          <cell r="F3055" t="str">
            <v>VC01</v>
          </cell>
          <cell r="G3055" t="str">
            <v>Auto</v>
          </cell>
          <cell r="H3055">
            <v>311</v>
          </cell>
          <cell r="I3055">
            <v>2210</v>
          </cell>
          <cell r="J3055">
            <v>2310</v>
          </cell>
          <cell r="K3055" t="str">
            <v>VC01</v>
          </cell>
        </row>
        <row r="3056">
          <cell r="A3056" t="str">
            <v>1RE1PSLP1615ZA</v>
          </cell>
          <cell r="B3056" t="str">
            <v>SMT</v>
          </cell>
          <cell r="C3056">
            <v>1</v>
          </cell>
          <cell r="D3056">
            <v>13</v>
          </cell>
        </row>
        <row r="3057">
          <cell r="A3057" t="str">
            <v>1RE2PSLP1615ZA</v>
          </cell>
          <cell r="B3057" t="str">
            <v>SMT</v>
          </cell>
          <cell r="C3057">
            <v>1</v>
          </cell>
          <cell r="D3057">
            <v>231</v>
          </cell>
          <cell r="E3057">
            <v>2210</v>
          </cell>
          <cell r="F3057" t="str">
            <v>VC01</v>
          </cell>
          <cell r="G3057" t="str">
            <v>Auto</v>
          </cell>
          <cell r="H3057">
            <v>311</v>
          </cell>
          <cell r="I3057">
            <v>2210</v>
          </cell>
          <cell r="J3057">
            <v>2220</v>
          </cell>
          <cell r="K3057" t="str">
            <v>VC01</v>
          </cell>
        </row>
        <row r="3058">
          <cell r="A3058" t="str">
            <v>2RE1T7775</v>
          </cell>
          <cell r="B3058" t="str">
            <v>SMT</v>
          </cell>
          <cell r="C3058">
            <v>1</v>
          </cell>
          <cell r="D3058">
            <v>42</v>
          </cell>
        </row>
        <row r="3059">
          <cell r="A3059" t="str">
            <v>2RH1T7775</v>
          </cell>
          <cell r="B3059" t="str">
            <v>SMT</v>
          </cell>
          <cell r="C3059">
            <v>1</v>
          </cell>
          <cell r="D3059">
            <v>2</v>
          </cell>
          <cell r="E3059">
            <v>2210</v>
          </cell>
          <cell r="F3059" t="str">
            <v>VC01</v>
          </cell>
          <cell r="G3059" t="str">
            <v>Auto</v>
          </cell>
          <cell r="H3059">
            <v>311</v>
          </cell>
          <cell r="I3059">
            <v>2210</v>
          </cell>
          <cell r="J3059">
            <v>2310</v>
          </cell>
          <cell r="K3059" t="str">
            <v>VC01</v>
          </cell>
        </row>
        <row r="3060">
          <cell r="A3060" t="str">
            <v>2AP1T7775</v>
          </cell>
          <cell r="B3060" t="str">
            <v>DIP</v>
          </cell>
          <cell r="C3060">
            <v>1</v>
          </cell>
          <cell r="D3060" t="e">
            <v>#N/A</v>
          </cell>
          <cell r="E3060">
            <v>2210</v>
          </cell>
          <cell r="F3060" t="str">
            <v>VC01</v>
          </cell>
          <cell r="G3060" t="str">
            <v>Auto</v>
          </cell>
          <cell r="H3060">
            <v>311</v>
          </cell>
          <cell r="I3060">
            <v>2210</v>
          </cell>
          <cell r="J3060">
            <v>2310</v>
          </cell>
          <cell r="K3060" t="str">
            <v>VC01</v>
          </cell>
        </row>
        <row r="3061">
          <cell r="A3061" t="str">
            <v>1VJ1LPTPA68CRZA</v>
          </cell>
          <cell r="B3061" t="str">
            <v>SMT</v>
          </cell>
          <cell r="C3061">
            <v>1</v>
          </cell>
          <cell r="D3061" t="e">
            <v>#N/A</v>
          </cell>
        </row>
        <row r="3062">
          <cell r="A3062" t="str">
            <v>1VJ2LPTPA68CRZA</v>
          </cell>
          <cell r="B3062" t="str">
            <v>SMT</v>
          </cell>
          <cell r="C3062">
            <v>1</v>
          </cell>
          <cell r="D3062" t="e">
            <v>#N/A</v>
          </cell>
        </row>
        <row r="3063">
          <cell r="A3063" t="str">
            <v>1RE1LPTPA68CRZA</v>
          </cell>
          <cell r="B3063" t="str">
            <v>SMT</v>
          </cell>
          <cell r="C3063">
            <v>1</v>
          </cell>
          <cell r="D3063">
            <v>118</v>
          </cell>
        </row>
        <row r="3064">
          <cell r="A3064" t="str">
            <v>1RE2LPTPA68CRZA</v>
          </cell>
          <cell r="B3064" t="str">
            <v>SMT</v>
          </cell>
          <cell r="C3064">
            <v>1</v>
          </cell>
          <cell r="D3064">
            <v>482</v>
          </cell>
          <cell r="E3064">
            <v>2210</v>
          </cell>
          <cell r="F3064" t="str">
            <v>VC01</v>
          </cell>
          <cell r="G3064" t="str">
            <v>Auto</v>
          </cell>
          <cell r="H3064">
            <v>311</v>
          </cell>
          <cell r="I3064">
            <v>2210</v>
          </cell>
          <cell r="J3064">
            <v>2220</v>
          </cell>
          <cell r="K3064" t="str">
            <v>VC01</v>
          </cell>
        </row>
        <row r="3065">
          <cell r="A3065" t="str">
            <v>1VJ1LPTPA70R1ZA-G2</v>
          </cell>
          <cell r="B3065" t="str">
            <v>SMT</v>
          </cell>
          <cell r="C3065">
            <v>1</v>
          </cell>
          <cell r="D3065" t="e">
            <v>#N/A</v>
          </cell>
        </row>
        <row r="3066">
          <cell r="A3066" t="str">
            <v>1RE1LPTPA70R1ZA-G2</v>
          </cell>
          <cell r="B3066" t="str">
            <v>SMT</v>
          </cell>
          <cell r="C3066">
            <v>1</v>
          </cell>
          <cell r="D3066">
            <v>42</v>
          </cell>
        </row>
        <row r="3067">
          <cell r="A3067" t="str">
            <v>1RE2LPTPA70R1ZA-G2</v>
          </cell>
          <cell r="B3067" t="str">
            <v>SMT</v>
          </cell>
          <cell r="C3067">
            <v>1</v>
          </cell>
          <cell r="D3067">
            <v>231</v>
          </cell>
        </row>
        <row r="3068">
          <cell r="A3068" t="str">
            <v>1AP1LPTPA70R1ZA-G2</v>
          </cell>
          <cell r="B3068" t="str">
            <v>DIP</v>
          </cell>
          <cell r="C3068">
            <v>1</v>
          </cell>
          <cell r="D3068" t="e">
            <v>#N/A</v>
          </cell>
          <cell r="E3068">
            <v>2210</v>
          </cell>
        </row>
        <row r="3069">
          <cell r="A3069" t="str">
            <v>1VJ1LPTPA72R1ZA-G2</v>
          </cell>
          <cell r="B3069" t="str">
            <v>SMT</v>
          </cell>
          <cell r="C3069">
            <v>1</v>
          </cell>
          <cell r="D3069" t="e">
            <v>#N/A</v>
          </cell>
        </row>
        <row r="3070">
          <cell r="A3070" t="str">
            <v>1RE1LPTPA72R1ZA-G2</v>
          </cell>
          <cell r="B3070" t="str">
            <v>SMT</v>
          </cell>
          <cell r="C3070">
            <v>1</v>
          </cell>
          <cell r="D3070">
            <v>45</v>
          </cell>
        </row>
        <row r="3071">
          <cell r="A3071" t="str">
            <v>1RE2LPTPA72R1ZA-G2</v>
          </cell>
          <cell r="B3071" t="str">
            <v>SMT</v>
          </cell>
          <cell r="C3071">
            <v>1</v>
          </cell>
          <cell r="D3071">
            <v>264</v>
          </cell>
        </row>
        <row r="3072">
          <cell r="A3072" t="str">
            <v>1AP1LPTPA72R1ZA-G2</v>
          </cell>
          <cell r="B3072" t="str">
            <v>DIP</v>
          </cell>
          <cell r="C3072">
            <v>1</v>
          </cell>
          <cell r="D3072" t="e">
            <v>#N/A</v>
          </cell>
          <cell r="E3072">
            <v>2210</v>
          </cell>
        </row>
        <row r="3073">
          <cell r="A3073" t="str">
            <v>1RE2LPTPA73R1ZA-G3</v>
          </cell>
          <cell r="B3073" t="str">
            <v>SMT</v>
          </cell>
          <cell r="C3073">
            <v>1</v>
          </cell>
          <cell r="D3073">
            <v>273</v>
          </cell>
        </row>
        <row r="3074">
          <cell r="A3074" t="str">
            <v>1AP1LPTPA73R1ZA-G3</v>
          </cell>
          <cell r="B3074" t="str">
            <v>DIP</v>
          </cell>
          <cell r="C3074">
            <v>1</v>
          </cell>
          <cell r="D3074" t="e">
            <v>#N/A</v>
          </cell>
          <cell r="E3074">
            <v>2210</v>
          </cell>
        </row>
        <row r="3075">
          <cell r="A3075" t="str">
            <v>1VJ1LPHDV340M1ZA</v>
          </cell>
          <cell r="B3075" t="str">
            <v>SMT</v>
          </cell>
          <cell r="C3075">
            <v>1</v>
          </cell>
          <cell r="D3075" t="e">
            <v>#N/A</v>
          </cell>
        </row>
        <row r="3076">
          <cell r="A3076" t="str">
            <v>1RE1LPHDV340M1ZA</v>
          </cell>
          <cell r="B3076" t="str">
            <v>SMT</v>
          </cell>
          <cell r="C3076">
            <v>1</v>
          </cell>
          <cell r="D3076">
            <v>112</v>
          </cell>
        </row>
        <row r="3077">
          <cell r="A3077" t="str">
            <v>1RE2LPHDV340M1ZA</v>
          </cell>
          <cell r="B3077" t="str">
            <v>SMT</v>
          </cell>
          <cell r="C3077">
            <v>1</v>
          </cell>
          <cell r="D3077">
            <v>444</v>
          </cell>
          <cell r="E3077">
            <v>2210</v>
          </cell>
          <cell r="F3077" t="str">
            <v>VC01</v>
          </cell>
          <cell r="G3077" t="str">
            <v>Auto</v>
          </cell>
          <cell r="H3077">
            <v>311</v>
          </cell>
          <cell r="I3077">
            <v>2210</v>
          </cell>
          <cell r="J3077">
            <v>2220</v>
          </cell>
          <cell r="K3077" t="str">
            <v>VC01</v>
          </cell>
        </row>
        <row r="3078">
          <cell r="A3078" t="str">
            <v>1VJ1LPHDV3401ZA</v>
          </cell>
          <cell r="B3078" t="str">
            <v>SMT</v>
          </cell>
          <cell r="C3078">
            <v>1</v>
          </cell>
          <cell r="D3078" t="e">
            <v>#N/A</v>
          </cell>
        </row>
        <row r="3079">
          <cell r="A3079" t="str">
            <v>1RE1LPHDV3401ZA</v>
          </cell>
          <cell r="B3079" t="str">
            <v>SMT</v>
          </cell>
          <cell r="C3079">
            <v>1</v>
          </cell>
          <cell r="D3079">
            <v>112</v>
          </cell>
        </row>
        <row r="3080">
          <cell r="A3080" t="str">
            <v>1RE2LPHDV3401ZA</v>
          </cell>
          <cell r="B3080" t="str">
            <v>SMT</v>
          </cell>
          <cell r="C3080">
            <v>1</v>
          </cell>
          <cell r="D3080">
            <v>444</v>
          </cell>
          <cell r="E3080">
            <v>2210</v>
          </cell>
          <cell r="F3080" t="str">
            <v>VC01</v>
          </cell>
          <cell r="G3080" t="str">
            <v>Auto</v>
          </cell>
          <cell r="H3080">
            <v>311</v>
          </cell>
          <cell r="I3080">
            <v>2210</v>
          </cell>
          <cell r="J3080">
            <v>2220</v>
          </cell>
          <cell r="K3080" t="str">
            <v>VC01</v>
          </cell>
        </row>
        <row r="3081">
          <cell r="A3081" t="str">
            <v>1VJ1LPHDV330X1YA</v>
          </cell>
          <cell r="B3081" t="str">
            <v>SMT</v>
          </cell>
          <cell r="C3081">
            <v>1</v>
          </cell>
          <cell r="D3081" t="e">
            <v>#N/A</v>
          </cell>
        </row>
        <row r="3082">
          <cell r="A3082" t="str">
            <v>1RE1LPHDV330X1YA</v>
          </cell>
          <cell r="B3082" t="str">
            <v>SMT</v>
          </cell>
          <cell r="C3082">
            <v>1</v>
          </cell>
          <cell r="D3082">
            <v>112</v>
          </cell>
        </row>
        <row r="3083">
          <cell r="A3083" t="str">
            <v>1RE2LPHDV330X1YA</v>
          </cell>
          <cell r="B3083" t="str">
            <v>SMT</v>
          </cell>
          <cell r="C3083">
            <v>1</v>
          </cell>
          <cell r="D3083">
            <v>443</v>
          </cell>
          <cell r="E3083">
            <v>2210</v>
          </cell>
          <cell r="F3083" t="str">
            <v>VC01</v>
          </cell>
          <cell r="G3083" t="str">
            <v>Auto</v>
          </cell>
          <cell r="H3083">
            <v>311</v>
          </cell>
          <cell r="I3083">
            <v>2210</v>
          </cell>
          <cell r="J3083">
            <v>2220</v>
          </cell>
          <cell r="K3083" t="str">
            <v>VC01</v>
          </cell>
        </row>
        <row r="3084">
          <cell r="A3084" t="str">
            <v>1VJ1LPHDV330RU1YA</v>
          </cell>
          <cell r="B3084" t="str">
            <v>SMT</v>
          </cell>
          <cell r="C3084">
            <v>1</v>
          </cell>
          <cell r="D3084" t="e">
            <v>#N/A</v>
          </cell>
        </row>
        <row r="3085">
          <cell r="A3085" t="str">
            <v>1RE1LPHDV330RU1YA</v>
          </cell>
          <cell r="B3085" t="str">
            <v>SMT</v>
          </cell>
          <cell r="C3085">
            <v>1</v>
          </cell>
          <cell r="D3085">
            <v>112</v>
          </cell>
        </row>
        <row r="3086">
          <cell r="A3086" t="str">
            <v>1RE2LPHDV330RU1YA</v>
          </cell>
          <cell r="B3086" t="str">
            <v>SMT</v>
          </cell>
          <cell r="C3086">
            <v>1</v>
          </cell>
          <cell r="D3086">
            <v>443</v>
          </cell>
          <cell r="E3086">
            <v>2210</v>
          </cell>
          <cell r="F3086" t="str">
            <v>VC01</v>
          </cell>
          <cell r="G3086" t="str">
            <v>Auto</v>
          </cell>
          <cell r="H3086">
            <v>311</v>
          </cell>
          <cell r="I3086">
            <v>2210</v>
          </cell>
          <cell r="J3086">
            <v>2220</v>
          </cell>
          <cell r="K3086" t="str">
            <v>VC01</v>
          </cell>
        </row>
        <row r="3087">
          <cell r="A3087" t="str">
            <v>1VJ1LPHDV330C1YA</v>
          </cell>
          <cell r="B3087" t="str">
            <v>SMT</v>
          </cell>
          <cell r="C3087">
            <v>1</v>
          </cell>
          <cell r="D3087" t="e">
            <v>#N/A</v>
          </cell>
        </row>
        <row r="3088">
          <cell r="A3088" t="str">
            <v>1RE1LPHDV330C1YA</v>
          </cell>
          <cell r="B3088" t="str">
            <v>SMT</v>
          </cell>
          <cell r="C3088">
            <v>1</v>
          </cell>
          <cell r="D3088">
            <v>113</v>
          </cell>
        </row>
        <row r="3089">
          <cell r="A3089" t="str">
            <v>1RE2LPHDV330C1YA</v>
          </cell>
          <cell r="B3089" t="str">
            <v>SMT</v>
          </cell>
          <cell r="C3089">
            <v>1</v>
          </cell>
          <cell r="D3089">
            <v>442</v>
          </cell>
          <cell r="E3089">
            <v>2210</v>
          </cell>
          <cell r="F3089" t="str">
            <v>VC01</v>
          </cell>
          <cell r="G3089" t="str">
            <v>Auto</v>
          </cell>
          <cell r="H3089">
            <v>311</v>
          </cell>
          <cell r="I3089">
            <v>2210</v>
          </cell>
          <cell r="J3089">
            <v>2220</v>
          </cell>
          <cell r="K3089" t="str">
            <v>VC01</v>
          </cell>
        </row>
        <row r="3090">
          <cell r="A3090" t="str">
            <v>PNLB2455ZB-AP</v>
          </cell>
          <cell r="B3090" t="str">
            <v>SMT</v>
          </cell>
          <cell r="C3090">
            <v>1</v>
          </cell>
          <cell r="D3090" t="e">
            <v>#N/A</v>
          </cell>
        </row>
        <row r="3091">
          <cell r="A3091" t="str">
            <v>1VJ1LPHDV3301YA</v>
          </cell>
          <cell r="B3091" t="str">
            <v>SMT</v>
          </cell>
          <cell r="C3091">
            <v>1</v>
          </cell>
          <cell r="D3091" t="e">
            <v>#N/A</v>
          </cell>
        </row>
        <row r="3092">
          <cell r="A3092" t="str">
            <v>1RE1LPHDV3301YA</v>
          </cell>
          <cell r="B3092" t="str">
            <v>SMT</v>
          </cell>
          <cell r="C3092">
            <v>1</v>
          </cell>
          <cell r="D3092">
            <v>112</v>
          </cell>
        </row>
        <row r="3093">
          <cell r="A3093" t="str">
            <v>1RE2LPHDV3301YA</v>
          </cell>
          <cell r="B3093" t="str">
            <v>SMT</v>
          </cell>
          <cell r="C3093">
            <v>1</v>
          </cell>
          <cell r="D3093">
            <v>441</v>
          </cell>
          <cell r="E3093">
            <v>2210</v>
          </cell>
          <cell r="F3093" t="str">
            <v>VC01</v>
          </cell>
          <cell r="G3093" t="str">
            <v>Auto</v>
          </cell>
          <cell r="H3093">
            <v>311</v>
          </cell>
          <cell r="I3093">
            <v>2210</v>
          </cell>
          <cell r="J3093" t="e">
            <v>#N/A</v>
          </cell>
          <cell r="K3093" t="str">
            <v>VC01</v>
          </cell>
        </row>
        <row r="3094">
          <cell r="A3094" t="str">
            <v>PNLB2455ZA-AP</v>
          </cell>
          <cell r="B3094" t="str">
            <v>SMT</v>
          </cell>
          <cell r="C3094">
            <v>1</v>
          </cell>
          <cell r="D3094" t="e">
            <v>#N/A</v>
          </cell>
        </row>
        <row r="3095">
          <cell r="A3095" t="str">
            <v>1VJ2LPHDV3301ZA</v>
          </cell>
          <cell r="B3095" t="str">
            <v>SMT</v>
          </cell>
          <cell r="C3095">
            <v>1</v>
          </cell>
          <cell r="D3095" t="e">
            <v>#N/A</v>
          </cell>
        </row>
        <row r="3096">
          <cell r="A3096" t="str">
            <v>1VJ1LPHDV330N1ZA</v>
          </cell>
          <cell r="B3096" t="str">
            <v>SMT</v>
          </cell>
          <cell r="C3096">
            <v>1</v>
          </cell>
          <cell r="D3096" t="e">
            <v>#N/A</v>
          </cell>
        </row>
        <row r="3097">
          <cell r="A3097" t="str">
            <v>1RE1LPHDV330N1ZA</v>
          </cell>
          <cell r="B3097" t="str">
            <v>SMT</v>
          </cell>
          <cell r="C3097">
            <v>1</v>
          </cell>
          <cell r="D3097">
            <v>140</v>
          </cell>
        </row>
        <row r="3098">
          <cell r="A3098" t="str">
            <v>1RE2LPHDV330N1ZA</v>
          </cell>
          <cell r="B3098" t="str">
            <v>SMT</v>
          </cell>
          <cell r="C3098">
            <v>1</v>
          </cell>
          <cell r="D3098">
            <v>457</v>
          </cell>
          <cell r="E3098">
            <v>2210</v>
          </cell>
          <cell r="F3098" t="str">
            <v>VC01</v>
          </cell>
          <cell r="G3098" t="str">
            <v>Auto</v>
          </cell>
          <cell r="H3098">
            <v>311</v>
          </cell>
          <cell r="I3098">
            <v>2210</v>
          </cell>
          <cell r="J3098">
            <v>2220</v>
          </cell>
          <cell r="K3098" t="str">
            <v>VC01</v>
          </cell>
        </row>
        <row r="3099">
          <cell r="A3099" t="str">
            <v>1VJ1LPHDV430X1ZA</v>
          </cell>
          <cell r="B3099" t="str">
            <v>SMT</v>
          </cell>
          <cell r="C3099">
            <v>1</v>
          </cell>
          <cell r="D3099" t="e">
            <v>#N/A</v>
          </cell>
        </row>
        <row r="3100">
          <cell r="A3100" t="str">
            <v>1RE1LPHDV430X1ZA</v>
          </cell>
          <cell r="B3100" t="str">
            <v>SMT</v>
          </cell>
          <cell r="C3100">
            <v>1</v>
          </cell>
          <cell r="D3100">
            <v>143</v>
          </cell>
        </row>
        <row r="3101">
          <cell r="A3101" t="str">
            <v>1RE2LPHDV430X1ZA</v>
          </cell>
          <cell r="B3101" t="str">
            <v>SMT</v>
          </cell>
          <cell r="C3101">
            <v>1</v>
          </cell>
          <cell r="D3101">
            <v>538</v>
          </cell>
          <cell r="E3101">
            <v>2210</v>
          </cell>
          <cell r="F3101" t="str">
            <v>VC01</v>
          </cell>
          <cell r="G3101" t="str">
            <v>Auto</v>
          </cell>
          <cell r="H3101">
            <v>311</v>
          </cell>
          <cell r="I3101">
            <v>2210</v>
          </cell>
          <cell r="J3101">
            <v>2220</v>
          </cell>
          <cell r="K3101" t="str">
            <v>VC01</v>
          </cell>
        </row>
        <row r="3102">
          <cell r="A3102" t="str">
            <v>1VJ1LPHDV430RU1ZA</v>
          </cell>
          <cell r="B3102" t="str">
            <v>SMT</v>
          </cell>
          <cell r="C3102">
            <v>1</v>
          </cell>
          <cell r="D3102" t="e">
            <v>#N/A</v>
          </cell>
        </row>
        <row r="3103">
          <cell r="A3103" t="str">
            <v>1RE1LPHDV430RU1ZA</v>
          </cell>
          <cell r="B3103" t="str">
            <v>SMT</v>
          </cell>
          <cell r="C3103">
            <v>1</v>
          </cell>
          <cell r="D3103">
            <v>143</v>
          </cell>
        </row>
        <row r="3104">
          <cell r="A3104" t="str">
            <v>1RE2LPHDV430RU1ZA</v>
          </cell>
          <cell r="B3104" t="str">
            <v>SMT</v>
          </cell>
          <cell r="C3104">
            <v>1</v>
          </cell>
          <cell r="D3104">
            <v>538</v>
          </cell>
          <cell r="E3104">
            <v>2210</v>
          </cell>
          <cell r="F3104" t="str">
            <v>VC01</v>
          </cell>
          <cell r="G3104" t="str">
            <v>Auto</v>
          </cell>
          <cell r="H3104">
            <v>311</v>
          </cell>
          <cell r="I3104">
            <v>2210</v>
          </cell>
          <cell r="J3104">
            <v>2220</v>
          </cell>
          <cell r="K3104" t="str">
            <v>VC01</v>
          </cell>
        </row>
        <row r="3105">
          <cell r="A3105" t="str">
            <v>1VJ1LPHDV430N1ZA</v>
          </cell>
          <cell r="B3105" t="str">
            <v>SMT</v>
          </cell>
          <cell r="C3105">
            <v>1</v>
          </cell>
          <cell r="D3105" t="e">
            <v>#N/A</v>
          </cell>
        </row>
        <row r="3106">
          <cell r="A3106" t="str">
            <v>1RE1LPHDV430N1ZA</v>
          </cell>
          <cell r="B3106" t="str">
            <v>SMT</v>
          </cell>
          <cell r="C3106">
            <v>1</v>
          </cell>
          <cell r="D3106">
            <v>143</v>
          </cell>
        </row>
        <row r="3107">
          <cell r="A3107" t="str">
            <v>1RE2LPHDV430N1ZA</v>
          </cell>
          <cell r="B3107" t="str">
            <v>SMT</v>
          </cell>
          <cell r="C3107">
            <v>1</v>
          </cell>
          <cell r="D3107">
            <v>538</v>
          </cell>
          <cell r="E3107">
            <v>2210</v>
          </cell>
          <cell r="F3107" t="str">
            <v>VC01</v>
          </cell>
          <cell r="G3107" t="str">
            <v>Auto</v>
          </cell>
          <cell r="H3107">
            <v>311</v>
          </cell>
          <cell r="I3107">
            <v>2210</v>
          </cell>
          <cell r="J3107">
            <v>2220</v>
          </cell>
          <cell r="K3107" t="str">
            <v>VC01</v>
          </cell>
        </row>
        <row r="3108">
          <cell r="A3108" t="str">
            <v>1VJ1LPHDV430M1ZA</v>
          </cell>
          <cell r="B3108" t="str">
            <v>SMT</v>
          </cell>
          <cell r="C3108">
            <v>1</v>
          </cell>
          <cell r="D3108" t="e">
            <v>#N/A</v>
          </cell>
        </row>
        <row r="3109">
          <cell r="A3109" t="str">
            <v>1RE1LPHDV430M1ZA</v>
          </cell>
          <cell r="B3109" t="str">
            <v>SMT</v>
          </cell>
          <cell r="C3109">
            <v>1</v>
          </cell>
          <cell r="D3109">
            <v>142</v>
          </cell>
        </row>
        <row r="3110">
          <cell r="A3110" t="str">
            <v>1RE2LPHDV430M1ZA</v>
          </cell>
          <cell r="B3110" t="str">
            <v>SMT</v>
          </cell>
          <cell r="C3110">
            <v>1</v>
          </cell>
          <cell r="D3110">
            <v>500</v>
          </cell>
          <cell r="E3110">
            <v>2210</v>
          </cell>
          <cell r="F3110" t="str">
            <v>VC01</v>
          </cell>
          <cell r="G3110" t="str">
            <v>Auto</v>
          </cell>
          <cell r="H3110">
            <v>311</v>
          </cell>
          <cell r="I3110">
            <v>2210</v>
          </cell>
          <cell r="J3110">
            <v>2220</v>
          </cell>
          <cell r="K3110" t="str">
            <v>VC01</v>
          </cell>
        </row>
        <row r="3111">
          <cell r="A3111" t="str">
            <v>1VJ1LPHDV430C1ZA</v>
          </cell>
          <cell r="B3111" t="str">
            <v>SMT</v>
          </cell>
          <cell r="C3111">
            <v>1</v>
          </cell>
          <cell r="D3111" t="e">
            <v>#N/A</v>
          </cell>
        </row>
        <row r="3112">
          <cell r="A3112" t="str">
            <v>1RE1LPHDV430C1ZA</v>
          </cell>
          <cell r="B3112" t="str">
            <v>SMT</v>
          </cell>
          <cell r="C3112">
            <v>1</v>
          </cell>
          <cell r="D3112">
            <v>143</v>
          </cell>
        </row>
        <row r="3113">
          <cell r="A3113" t="str">
            <v>1RE2LPHDV430C1ZA</v>
          </cell>
          <cell r="B3113" t="str">
            <v>SMT</v>
          </cell>
          <cell r="C3113">
            <v>1</v>
          </cell>
          <cell r="D3113">
            <v>538</v>
          </cell>
          <cell r="E3113">
            <v>2210</v>
          </cell>
          <cell r="F3113" t="str">
            <v>VC01</v>
          </cell>
          <cell r="G3113" t="str">
            <v>Auto</v>
          </cell>
          <cell r="H3113">
            <v>311</v>
          </cell>
          <cell r="I3113">
            <v>2210</v>
          </cell>
          <cell r="J3113">
            <v>2220</v>
          </cell>
          <cell r="K3113" t="str">
            <v>VC01</v>
          </cell>
        </row>
        <row r="3114">
          <cell r="A3114" t="str">
            <v>PNLB2455YA-AP</v>
          </cell>
          <cell r="B3114" t="str">
            <v>SMT</v>
          </cell>
          <cell r="C3114">
            <v>1</v>
          </cell>
          <cell r="D3114" t="e">
            <v>#N/A</v>
          </cell>
        </row>
        <row r="3115">
          <cell r="A3115" t="str">
            <v>1VJ1LPHDV4301ZA</v>
          </cell>
          <cell r="B3115" t="str">
            <v>SMT</v>
          </cell>
          <cell r="C3115">
            <v>1</v>
          </cell>
          <cell r="D3115" t="e">
            <v>#N/A</v>
          </cell>
        </row>
        <row r="3116">
          <cell r="A3116" t="str">
            <v>1RE1LPHDV4301ZA</v>
          </cell>
          <cell r="B3116" t="str">
            <v>SMT</v>
          </cell>
          <cell r="C3116">
            <v>1</v>
          </cell>
          <cell r="D3116">
            <v>143</v>
          </cell>
        </row>
        <row r="3117">
          <cell r="A3117" t="str">
            <v>1RE2LPHDV4301ZA</v>
          </cell>
          <cell r="B3117" t="str">
            <v>SMT</v>
          </cell>
          <cell r="C3117">
            <v>1</v>
          </cell>
          <cell r="D3117">
            <v>538</v>
          </cell>
          <cell r="E3117">
            <v>2210</v>
          </cell>
          <cell r="F3117" t="str">
            <v>VC01</v>
          </cell>
          <cell r="G3117" t="str">
            <v>Auto</v>
          </cell>
          <cell r="H3117">
            <v>311</v>
          </cell>
          <cell r="I3117">
            <v>2210</v>
          </cell>
          <cell r="J3117">
            <v>2220</v>
          </cell>
          <cell r="K3117" t="str">
            <v>VC01</v>
          </cell>
        </row>
        <row r="3118">
          <cell r="A3118" t="str">
            <v>1VJ1LPHDV230X1YA</v>
          </cell>
          <cell r="B3118" t="str">
            <v>SMT</v>
          </cell>
          <cell r="C3118">
            <v>1</v>
          </cell>
          <cell r="D3118" t="e">
            <v>#N/A</v>
          </cell>
        </row>
        <row r="3119">
          <cell r="A3119" t="str">
            <v>1RE1LPHDV230X1YA</v>
          </cell>
          <cell r="B3119" t="str">
            <v>SMT</v>
          </cell>
          <cell r="C3119">
            <v>1</v>
          </cell>
          <cell r="D3119">
            <v>114</v>
          </cell>
        </row>
        <row r="3120">
          <cell r="A3120" t="str">
            <v>1RE2LPHDV230X1YA</v>
          </cell>
          <cell r="B3120" t="str">
            <v>SMT</v>
          </cell>
          <cell r="C3120">
            <v>1</v>
          </cell>
          <cell r="D3120">
            <v>454</v>
          </cell>
          <cell r="E3120">
            <v>2210</v>
          </cell>
          <cell r="F3120" t="str">
            <v>VC01</v>
          </cell>
          <cell r="G3120" t="str">
            <v>Auto</v>
          </cell>
          <cell r="H3120">
            <v>311</v>
          </cell>
          <cell r="I3120">
            <v>2210</v>
          </cell>
          <cell r="J3120">
            <v>2220</v>
          </cell>
          <cell r="K3120" t="str">
            <v>VC01</v>
          </cell>
        </row>
        <row r="3121">
          <cell r="A3121" t="str">
            <v>1VJ1LPHDV230RU1YA</v>
          </cell>
          <cell r="B3121" t="str">
            <v>SMT</v>
          </cell>
          <cell r="C3121">
            <v>1</v>
          </cell>
          <cell r="D3121" t="e">
            <v>#N/A</v>
          </cell>
        </row>
        <row r="3122">
          <cell r="A3122" t="str">
            <v>1RE1LPHDV230RU1YA</v>
          </cell>
          <cell r="B3122" t="str">
            <v>SMT</v>
          </cell>
          <cell r="C3122">
            <v>1</v>
          </cell>
          <cell r="D3122">
            <v>114</v>
          </cell>
        </row>
        <row r="3123">
          <cell r="A3123" t="str">
            <v>1RE2LPHDV230RU1YA</v>
          </cell>
          <cell r="B3123" t="str">
            <v>SMT</v>
          </cell>
          <cell r="C3123">
            <v>1</v>
          </cell>
          <cell r="D3123">
            <v>454</v>
          </cell>
          <cell r="E3123">
            <v>2210</v>
          </cell>
          <cell r="F3123" t="str">
            <v>VC01</v>
          </cell>
          <cell r="G3123" t="str">
            <v>Auto</v>
          </cell>
          <cell r="H3123">
            <v>311</v>
          </cell>
          <cell r="I3123">
            <v>2210</v>
          </cell>
          <cell r="J3123">
            <v>2220</v>
          </cell>
          <cell r="K3123" t="str">
            <v>VC01</v>
          </cell>
        </row>
        <row r="3124">
          <cell r="A3124" t="str">
            <v>1VJ1LPHDV230N1YA</v>
          </cell>
          <cell r="B3124" t="str">
            <v>SMT</v>
          </cell>
          <cell r="C3124">
            <v>1</v>
          </cell>
          <cell r="D3124" t="e">
            <v>#N/A</v>
          </cell>
        </row>
        <row r="3125">
          <cell r="A3125" t="str">
            <v>1RE1LPHDV230N1YA</v>
          </cell>
          <cell r="B3125" t="str">
            <v>SMT</v>
          </cell>
          <cell r="C3125">
            <v>1</v>
          </cell>
          <cell r="D3125">
            <v>114</v>
          </cell>
        </row>
        <row r="3126">
          <cell r="A3126" t="str">
            <v>1RE2LPHDV230N1YA</v>
          </cell>
          <cell r="B3126" t="str">
            <v>SMT</v>
          </cell>
          <cell r="C3126">
            <v>1</v>
          </cell>
          <cell r="D3126">
            <v>454</v>
          </cell>
          <cell r="E3126">
            <v>2210</v>
          </cell>
          <cell r="F3126" t="str">
            <v>VC01</v>
          </cell>
          <cell r="G3126" t="str">
            <v>Auto</v>
          </cell>
          <cell r="H3126">
            <v>311</v>
          </cell>
          <cell r="I3126">
            <v>2210</v>
          </cell>
          <cell r="J3126">
            <v>2220</v>
          </cell>
          <cell r="K3126" t="str">
            <v>VC01</v>
          </cell>
        </row>
        <row r="3127">
          <cell r="A3127" t="str">
            <v>1VJ1LPHDV230M1YA</v>
          </cell>
          <cell r="B3127" t="str">
            <v>SMT</v>
          </cell>
          <cell r="C3127">
            <v>1</v>
          </cell>
          <cell r="D3127" t="e">
            <v>#N/A</v>
          </cell>
        </row>
        <row r="3128">
          <cell r="A3128" t="str">
            <v>1RE1LPHDV230M1YA</v>
          </cell>
          <cell r="B3128" t="str">
            <v>SMT</v>
          </cell>
          <cell r="C3128">
            <v>1</v>
          </cell>
          <cell r="D3128">
            <v>114</v>
          </cell>
        </row>
        <row r="3129">
          <cell r="A3129" t="str">
            <v>1RE2LPHDV230M1YA</v>
          </cell>
          <cell r="B3129" t="str">
            <v>SMT</v>
          </cell>
          <cell r="C3129">
            <v>1</v>
          </cell>
          <cell r="D3129">
            <v>454</v>
          </cell>
          <cell r="E3129">
            <v>2210</v>
          </cell>
          <cell r="F3129" t="str">
            <v>VC01</v>
          </cell>
          <cell r="G3129" t="str">
            <v>Auto</v>
          </cell>
          <cell r="H3129">
            <v>311</v>
          </cell>
          <cell r="I3129">
            <v>2210</v>
          </cell>
          <cell r="J3129">
            <v>2220</v>
          </cell>
          <cell r="K3129" t="str">
            <v>VC01</v>
          </cell>
        </row>
        <row r="3130">
          <cell r="A3130" t="str">
            <v>1VJ1LPHDV230C1YA</v>
          </cell>
          <cell r="B3130" t="str">
            <v>SMT</v>
          </cell>
          <cell r="C3130">
            <v>1</v>
          </cell>
          <cell r="D3130" t="e">
            <v>#N/A</v>
          </cell>
        </row>
        <row r="3131">
          <cell r="A3131" t="str">
            <v>1RE1LPHDV230C1YA</v>
          </cell>
          <cell r="B3131" t="str">
            <v>SMT</v>
          </cell>
          <cell r="C3131">
            <v>1</v>
          </cell>
          <cell r="D3131">
            <v>114</v>
          </cell>
        </row>
        <row r="3132">
          <cell r="A3132" t="str">
            <v>1RE2LPHDV230C1YA</v>
          </cell>
          <cell r="B3132" t="str">
            <v>SMT</v>
          </cell>
          <cell r="C3132">
            <v>1</v>
          </cell>
          <cell r="D3132">
            <v>454</v>
          </cell>
          <cell r="E3132">
            <v>2210</v>
          </cell>
          <cell r="F3132" t="str">
            <v>VC01</v>
          </cell>
          <cell r="G3132" t="str">
            <v>Auto</v>
          </cell>
          <cell r="H3132">
            <v>311</v>
          </cell>
          <cell r="I3132">
            <v>2210</v>
          </cell>
          <cell r="J3132">
            <v>2220</v>
          </cell>
          <cell r="K3132" t="str">
            <v>VC01</v>
          </cell>
        </row>
        <row r="3133">
          <cell r="A3133" t="str">
            <v>PNLB2454YA-AP</v>
          </cell>
          <cell r="B3133" t="str">
            <v>SMT</v>
          </cell>
          <cell r="C3133">
            <v>1</v>
          </cell>
          <cell r="D3133" t="e">
            <v>#N/A</v>
          </cell>
        </row>
        <row r="3134">
          <cell r="A3134" t="str">
            <v>1VJ1LPHDV2301YA</v>
          </cell>
          <cell r="B3134" t="str">
            <v>SMT</v>
          </cell>
          <cell r="C3134">
            <v>1</v>
          </cell>
          <cell r="D3134" t="e">
            <v>#N/A</v>
          </cell>
        </row>
        <row r="3135">
          <cell r="A3135" t="str">
            <v>1RE1LPHDV2301YA</v>
          </cell>
          <cell r="B3135" t="str">
            <v>SMT</v>
          </cell>
          <cell r="C3135">
            <v>1</v>
          </cell>
          <cell r="D3135">
            <v>114</v>
          </cell>
        </row>
        <row r="3136">
          <cell r="A3136" t="str">
            <v>1RE2LPHDV2301YA</v>
          </cell>
          <cell r="B3136" t="str">
            <v>SMT</v>
          </cell>
          <cell r="C3136">
            <v>1</v>
          </cell>
          <cell r="D3136">
            <v>454</v>
          </cell>
          <cell r="E3136">
            <v>2210</v>
          </cell>
          <cell r="F3136" t="str">
            <v>VC01</v>
          </cell>
          <cell r="G3136" t="str">
            <v>Auto</v>
          </cell>
          <cell r="H3136">
            <v>311</v>
          </cell>
          <cell r="I3136">
            <v>2210</v>
          </cell>
          <cell r="J3136">
            <v>2220</v>
          </cell>
          <cell r="K3136" t="str">
            <v>VC01</v>
          </cell>
        </row>
        <row r="3137">
          <cell r="A3137" t="str">
            <v>1VJ1LPHDV430X2ZA</v>
          </cell>
          <cell r="B3137" t="str">
            <v>SMT</v>
          </cell>
          <cell r="C3137">
            <v>1</v>
          </cell>
          <cell r="D3137" t="e">
            <v>#N/A</v>
          </cell>
        </row>
        <row r="3138">
          <cell r="A3138" t="str">
            <v>1RE1LPHDV430X2ZA</v>
          </cell>
          <cell r="B3138" t="str">
            <v>SMT</v>
          </cell>
          <cell r="C3138">
            <v>1</v>
          </cell>
          <cell r="D3138">
            <v>0</v>
          </cell>
        </row>
        <row r="3139">
          <cell r="A3139" t="str">
            <v>1RE2LPHDV430X2ZA</v>
          </cell>
          <cell r="B3139" t="str">
            <v>SMT</v>
          </cell>
          <cell r="C3139">
            <v>1</v>
          </cell>
          <cell r="D3139">
            <v>60</v>
          </cell>
        </row>
        <row r="3140">
          <cell r="A3140" t="str">
            <v>PNLPHDV430X2ZA-V4</v>
          </cell>
          <cell r="B3140" t="str">
            <v>SMT</v>
          </cell>
          <cell r="C3140">
            <v>1</v>
          </cell>
          <cell r="D3140">
            <v>0</v>
          </cell>
          <cell r="E3140">
            <v>2210</v>
          </cell>
          <cell r="F3140" t="str">
            <v>VC01</v>
          </cell>
        </row>
        <row r="3141">
          <cell r="A3141" t="str">
            <v>1VJ1LPHDV430RU2ZA</v>
          </cell>
          <cell r="B3141" t="str">
            <v>SMT</v>
          </cell>
          <cell r="C3141">
            <v>1</v>
          </cell>
          <cell r="D3141" t="e">
            <v>#N/A</v>
          </cell>
        </row>
        <row r="3142">
          <cell r="A3142" t="str">
            <v>1RE1LPHDV430RU2ZA</v>
          </cell>
          <cell r="B3142" t="str">
            <v>SMT</v>
          </cell>
          <cell r="C3142">
            <v>1</v>
          </cell>
          <cell r="D3142">
            <v>0</v>
          </cell>
        </row>
        <row r="3143">
          <cell r="A3143" t="str">
            <v>1RE2LPHDV430RU2ZA</v>
          </cell>
          <cell r="B3143" t="str">
            <v>SMT</v>
          </cell>
          <cell r="C3143">
            <v>1</v>
          </cell>
          <cell r="D3143">
            <v>60</v>
          </cell>
        </row>
        <row r="3144">
          <cell r="A3144" t="str">
            <v>PNLPHDV430RU2ZA-V4</v>
          </cell>
          <cell r="B3144" t="str">
            <v>SMT</v>
          </cell>
          <cell r="C3144">
            <v>1</v>
          </cell>
          <cell r="D3144">
            <v>0</v>
          </cell>
          <cell r="E3144">
            <v>2210</v>
          </cell>
          <cell r="F3144" t="str">
            <v>VC01</v>
          </cell>
        </row>
        <row r="3145">
          <cell r="A3145" t="str">
            <v>1VJ1LPHDV430N2ZA</v>
          </cell>
          <cell r="B3145" t="str">
            <v>SMT</v>
          </cell>
          <cell r="C3145">
            <v>1</v>
          </cell>
          <cell r="D3145" t="e">
            <v>#N/A</v>
          </cell>
        </row>
        <row r="3146">
          <cell r="A3146" t="str">
            <v>1RE1LPHDV430N2ZA</v>
          </cell>
          <cell r="B3146" t="str">
            <v>SMT</v>
          </cell>
          <cell r="C3146">
            <v>1</v>
          </cell>
          <cell r="D3146">
            <v>0</v>
          </cell>
        </row>
        <row r="3147">
          <cell r="A3147" t="str">
            <v>1RE2LPHDV430N2ZA</v>
          </cell>
          <cell r="B3147" t="str">
            <v>SMT</v>
          </cell>
          <cell r="C3147">
            <v>1</v>
          </cell>
          <cell r="D3147">
            <v>60</v>
          </cell>
        </row>
        <row r="3148">
          <cell r="A3148" t="str">
            <v>PNLPHDV430N2ZA-V4</v>
          </cell>
          <cell r="B3148" t="str">
            <v>SMT</v>
          </cell>
          <cell r="C3148">
            <v>1</v>
          </cell>
          <cell r="D3148">
            <v>0</v>
          </cell>
          <cell r="E3148">
            <v>2210</v>
          </cell>
          <cell r="F3148" t="str">
            <v>VC01</v>
          </cell>
        </row>
        <row r="3149">
          <cell r="A3149" t="str">
            <v>1VJ1LPHDV430M2ZA</v>
          </cell>
          <cell r="B3149" t="str">
            <v>SMT</v>
          </cell>
          <cell r="C3149">
            <v>1</v>
          </cell>
          <cell r="D3149" t="e">
            <v>#N/A</v>
          </cell>
        </row>
        <row r="3150">
          <cell r="A3150" t="str">
            <v>1RE1LPHDV430M2ZA</v>
          </cell>
          <cell r="B3150" t="str">
            <v>SMT</v>
          </cell>
          <cell r="C3150">
            <v>1</v>
          </cell>
          <cell r="D3150">
            <v>0</v>
          </cell>
        </row>
        <row r="3151">
          <cell r="A3151" t="str">
            <v>1RE2LPHDV430M2ZA</v>
          </cell>
          <cell r="B3151" t="str">
            <v>SMT</v>
          </cell>
          <cell r="C3151">
            <v>1</v>
          </cell>
          <cell r="D3151">
            <v>60</v>
          </cell>
        </row>
        <row r="3152">
          <cell r="A3152" t="str">
            <v>PNLPHDV430M2ZA-V4</v>
          </cell>
          <cell r="B3152" t="str">
            <v>SMT</v>
          </cell>
          <cell r="C3152">
            <v>1</v>
          </cell>
          <cell r="D3152">
            <v>0</v>
          </cell>
          <cell r="E3152">
            <v>2210</v>
          </cell>
          <cell r="F3152" t="str">
            <v>VC01</v>
          </cell>
        </row>
        <row r="3153">
          <cell r="A3153" t="str">
            <v>1VJ1LPHDV430C2ZA</v>
          </cell>
          <cell r="B3153" t="str">
            <v>SMT</v>
          </cell>
          <cell r="C3153">
            <v>1</v>
          </cell>
          <cell r="D3153" t="e">
            <v>#N/A</v>
          </cell>
        </row>
        <row r="3154">
          <cell r="A3154" t="str">
            <v>1RE1LPHDV430C2ZA</v>
          </cell>
          <cell r="B3154" t="str">
            <v>SMT</v>
          </cell>
          <cell r="C3154">
            <v>1</v>
          </cell>
          <cell r="D3154">
            <v>0</v>
          </cell>
        </row>
        <row r="3155">
          <cell r="A3155" t="str">
            <v>1RE2LPHDV430C2ZA</v>
          </cell>
          <cell r="B3155" t="str">
            <v>SMT</v>
          </cell>
          <cell r="C3155">
            <v>1</v>
          </cell>
          <cell r="D3155">
            <v>60</v>
          </cell>
        </row>
        <row r="3156">
          <cell r="A3156" t="str">
            <v>PNLPHDV430C2ZA-V4</v>
          </cell>
          <cell r="B3156" t="str">
            <v>SMT</v>
          </cell>
          <cell r="C3156">
            <v>1</v>
          </cell>
          <cell r="D3156">
            <v>0</v>
          </cell>
          <cell r="E3156">
            <v>2210</v>
          </cell>
          <cell r="F3156" t="str">
            <v>VC01</v>
          </cell>
        </row>
        <row r="3157">
          <cell r="A3157" t="str">
            <v>1VJ1LPHDV4302ZA</v>
          </cell>
          <cell r="B3157" t="str">
            <v>SMT</v>
          </cell>
          <cell r="C3157">
            <v>1</v>
          </cell>
          <cell r="D3157" t="e">
            <v>#N/A</v>
          </cell>
        </row>
        <row r="3158">
          <cell r="A3158" t="str">
            <v>1RE1LPHDV4302ZA</v>
          </cell>
          <cell r="B3158" t="str">
            <v>SMT</v>
          </cell>
          <cell r="C3158">
            <v>1</v>
          </cell>
          <cell r="D3158">
            <v>0</v>
          </cell>
        </row>
        <row r="3159">
          <cell r="A3159" t="str">
            <v>1RE2LPHDV4302ZA</v>
          </cell>
          <cell r="B3159" t="str">
            <v>SMT</v>
          </cell>
          <cell r="C3159">
            <v>1</v>
          </cell>
          <cell r="D3159">
            <v>59</v>
          </cell>
        </row>
        <row r="3160">
          <cell r="A3160" t="str">
            <v>PNLPHDV4302ZA-V4</v>
          </cell>
          <cell r="B3160" t="str">
            <v>SMT</v>
          </cell>
          <cell r="C3160">
            <v>1</v>
          </cell>
          <cell r="D3160">
            <v>0</v>
          </cell>
          <cell r="E3160">
            <v>2210</v>
          </cell>
          <cell r="F3160" t="str">
            <v>VC01</v>
          </cell>
        </row>
        <row r="3161">
          <cell r="A3161" t="str">
            <v>1VI1LPHDV20N1ZA</v>
          </cell>
          <cell r="B3161" t="str">
            <v>SMT</v>
          </cell>
          <cell r="C3161">
            <v>1</v>
          </cell>
          <cell r="D3161" t="e">
            <v>#N/A</v>
          </cell>
        </row>
        <row r="3162">
          <cell r="A3162" t="str">
            <v>1RE1LPHDV20N1ZA</v>
          </cell>
          <cell r="B3162" t="str">
            <v>SMT</v>
          </cell>
          <cell r="C3162">
            <v>1</v>
          </cell>
          <cell r="D3162">
            <v>138</v>
          </cell>
        </row>
        <row r="3163">
          <cell r="A3163" t="str">
            <v>1RE2LPHDV20N1ZA</v>
          </cell>
          <cell r="B3163" t="str">
            <v>SMT</v>
          </cell>
          <cell r="C3163">
            <v>1</v>
          </cell>
          <cell r="D3163">
            <v>120</v>
          </cell>
          <cell r="E3163">
            <v>2210</v>
          </cell>
          <cell r="F3163" t="str">
            <v>VC01</v>
          </cell>
          <cell r="G3163" t="str">
            <v>Auto</v>
          </cell>
          <cell r="H3163">
            <v>311</v>
          </cell>
          <cell r="I3163">
            <v>2210</v>
          </cell>
          <cell r="J3163">
            <v>2310</v>
          </cell>
          <cell r="K3163" t="str">
            <v>VC01</v>
          </cell>
        </row>
        <row r="3164">
          <cell r="A3164" t="str">
            <v>1VI1LPHDV201ZA</v>
          </cell>
          <cell r="B3164" t="str">
            <v>SMT</v>
          </cell>
          <cell r="C3164">
            <v>1</v>
          </cell>
          <cell r="D3164" t="e">
            <v>#N/A</v>
          </cell>
        </row>
        <row r="3165">
          <cell r="A3165" t="str">
            <v>1RE1LPHDV201ZA</v>
          </cell>
          <cell r="B3165" t="str">
            <v>SMT</v>
          </cell>
          <cell r="C3165">
            <v>1</v>
          </cell>
          <cell r="D3165">
            <v>138</v>
          </cell>
        </row>
        <row r="3166">
          <cell r="A3166" t="str">
            <v>1RE2LPHDV201ZA</v>
          </cell>
          <cell r="B3166" t="str">
            <v>SMT</v>
          </cell>
          <cell r="C3166">
            <v>1</v>
          </cell>
          <cell r="D3166">
            <v>120</v>
          </cell>
          <cell r="E3166">
            <v>2210</v>
          </cell>
          <cell r="F3166" t="str">
            <v>VC01</v>
          </cell>
          <cell r="G3166" t="str">
            <v>Auto</v>
          </cell>
          <cell r="H3166">
            <v>311</v>
          </cell>
          <cell r="I3166">
            <v>2210</v>
          </cell>
          <cell r="J3166">
            <v>2310</v>
          </cell>
          <cell r="K3166" t="str">
            <v>VC01</v>
          </cell>
        </row>
        <row r="3167">
          <cell r="A3167" t="str">
            <v>1RE1LPNT5462ZA</v>
          </cell>
          <cell r="B3167" t="str">
            <v>SMT</v>
          </cell>
          <cell r="C3167">
            <v>1</v>
          </cell>
          <cell r="D3167">
            <v>197</v>
          </cell>
          <cell r="E3167">
            <v>2210</v>
          </cell>
          <cell r="F3167" t="str">
            <v>VC01</v>
          </cell>
          <cell r="G3167" t="str">
            <v>Auto</v>
          </cell>
          <cell r="H3167">
            <v>311</v>
          </cell>
          <cell r="I3167">
            <v>2210</v>
          </cell>
          <cell r="J3167">
            <v>2310</v>
          </cell>
          <cell r="K3167" t="str">
            <v>VC01</v>
          </cell>
        </row>
        <row r="3168">
          <cell r="A3168" t="str">
            <v>1AP1LPNT5462ZA</v>
          </cell>
          <cell r="B3168" t="str">
            <v>DIP</v>
          </cell>
          <cell r="C3168">
            <v>1</v>
          </cell>
          <cell r="D3168" t="e">
            <v>#N/A</v>
          </cell>
          <cell r="E3168">
            <v>2210</v>
          </cell>
          <cell r="F3168" t="str">
            <v>VC01</v>
          </cell>
          <cell r="G3168" t="str">
            <v>Auto</v>
          </cell>
          <cell r="H3168">
            <v>311</v>
          </cell>
          <cell r="I3168">
            <v>2210</v>
          </cell>
          <cell r="J3168">
            <v>2310</v>
          </cell>
          <cell r="K3168" t="str">
            <v>VC01</v>
          </cell>
        </row>
        <row r="3169">
          <cell r="A3169" t="str">
            <v>1RE1LPHDV2303ZA</v>
          </cell>
          <cell r="B3169" t="str">
            <v>SMT</v>
          </cell>
          <cell r="C3169">
            <v>1</v>
          </cell>
          <cell r="D3169">
            <v>8</v>
          </cell>
          <cell r="E3169">
            <v>2210</v>
          </cell>
          <cell r="F3169" t="str">
            <v>VC01</v>
          </cell>
          <cell r="G3169" t="str">
            <v>Auto</v>
          </cell>
          <cell r="H3169">
            <v>311</v>
          </cell>
          <cell r="I3169">
            <v>2210</v>
          </cell>
          <cell r="J3169">
            <v>2310</v>
          </cell>
          <cell r="K3169" t="str">
            <v>VC01</v>
          </cell>
        </row>
        <row r="3170">
          <cell r="A3170" t="str">
            <v>1RE1LPHDV2302ZA</v>
          </cell>
          <cell r="B3170" t="str">
            <v>SMT</v>
          </cell>
          <cell r="C3170">
            <v>1</v>
          </cell>
          <cell r="D3170">
            <v>77</v>
          </cell>
          <cell r="E3170">
            <v>2210</v>
          </cell>
          <cell r="F3170" t="str">
            <v>VC01</v>
          </cell>
          <cell r="G3170" t="str">
            <v>Auto</v>
          </cell>
          <cell r="H3170">
            <v>311</v>
          </cell>
          <cell r="I3170">
            <v>2210</v>
          </cell>
          <cell r="J3170">
            <v>2310</v>
          </cell>
          <cell r="K3170" t="str">
            <v>VC01</v>
          </cell>
        </row>
        <row r="3171">
          <cell r="A3171" t="str">
            <v>1VI1LPNT5461ZA</v>
          </cell>
          <cell r="B3171" t="str">
            <v>SMT</v>
          </cell>
          <cell r="C3171">
            <v>1</v>
          </cell>
          <cell r="D3171" t="e">
            <v>#N/A</v>
          </cell>
        </row>
        <row r="3172">
          <cell r="A3172" t="str">
            <v>1RE1LPNT5461ZA</v>
          </cell>
          <cell r="B3172" t="str">
            <v>SMT</v>
          </cell>
          <cell r="C3172">
            <v>1</v>
          </cell>
          <cell r="D3172">
            <v>223</v>
          </cell>
        </row>
        <row r="3173">
          <cell r="A3173" t="str">
            <v>1RE2LPNT5461ZA</v>
          </cell>
          <cell r="B3173" t="str">
            <v>SMT</v>
          </cell>
          <cell r="C3173">
            <v>1</v>
          </cell>
          <cell r="D3173">
            <v>228</v>
          </cell>
          <cell r="E3173">
            <v>2210</v>
          </cell>
          <cell r="F3173" t="str">
            <v>VC01</v>
          </cell>
          <cell r="G3173" t="str">
            <v>Auto</v>
          </cell>
          <cell r="H3173">
            <v>311</v>
          </cell>
          <cell r="I3173">
            <v>2210</v>
          </cell>
          <cell r="J3173">
            <v>2220</v>
          </cell>
          <cell r="K3173" t="str">
            <v>VC01</v>
          </cell>
        </row>
        <row r="3174">
          <cell r="A3174" t="str">
            <v>1AP1LPNT5461ZA</v>
          </cell>
          <cell r="B3174" t="str">
            <v>DIP</v>
          </cell>
          <cell r="C3174">
            <v>1</v>
          </cell>
          <cell r="D3174" t="e">
            <v>#N/A</v>
          </cell>
          <cell r="E3174">
            <v>2210</v>
          </cell>
          <cell r="F3174" t="str">
            <v>VC01</v>
          </cell>
          <cell r="G3174" t="str">
            <v>Auto</v>
          </cell>
          <cell r="H3174">
            <v>311</v>
          </cell>
          <cell r="I3174">
            <v>2210</v>
          </cell>
          <cell r="J3174">
            <v>2220</v>
          </cell>
          <cell r="K3174" t="str">
            <v>VC01</v>
          </cell>
        </row>
        <row r="3175">
          <cell r="A3175" t="str">
            <v>1VI1LPNT5431ZA</v>
          </cell>
          <cell r="B3175" t="str">
            <v>SMT</v>
          </cell>
          <cell r="C3175">
            <v>1</v>
          </cell>
          <cell r="D3175" t="e">
            <v>#N/A</v>
          </cell>
        </row>
        <row r="3176">
          <cell r="A3176" t="str">
            <v>1RE1LPNT5431ZA</v>
          </cell>
          <cell r="B3176" t="str">
            <v>SMT</v>
          </cell>
          <cell r="C3176">
            <v>1</v>
          </cell>
          <cell r="D3176">
            <v>223</v>
          </cell>
        </row>
        <row r="3177">
          <cell r="A3177" t="str">
            <v>1RE2LPNT5431ZA</v>
          </cell>
          <cell r="B3177" t="str">
            <v>SMT</v>
          </cell>
          <cell r="C3177">
            <v>1</v>
          </cell>
          <cell r="D3177">
            <v>228</v>
          </cell>
          <cell r="E3177">
            <v>2210</v>
          </cell>
          <cell r="F3177" t="str">
            <v>VC01</v>
          </cell>
          <cell r="G3177" t="str">
            <v>Auto</v>
          </cell>
          <cell r="H3177">
            <v>311</v>
          </cell>
          <cell r="I3177">
            <v>2210</v>
          </cell>
          <cell r="J3177">
            <v>2220</v>
          </cell>
          <cell r="K3177" t="str">
            <v>VC01</v>
          </cell>
        </row>
        <row r="3178">
          <cell r="A3178" t="str">
            <v>1AP1LPNT5431ZA</v>
          </cell>
          <cell r="B3178" t="str">
            <v>DIP</v>
          </cell>
          <cell r="C3178">
            <v>1</v>
          </cell>
          <cell r="D3178" t="e">
            <v>#N/A</v>
          </cell>
          <cell r="E3178">
            <v>2210</v>
          </cell>
          <cell r="F3178" t="str">
            <v>VC01</v>
          </cell>
          <cell r="G3178" t="str">
            <v>Auto</v>
          </cell>
          <cell r="H3178">
            <v>311</v>
          </cell>
          <cell r="I3178">
            <v>2210</v>
          </cell>
          <cell r="J3178">
            <v>2220</v>
          </cell>
          <cell r="K3178" t="str">
            <v>VC01</v>
          </cell>
        </row>
        <row r="3179">
          <cell r="A3179" t="str">
            <v>1RE1LPHTS32SA2ZA</v>
          </cell>
          <cell r="B3179" t="str">
            <v>SMT</v>
          </cell>
          <cell r="C3179">
            <v>1</v>
          </cell>
          <cell r="D3179">
            <v>699</v>
          </cell>
        </row>
        <row r="3180">
          <cell r="A3180" t="str">
            <v>1RE2LPHTS32SA2ZA</v>
          </cell>
          <cell r="B3180" t="str">
            <v>SMT</v>
          </cell>
          <cell r="C3180">
            <v>1</v>
          </cell>
          <cell r="D3180">
            <v>683</v>
          </cell>
        </row>
        <row r="3181">
          <cell r="A3181" t="str">
            <v>1RH1LPHTS32SA2ZA</v>
          </cell>
          <cell r="B3181" t="str">
            <v>SMT</v>
          </cell>
          <cell r="C3181">
            <v>1</v>
          </cell>
          <cell r="D3181">
            <v>5</v>
          </cell>
          <cell r="E3181">
            <v>2210</v>
          </cell>
          <cell r="F3181" t="str">
            <v>VC01</v>
          </cell>
          <cell r="G3181" t="str">
            <v>Auto</v>
          </cell>
          <cell r="H3181">
            <v>311</v>
          </cell>
          <cell r="I3181">
            <v>2210</v>
          </cell>
          <cell r="J3181">
            <v>2220</v>
          </cell>
          <cell r="K3181" t="str">
            <v>VC01</v>
          </cell>
        </row>
        <row r="3182">
          <cell r="A3182" t="str">
            <v>1AP1LPHTS32SA2ZA</v>
          </cell>
          <cell r="B3182" t="str">
            <v>DIP</v>
          </cell>
          <cell r="C3182">
            <v>1</v>
          </cell>
          <cell r="D3182" t="e">
            <v>#N/A</v>
          </cell>
          <cell r="E3182">
            <v>2210</v>
          </cell>
          <cell r="F3182" t="str">
            <v>VC01</v>
          </cell>
          <cell r="G3182" t="str">
            <v>Auto</v>
          </cell>
          <cell r="H3182">
            <v>311</v>
          </cell>
          <cell r="I3182">
            <v>2210</v>
          </cell>
          <cell r="J3182">
            <v>2220</v>
          </cell>
          <cell r="K3182" t="str">
            <v>VC01</v>
          </cell>
        </row>
        <row r="3183">
          <cell r="A3183" t="str">
            <v>1RE1LPHTS32ML2ZA</v>
          </cell>
          <cell r="B3183" t="str">
            <v>SMT</v>
          </cell>
          <cell r="C3183">
            <v>1</v>
          </cell>
          <cell r="D3183">
            <v>708</v>
          </cell>
        </row>
        <row r="3184">
          <cell r="A3184" t="str">
            <v>1RE2LPHTS32ML2ZA</v>
          </cell>
          <cell r="B3184" t="str">
            <v>SMT</v>
          </cell>
          <cell r="C3184">
            <v>1</v>
          </cell>
          <cell r="D3184">
            <v>670</v>
          </cell>
        </row>
        <row r="3185">
          <cell r="A3185" t="str">
            <v>1RH1LPHTS32ML2ZA</v>
          </cell>
          <cell r="B3185" t="str">
            <v>SMT</v>
          </cell>
          <cell r="C3185">
            <v>1</v>
          </cell>
          <cell r="D3185">
            <v>5</v>
          </cell>
          <cell r="E3185">
            <v>2210</v>
          </cell>
          <cell r="F3185" t="str">
            <v>VC01</v>
          </cell>
          <cell r="G3185" t="str">
            <v>Auto</v>
          </cell>
          <cell r="H3185">
            <v>311</v>
          </cell>
          <cell r="I3185">
            <v>2210</v>
          </cell>
          <cell r="J3185">
            <v>2220</v>
          </cell>
          <cell r="K3185" t="str">
            <v>VC01</v>
          </cell>
        </row>
        <row r="3186">
          <cell r="A3186" t="str">
            <v>1AP1LPHTS32ML2ZA</v>
          </cell>
          <cell r="B3186" t="str">
            <v>DIP</v>
          </cell>
          <cell r="C3186">
            <v>1</v>
          </cell>
          <cell r="D3186" t="e">
            <v>#N/A</v>
          </cell>
          <cell r="E3186">
            <v>2210</v>
          </cell>
          <cell r="F3186" t="str">
            <v>VC01</v>
          </cell>
          <cell r="G3186" t="str">
            <v>Auto</v>
          </cell>
          <cell r="H3186">
            <v>311</v>
          </cell>
          <cell r="I3186">
            <v>2210</v>
          </cell>
          <cell r="J3186">
            <v>2220</v>
          </cell>
          <cell r="K3186" t="str">
            <v>VC01</v>
          </cell>
        </row>
        <row r="3187">
          <cell r="A3187" t="str">
            <v>1RE1LPHTS32LA2ZA</v>
          </cell>
          <cell r="B3187" t="str">
            <v>SMT</v>
          </cell>
          <cell r="C3187">
            <v>1</v>
          </cell>
          <cell r="D3187">
            <v>699</v>
          </cell>
        </row>
        <row r="3188">
          <cell r="A3188" t="str">
            <v>1RE2LPHTS32LA2ZA</v>
          </cell>
          <cell r="B3188" t="str">
            <v>SMT</v>
          </cell>
          <cell r="C3188">
            <v>1</v>
          </cell>
          <cell r="D3188">
            <v>679</v>
          </cell>
        </row>
        <row r="3189">
          <cell r="A3189" t="str">
            <v>1RH1LPHTS32LA2ZA</v>
          </cell>
          <cell r="B3189" t="str">
            <v>SMT</v>
          </cell>
          <cell r="C3189">
            <v>1</v>
          </cell>
          <cell r="D3189">
            <v>5</v>
          </cell>
          <cell r="E3189">
            <v>2210</v>
          </cell>
          <cell r="F3189" t="str">
            <v>VC01</v>
          </cell>
          <cell r="G3189" t="str">
            <v>Auto</v>
          </cell>
          <cell r="H3189">
            <v>311</v>
          </cell>
          <cell r="I3189">
            <v>2210</v>
          </cell>
          <cell r="J3189">
            <v>2220</v>
          </cell>
          <cell r="K3189" t="str">
            <v>VC01</v>
          </cell>
        </row>
        <row r="3190">
          <cell r="A3190" t="str">
            <v>1AP1LPHTS32LA2ZA</v>
          </cell>
          <cell r="B3190" t="str">
            <v>DIP</v>
          </cell>
          <cell r="C3190">
            <v>1</v>
          </cell>
          <cell r="D3190" t="e">
            <v>#N/A</v>
          </cell>
          <cell r="E3190">
            <v>2210</v>
          </cell>
          <cell r="F3190" t="str">
            <v>VC01</v>
          </cell>
          <cell r="G3190" t="str">
            <v>Auto</v>
          </cell>
          <cell r="H3190">
            <v>311</v>
          </cell>
          <cell r="I3190">
            <v>2210</v>
          </cell>
          <cell r="J3190">
            <v>2220</v>
          </cell>
          <cell r="K3190" t="str">
            <v>VC01</v>
          </cell>
        </row>
        <row r="3191">
          <cell r="A3191" t="str">
            <v>1RE1LPHTS32BR2ZA</v>
          </cell>
          <cell r="B3191" t="str">
            <v>SMT</v>
          </cell>
          <cell r="C3191">
            <v>1</v>
          </cell>
          <cell r="D3191">
            <v>690</v>
          </cell>
        </row>
        <row r="3192">
          <cell r="A3192" t="str">
            <v>1RE2LPHTS32BR2ZA</v>
          </cell>
          <cell r="B3192" t="str">
            <v>SMT</v>
          </cell>
          <cell r="C3192">
            <v>1</v>
          </cell>
          <cell r="D3192">
            <v>676</v>
          </cell>
        </row>
        <row r="3193">
          <cell r="A3193" t="str">
            <v>1RH1LPHTS32BR2ZA</v>
          </cell>
          <cell r="B3193" t="str">
            <v>SMT</v>
          </cell>
          <cell r="C3193">
            <v>1</v>
          </cell>
          <cell r="D3193">
            <v>5</v>
          </cell>
          <cell r="E3193">
            <v>2210</v>
          </cell>
          <cell r="F3193" t="str">
            <v>VC01</v>
          </cell>
          <cell r="G3193" t="str">
            <v>Auto</v>
          </cell>
          <cell r="H3193">
            <v>311</v>
          </cell>
          <cell r="I3193">
            <v>2210</v>
          </cell>
          <cell r="J3193">
            <v>2220</v>
          </cell>
          <cell r="K3193" t="str">
            <v>VC01</v>
          </cell>
        </row>
        <row r="3194">
          <cell r="A3194" t="str">
            <v>1AP1LPHTS32BR2ZA</v>
          </cell>
          <cell r="B3194" t="str">
            <v>DIP</v>
          </cell>
          <cell r="C3194">
            <v>1</v>
          </cell>
          <cell r="D3194" t="e">
            <v>#N/A</v>
          </cell>
          <cell r="E3194">
            <v>2210</v>
          </cell>
          <cell r="F3194" t="str">
            <v>VC01</v>
          </cell>
          <cell r="G3194" t="str">
            <v>Auto</v>
          </cell>
          <cell r="H3194">
            <v>311</v>
          </cell>
          <cell r="I3194">
            <v>2210</v>
          </cell>
          <cell r="J3194">
            <v>2220</v>
          </cell>
          <cell r="K3194" t="str">
            <v>VC01</v>
          </cell>
        </row>
        <row r="3195">
          <cell r="A3195" t="str">
            <v>1RE1LPHTS32AG2ZA</v>
          </cell>
          <cell r="B3195" t="str">
            <v>SMT</v>
          </cell>
          <cell r="C3195">
            <v>1</v>
          </cell>
          <cell r="D3195">
            <v>699</v>
          </cell>
        </row>
        <row r="3196">
          <cell r="A3196" t="str">
            <v>1RE2LPHTS32AG2ZA</v>
          </cell>
          <cell r="B3196" t="str">
            <v>SMT</v>
          </cell>
          <cell r="C3196">
            <v>1</v>
          </cell>
          <cell r="D3196">
            <v>687</v>
          </cell>
        </row>
        <row r="3197">
          <cell r="A3197" t="str">
            <v>1RH1LPHTS32AG2ZA</v>
          </cell>
          <cell r="B3197" t="str">
            <v>SMT</v>
          </cell>
          <cell r="C3197">
            <v>1</v>
          </cell>
          <cell r="D3197">
            <v>5</v>
          </cell>
          <cell r="E3197">
            <v>2210</v>
          </cell>
          <cell r="F3197" t="str">
            <v>VC01</v>
          </cell>
          <cell r="G3197" t="str">
            <v>Auto</v>
          </cell>
          <cell r="H3197">
            <v>311</v>
          </cell>
          <cell r="I3197">
            <v>2210</v>
          </cell>
          <cell r="J3197">
            <v>2220</v>
          </cell>
          <cell r="K3197" t="str">
            <v>VC01</v>
          </cell>
        </row>
        <row r="3198">
          <cell r="A3198" t="str">
            <v>1AP1LPHTS32AG2ZA</v>
          </cell>
          <cell r="B3198" t="str">
            <v>DIP</v>
          </cell>
          <cell r="C3198">
            <v>1</v>
          </cell>
          <cell r="D3198" t="e">
            <v>#N/A</v>
          </cell>
          <cell r="E3198">
            <v>2210</v>
          </cell>
          <cell r="F3198" t="str">
            <v>VC01</v>
          </cell>
          <cell r="G3198" t="str">
            <v>Auto</v>
          </cell>
          <cell r="H3198">
            <v>311</v>
          </cell>
          <cell r="I3198">
            <v>2210</v>
          </cell>
          <cell r="J3198">
            <v>2220</v>
          </cell>
          <cell r="K3198" t="str">
            <v>VC01</v>
          </cell>
        </row>
        <row r="3199">
          <cell r="A3199" t="str">
            <v>1RE1LPHT82480XZA</v>
          </cell>
          <cell r="B3199" t="str">
            <v>SMT</v>
          </cell>
          <cell r="C3199">
            <v>1</v>
          </cell>
          <cell r="D3199">
            <v>180</v>
          </cell>
        </row>
        <row r="3200">
          <cell r="A3200" t="str">
            <v>1RE2LPHT82480XZA</v>
          </cell>
          <cell r="B3200" t="str">
            <v>SMT</v>
          </cell>
          <cell r="C3200">
            <v>1</v>
          </cell>
          <cell r="D3200">
            <v>249</v>
          </cell>
        </row>
        <row r="3201">
          <cell r="A3201" t="str">
            <v>1RH1LPHT82480XZA</v>
          </cell>
          <cell r="B3201" t="str">
            <v>SMT</v>
          </cell>
          <cell r="C3201">
            <v>1</v>
          </cell>
          <cell r="D3201">
            <v>5</v>
          </cell>
          <cell r="E3201">
            <v>2210</v>
          </cell>
          <cell r="F3201" t="str">
            <v>VC01</v>
          </cell>
          <cell r="G3201" t="str">
            <v>Auto</v>
          </cell>
          <cell r="H3201">
            <v>311</v>
          </cell>
          <cell r="I3201">
            <v>2210</v>
          </cell>
          <cell r="J3201">
            <v>2310</v>
          </cell>
          <cell r="K3201" t="str">
            <v>VC01</v>
          </cell>
        </row>
        <row r="3202">
          <cell r="A3202" t="str">
            <v>1AP1LPHT82480XZA</v>
          </cell>
          <cell r="B3202" t="str">
            <v>DIP</v>
          </cell>
          <cell r="C3202">
            <v>1</v>
          </cell>
          <cell r="D3202" t="e">
            <v>#N/A</v>
          </cell>
          <cell r="E3202">
            <v>2210</v>
          </cell>
          <cell r="F3202" t="str">
            <v>VC01</v>
          </cell>
          <cell r="G3202" t="str">
            <v>Auto</v>
          </cell>
          <cell r="H3202">
            <v>311</v>
          </cell>
          <cell r="I3202">
            <v>2210</v>
          </cell>
          <cell r="J3202">
            <v>2310</v>
          </cell>
          <cell r="K3202" t="str">
            <v>VC01</v>
          </cell>
        </row>
        <row r="3203">
          <cell r="A3203" t="str">
            <v>1RE1LPHT82480SAZA</v>
          </cell>
          <cell r="B3203" t="str">
            <v>SMT</v>
          </cell>
          <cell r="C3203">
            <v>1</v>
          </cell>
          <cell r="D3203">
            <v>185</v>
          </cell>
        </row>
        <row r="3204">
          <cell r="A3204" t="str">
            <v>1RE2LPHT82480SAZA</v>
          </cell>
          <cell r="B3204" t="str">
            <v>SMT</v>
          </cell>
          <cell r="C3204">
            <v>1</v>
          </cell>
          <cell r="D3204">
            <v>249</v>
          </cell>
        </row>
        <row r="3205">
          <cell r="A3205" t="str">
            <v>1RH1LPHT82480SAZA</v>
          </cell>
          <cell r="B3205" t="str">
            <v>SMT</v>
          </cell>
          <cell r="C3205">
            <v>1</v>
          </cell>
          <cell r="D3205">
            <v>5</v>
          </cell>
          <cell r="E3205">
            <v>2210</v>
          </cell>
          <cell r="F3205" t="str">
            <v>VC01</v>
          </cell>
          <cell r="G3205" t="str">
            <v>Auto</v>
          </cell>
          <cell r="H3205">
            <v>311</v>
          </cell>
          <cell r="I3205">
            <v>2210</v>
          </cell>
          <cell r="J3205">
            <v>2310</v>
          </cell>
          <cell r="K3205" t="str">
            <v>VC01</v>
          </cell>
        </row>
        <row r="3206">
          <cell r="A3206" t="str">
            <v>1AP1LPHT82480SAZA</v>
          </cell>
          <cell r="B3206" t="str">
            <v>DIP</v>
          </cell>
          <cell r="C3206">
            <v>1</v>
          </cell>
          <cell r="D3206" t="e">
            <v>#N/A</v>
          </cell>
          <cell r="E3206">
            <v>2210</v>
          </cell>
          <cell r="F3206" t="str">
            <v>VC01</v>
          </cell>
          <cell r="G3206" t="str">
            <v>Auto</v>
          </cell>
          <cell r="H3206">
            <v>311</v>
          </cell>
          <cell r="I3206">
            <v>2210</v>
          </cell>
          <cell r="J3206">
            <v>2310</v>
          </cell>
          <cell r="K3206" t="str">
            <v>VC01</v>
          </cell>
        </row>
        <row r="3207">
          <cell r="A3207" t="str">
            <v>1RE1LPHT82480BRZA</v>
          </cell>
          <cell r="B3207" t="str">
            <v>SMT</v>
          </cell>
          <cell r="C3207">
            <v>1</v>
          </cell>
          <cell r="D3207">
            <v>180</v>
          </cell>
        </row>
        <row r="3208">
          <cell r="A3208" t="str">
            <v>1RE2LPHT82480BRZA</v>
          </cell>
          <cell r="B3208" t="str">
            <v>SMT</v>
          </cell>
          <cell r="C3208">
            <v>1</v>
          </cell>
          <cell r="D3208">
            <v>238</v>
          </cell>
        </row>
        <row r="3209">
          <cell r="A3209" t="str">
            <v>1RH1LPHT82480BRZA</v>
          </cell>
          <cell r="B3209" t="str">
            <v>SMT</v>
          </cell>
          <cell r="C3209">
            <v>1</v>
          </cell>
          <cell r="D3209">
            <v>5</v>
          </cell>
          <cell r="E3209">
            <v>2210</v>
          </cell>
          <cell r="F3209" t="str">
            <v>VC01</v>
          </cell>
          <cell r="G3209" t="str">
            <v>Auto</v>
          </cell>
          <cell r="H3209">
            <v>311</v>
          </cell>
          <cell r="I3209">
            <v>2210</v>
          </cell>
          <cell r="J3209">
            <v>2310</v>
          </cell>
          <cell r="K3209" t="str">
            <v>VC01</v>
          </cell>
        </row>
        <row r="3210">
          <cell r="A3210" t="str">
            <v>1AP1LPHT82480BRZA</v>
          </cell>
          <cell r="B3210" t="str">
            <v>DIP</v>
          </cell>
          <cell r="C3210">
            <v>1</v>
          </cell>
          <cell r="D3210" t="e">
            <v>#N/A</v>
          </cell>
          <cell r="E3210">
            <v>2210</v>
          </cell>
          <cell r="F3210" t="str">
            <v>VC01</v>
          </cell>
          <cell r="G3210" t="str">
            <v>Auto</v>
          </cell>
          <cell r="H3210">
            <v>311</v>
          </cell>
          <cell r="I3210">
            <v>2210</v>
          </cell>
          <cell r="J3210">
            <v>2310</v>
          </cell>
          <cell r="K3210" t="str">
            <v>VC01</v>
          </cell>
        </row>
        <row r="3211">
          <cell r="A3211" t="str">
            <v>1RE1LPHT82480AGZA</v>
          </cell>
          <cell r="B3211" t="str">
            <v>SMT</v>
          </cell>
          <cell r="C3211">
            <v>1</v>
          </cell>
          <cell r="D3211">
            <v>189</v>
          </cell>
        </row>
        <row r="3212">
          <cell r="A3212" t="str">
            <v>1RE2LPHT82480AGZA</v>
          </cell>
          <cell r="B3212" t="str">
            <v>SMT</v>
          </cell>
          <cell r="C3212">
            <v>1</v>
          </cell>
          <cell r="D3212">
            <v>249</v>
          </cell>
        </row>
        <row r="3213">
          <cell r="A3213" t="str">
            <v>1RH1LPHT82480AGZA</v>
          </cell>
          <cell r="B3213" t="str">
            <v>SMT</v>
          </cell>
          <cell r="C3213">
            <v>1</v>
          </cell>
          <cell r="D3213">
            <v>5</v>
          </cell>
          <cell r="E3213">
            <v>2210</v>
          </cell>
          <cell r="F3213" t="str">
            <v>VC01</v>
          </cell>
          <cell r="G3213" t="str">
            <v>Auto</v>
          </cell>
          <cell r="H3213">
            <v>311</v>
          </cell>
          <cell r="I3213">
            <v>2210</v>
          </cell>
          <cell r="J3213">
            <v>2310</v>
          </cell>
          <cell r="K3213" t="str">
            <v>VC01</v>
          </cell>
        </row>
        <row r="3214">
          <cell r="A3214" t="str">
            <v>1AP1LPHT82480AGZA</v>
          </cell>
          <cell r="B3214" t="str">
            <v>DIP</v>
          </cell>
          <cell r="C3214">
            <v>1</v>
          </cell>
          <cell r="D3214" t="e">
            <v>#N/A</v>
          </cell>
          <cell r="E3214">
            <v>2210</v>
          </cell>
          <cell r="F3214" t="str">
            <v>VC01</v>
          </cell>
          <cell r="G3214" t="str">
            <v>Auto</v>
          </cell>
          <cell r="H3214">
            <v>311</v>
          </cell>
          <cell r="I3214">
            <v>2210</v>
          </cell>
          <cell r="J3214">
            <v>2310</v>
          </cell>
          <cell r="K3214" t="str">
            <v>VC01</v>
          </cell>
        </row>
        <row r="3215">
          <cell r="A3215" t="str">
            <v>1RE1LPHT82470XZA</v>
          </cell>
          <cell r="B3215" t="str">
            <v>SMT</v>
          </cell>
          <cell r="C3215">
            <v>1</v>
          </cell>
          <cell r="D3215">
            <v>256</v>
          </cell>
        </row>
        <row r="3216">
          <cell r="A3216" t="str">
            <v>1RE2LPHT82470XZA</v>
          </cell>
          <cell r="B3216" t="str">
            <v>SMT</v>
          </cell>
          <cell r="C3216">
            <v>1</v>
          </cell>
          <cell r="D3216">
            <v>219</v>
          </cell>
          <cell r="E3216">
            <v>2210</v>
          </cell>
          <cell r="F3216" t="str">
            <v>VC01</v>
          </cell>
          <cell r="G3216" t="str">
            <v>Auto</v>
          </cell>
          <cell r="H3216">
            <v>311</v>
          </cell>
          <cell r="I3216">
            <v>2210</v>
          </cell>
          <cell r="J3216">
            <v>2310</v>
          </cell>
          <cell r="K3216" t="str">
            <v>VC01</v>
          </cell>
        </row>
        <row r="3217">
          <cell r="A3217" t="str">
            <v>1AP1LPHT82470XZA</v>
          </cell>
          <cell r="B3217" t="str">
            <v>DIP</v>
          </cell>
          <cell r="C3217">
            <v>1</v>
          </cell>
          <cell r="D3217" t="e">
            <v>#N/A</v>
          </cell>
          <cell r="E3217">
            <v>2210</v>
          </cell>
          <cell r="F3217" t="str">
            <v>VC01</v>
          </cell>
          <cell r="G3217" t="str">
            <v>Auto</v>
          </cell>
          <cell r="H3217">
            <v>311</v>
          </cell>
          <cell r="I3217">
            <v>2210</v>
          </cell>
          <cell r="J3217">
            <v>2310</v>
          </cell>
          <cell r="K3217" t="str">
            <v>VC01</v>
          </cell>
        </row>
        <row r="3218">
          <cell r="A3218" t="str">
            <v>1RE1LPHT82470MLZA</v>
          </cell>
          <cell r="B3218" t="str">
            <v>SMT</v>
          </cell>
          <cell r="C3218">
            <v>1</v>
          </cell>
          <cell r="D3218">
            <v>240</v>
          </cell>
        </row>
        <row r="3219">
          <cell r="A3219" t="str">
            <v>1RE2LPHT82470MLZA</v>
          </cell>
          <cell r="B3219" t="str">
            <v>SMT</v>
          </cell>
          <cell r="C3219">
            <v>1</v>
          </cell>
          <cell r="D3219">
            <v>235</v>
          </cell>
          <cell r="E3219">
            <v>2210</v>
          </cell>
          <cell r="F3219" t="str">
            <v>VC01</v>
          </cell>
          <cell r="G3219" t="str">
            <v>Auto</v>
          </cell>
          <cell r="H3219">
            <v>311</v>
          </cell>
          <cell r="I3219">
            <v>2210</v>
          </cell>
          <cell r="J3219">
            <v>2310</v>
          </cell>
          <cell r="K3219" t="str">
            <v>VC01</v>
          </cell>
        </row>
        <row r="3220">
          <cell r="A3220" t="str">
            <v>1AP1LPHT82470MLZA</v>
          </cell>
          <cell r="B3220" t="str">
            <v>DIP</v>
          </cell>
          <cell r="C3220">
            <v>1</v>
          </cell>
          <cell r="D3220" t="e">
            <v>#N/A</v>
          </cell>
          <cell r="E3220">
            <v>2210</v>
          </cell>
          <cell r="F3220" t="str">
            <v>VC01</v>
          </cell>
          <cell r="G3220" t="str">
            <v>Auto</v>
          </cell>
          <cell r="H3220">
            <v>311</v>
          </cell>
          <cell r="I3220">
            <v>2210</v>
          </cell>
          <cell r="J3220">
            <v>2310</v>
          </cell>
          <cell r="K3220" t="str">
            <v>VC01</v>
          </cell>
        </row>
        <row r="3221">
          <cell r="A3221" t="str">
            <v>1RE1LPHT82460XZA</v>
          </cell>
          <cell r="B3221" t="str">
            <v>SMT</v>
          </cell>
          <cell r="C3221">
            <v>1</v>
          </cell>
          <cell r="D3221">
            <v>43</v>
          </cell>
        </row>
        <row r="3222">
          <cell r="A3222" t="str">
            <v>1RE2LPHT82460XZA</v>
          </cell>
          <cell r="B3222" t="str">
            <v>SMT</v>
          </cell>
          <cell r="C3222">
            <v>1</v>
          </cell>
          <cell r="D3222">
            <v>183</v>
          </cell>
          <cell r="E3222">
            <v>2210</v>
          </cell>
          <cell r="F3222" t="str">
            <v>VC01</v>
          </cell>
          <cell r="G3222" t="str">
            <v>Auto</v>
          </cell>
          <cell r="H3222">
            <v>311</v>
          </cell>
          <cell r="I3222">
            <v>2210</v>
          </cell>
          <cell r="J3222">
            <v>2310</v>
          </cell>
          <cell r="K3222" t="str">
            <v>VC01</v>
          </cell>
        </row>
        <row r="3223">
          <cell r="A3223" t="str">
            <v>1AP1LPHT82460XZA</v>
          </cell>
          <cell r="B3223" t="str">
            <v>DIP</v>
          </cell>
          <cell r="C3223">
            <v>1</v>
          </cell>
          <cell r="D3223" t="e">
            <v>#N/A</v>
          </cell>
          <cell r="E3223">
            <v>2210</v>
          </cell>
          <cell r="F3223" t="str">
            <v>VC01</v>
          </cell>
          <cell r="G3223" t="str">
            <v>Auto</v>
          </cell>
          <cell r="H3223">
            <v>311</v>
          </cell>
          <cell r="I3223">
            <v>2210</v>
          </cell>
          <cell r="J3223">
            <v>2310</v>
          </cell>
          <cell r="K3223" t="str">
            <v>VC01</v>
          </cell>
        </row>
        <row r="3224">
          <cell r="A3224" t="str">
            <v>1VJ1LPHDV340X1ZA</v>
          </cell>
          <cell r="B3224" t="str">
            <v>SMT</v>
          </cell>
          <cell r="C3224">
            <v>1</v>
          </cell>
          <cell r="D3224" t="e">
            <v>#N/A</v>
          </cell>
        </row>
        <row r="3225">
          <cell r="A3225" t="str">
            <v>1RE1LPHDV340X1ZA</v>
          </cell>
          <cell r="B3225" t="str">
            <v>SMT</v>
          </cell>
          <cell r="C3225">
            <v>1</v>
          </cell>
          <cell r="D3225">
            <v>112</v>
          </cell>
        </row>
        <row r="3226">
          <cell r="A3226" t="str">
            <v>1RE2LPHDV340X1ZA</v>
          </cell>
          <cell r="B3226" t="str">
            <v>SMT</v>
          </cell>
          <cell r="C3226">
            <v>1</v>
          </cell>
          <cell r="D3226">
            <v>444</v>
          </cell>
          <cell r="E3226">
            <v>2210</v>
          </cell>
          <cell r="F3226" t="str">
            <v>VC01</v>
          </cell>
          <cell r="G3226" t="str">
            <v>Auto</v>
          </cell>
          <cell r="H3226">
            <v>311</v>
          </cell>
          <cell r="I3226">
            <v>2210</v>
          </cell>
          <cell r="J3226">
            <v>2220</v>
          </cell>
          <cell r="K3226" t="str">
            <v>VC01</v>
          </cell>
        </row>
        <row r="3227">
          <cell r="A3227" t="str">
            <v>1VJ1LPPL100RAMZAR1</v>
          </cell>
          <cell r="B3227" t="str">
            <v>SMT</v>
          </cell>
          <cell r="C3227">
            <v>1</v>
          </cell>
          <cell r="D3227" t="e">
            <v>#N/A</v>
          </cell>
        </row>
        <row r="3228">
          <cell r="A3228" t="str">
            <v>1RE1LPPL100RAMZAR1</v>
          </cell>
          <cell r="B3228" t="str">
            <v>SMT</v>
          </cell>
          <cell r="C3228">
            <v>1</v>
          </cell>
          <cell r="D3228">
            <v>144</v>
          </cell>
        </row>
        <row r="3229">
          <cell r="A3229" t="str">
            <v>1RE2LPPL100RAMZAR1</v>
          </cell>
          <cell r="B3229" t="str">
            <v>SMT</v>
          </cell>
          <cell r="C3229">
            <v>1</v>
          </cell>
          <cell r="D3229">
            <v>110</v>
          </cell>
        </row>
        <row r="3230">
          <cell r="A3230" t="str">
            <v>1RE1LPNT5602ZA</v>
          </cell>
          <cell r="B3230" t="str">
            <v>SMT</v>
          </cell>
          <cell r="C3230">
            <v>1</v>
          </cell>
          <cell r="D3230">
            <v>169</v>
          </cell>
          <cell r="E3230">
            <v>2210</v>
          </cell>
          <cell r="F3230" t="str">
            <v>VC01</v>
          </cell>
          <cell r="G3230" t="str">
            <v>Auto</v>
          </cell>
          <cell r="H3230">
            <v>311</v>
          </cell>
          <cell r="I3230">
            <v>2210</v>
          </cell>
          <cell r="J3230">
            <v>2310</v>
          </cell>
          <cell r="K3230" t="str">
            <v>VC01</v>
          </cell>
        </row>
        <row r="3231">
          <cell r="A3231" t="str">
            <v>1AP1LPNT5602ZA</v>
          </cell>
          <cell r="B3231" t="str">
            <v>DIP</v>
          </cell>
          <cell r="C3231">
            <v>1</v>
          </cell>
          <cell r="D3231" t="e">
            <v>#N/A</v>
          </cell>
          <cell r="E3231">
            <v>2210</v>
          </cell>
          <cell r="F3231" t="str">
            <v>VC01</v>
          </cell>
          <cell r="G3231" t="str">
            <v>Auto</v>
          </cell>
          <cell r="H3231">
            <v>311</v>
          </cell>
          <cell r="I3231">
            <v>2210</v>
          </cell>
          <cell r="J3231">
            <v>2310</v>
          </cell>
          <cell r="K3231" t="str">
            <v>VC01</v>
          </cell>
        </row>
        <row r="3232">
          <cell r="A3232" t="str">
            <v>1RE1TDA6174XJSX</v>
          </cell>
          <cell r="B3232" t="str">
            <v>SMT</v>
          </cell>
          <cell r="C3232">
            <v>1</v>
          </cell>
          <cell r="D3232">
            <v>225</v>
          </cell>
        </row>
        <row r="3233">
          <cell r="A3233" t="str">
            <v>1RE2TDA6174XJSX</v>
          </cell>
          <cell r="B3233" t="str">
            <v>SMT</v>
          </cell>
          <cell r="C3233">
            <v>1</v>
          </cell>
          <cell r="D3233">
            <v>416</v>
          </cell>
        </row>
        <row r="3234">
          <cell r="A3234" t="str">
            <v>1RH1TDA6174XJSX</v>
          </cell>
          <cell r="B3234" t="str">
            <v>SMT</v>
          </cell>
          <cell r="C3234">
            <v>1</v>
          </cell>
          <cell r="D3234">
            <v>102</v>
          </cell>
          <cell r="E3234">
            <v>2210</v>
          </cell>
          <cell r="F3234" t="str">
            <v>VC01</v>
          </cell>
          <cell r="G3234" t="str">
            <v>Auto</v>
          </cell>
          <cell r="H3234">
            <v>311</v>
          </cell>
          <cell r="I3234">
            <v>2210</v>
          </cell>
          <cell r="J3234">
            <v>2310</v>
          </cell>
          <cell r="K3234" t="str">
            <v>VC01</v>
          </cell>
        </row>
        <row r="3235">
          <cell r="A3235" t="str">
            <v>1AP1TDA6174XJSX</v>
          </cell>
          <cell r="B3235" t="str">
            <v>DIP</v>
          </cell>
          <cell r="C3235">
            <v>1</v>
          </cell>
          <cell r="D3235" t="e">
            <v>#N/A</v>
          </cell>
          <cell r="E3235">
            <v>2210</v>
          </cell>
          <cell r="F3235" t="str">
            <v>VC01</v>
          </cell>
          <cell r="G3235" t="str">
            <v>Auto</v>
          </cell>
          <cell r="H3235">
            <v>311</v>
          </cell>
          <cell r="I3235">
            <v>2210</v>
          </cell>
          <cell r="J3235">
            <v>2310</v>
          </cell>
          <cell r="K3235" t="str">
            <v>VC01</v>
          </cell>
        </row>
        <row r="3236">
          <cell r="A3236" t="str">
            <v>1RE1TDA0175XJSX</v>
          </cell>
          <cell r="B3236" t="str">
            <v>SMT</v>
          </cell>
          <cell r="C3236">
            <v>1</v>
          </cell>
          <cell r="D3236">
            <v>280</v>
          </cell>
        </row>
        <row r="3237">
          <cell r="A3237" t="str">
            <v>1RE2TDA0175XJSX</v>
          </cell>
          <cell r="B3237" t="str">
            <v>SMT</v>
          </cell>
          <cell r="C3237">
            <v>1</v>
          </cell>
          <cell r="D3237">
            <v>511</v>
          </cell>
        </row>
        <row r="3238">
          <cell r="A3238" t="str">
            <v>1RH1TDA0175XJSX</v>
          </cell>
          <cell r="B3238" t="str">
            <v>SMT</v>
          </cell>
          <cell r="C3238">
            <v>1</v>
          </cell>
          <cell r="D3238">
            <v>118</v>
          </cell>
          <cell r="E3238">
            <v>2210</v>
          </cell>
          <cell r="F3238" t="str">
            <v>VC01</v>
          </cell>
          <cell r="G3238" t="str">
            <v>Auto</v>
          </cell>
          <cell r="H3238">
            <v>311</v>
          </cell>
          <cell r="I3238">
            <v>2210</v>
          </cell>
          <cell r="J3238" t="e">
            <v>#N/A</v>
          </cell>
          <cell r="K3238" t="str">
            <v>VC01</v>
          </cell>
        </row>
        <row r="3239">
          <cell r="A3239" t="str">
            <v>1AP1TDA0175XJSX</v>
          </cell>
          <cell r="B3239" t="str">
            <v>DIP</v>
          </cell>
          <cell r="C3239">
            <v>1</v>
          </cell>
          <cell r="D3239" t="e">
            <v>#N/A</v>
          </cell>
          <cell r="E3239">
            <v>2210</v>
          </cell>
        </row>
        <row r="3240">
          <cell r="A3240" t="str">
            <v>1VJ1TDA0173XJSX</v>
          </cell>
          <cell r="B3240" t="str">
            <v>SMT</v>
          </cell>
          <cell r="C3240">
            <v>1</v>
          </cell>
          <cell r="D3240" t="e">
            <v>#N/A</v>
          </cell>
        </row>
        <row r="3241">
          <cell r="A3241" t="str">
            <v>1RE1TDA0173XJSX</v>
          </cell>
          <cell r="B3241" t="str">
            <v>SMT</v>
          </cell>
          <cell r="C3241">
            <v>1</v>
          </cell>
          <cell r="D3241">
            <v>583</v>
          </cell>
        </row>
        <row r="3242">
          <cell r="A3242" t="str">
            <v>1RE2TDA0173XJSX</v>
          </cell>
          <cell r="B3242" t="str">
            <v>SMT</v>
          </cell>
          <cell r="C3242">
            <v>1</v>
          </cell>
          <cell r="D3242">
            <v>285</v>
          </cell>
        </row>
        <row r="3243">
          <cell r="A3243" t="str">
            <v>1RH1TDA0173XJSX</v>
          </cell>
          <cell r="B3243" t="str">
            <v>SMT</v>
          </cell>
          <cell r="C3243">
            <v>1</v>
          </cell>
          <cell r="D3243">
            <v>76</v>
          </cell>
          <cell r="E3243">
            <v>2210</v>
          </cell>
          <cell r="F3243" t="str">
            <v>VC01</v>
          </cell>
          <cell r="G3243" t="str">
            <v>Auto</v>
          </cell>
          <cell r="H3243">
            <v>311</v>
          </cell>
          <cell r="I3243">
            <v>2210</v>
          </cell>
          <cell r="J3243">
            <v>2310</v>
          </cell>
          <cell r="K3243" t="str">
            <v>VC01</v>
          </cell>
        </row>
        <row r="3244">
          <cell r="A3244" t="str">
            <v>1AP1TDA0173XJSX</v>
          </cell>
          <cell r="B3244" t="str">
            <v>DIP</v>
          </cell>
          <cell r="C3244">
            <v>1</v>
          </cell>
          <cell r="D3244" t="e">
            <v>#N/A</v>
          </cell>
          <cell r="E3244">
            <v>2210</v>
          </cell>
          <cell r="F3244" t="str">
            <v>VC01</v>
          </cell>
          <cell r="G3244" t="str">
            <v>Auto</v>
          </cell>
          <cell r="H3244">
            <v>311</v>
          </cell>
          <cell r="I3244">
            <v>2210</v>
          </cell>
          <cell r="J3244">
            <v>2310</v>
          </cell>
          <cell r="K3244" t="str">
            <v>VC01</v>
          </cell>
        </row>
        <row r="3245">
          <cell r="A3245" t="str">
            <v>1RE1TDA0168XJV4</v>
          </cell>
          <cell r="B3245" t="str">
            <v>SMT</v>
          </cell>
          <cell r="C3245">
            <v>1</v>
          </cell>
          <cell r="D3245">
            <v>131</v>
          </cell>
        </row>
        <row r="3246">
          <cell r="A3246" t="str">
            <v>1CM1TDA0168XJV4</v>
          </cell>
          <cell r="B3246" t="str">
            <v>SMT</v>
          </cell>
          <cell r="C3246">
            <v>1</v>
          </cell>
          <cell r="D3246">
            <v>26</v>
          </cell>
          <cell r="E3246">
            <v>2210</v>
          </cell>
          <cell r="F3246" t="str">
            <v>VC01</v>
          </cell>
          <cell r="G3246" t="str">
            <v>Auto</v>
          </cell>
          <cell r="H3246">
            <v>311</v>
          </cell>
          <cell r="I3246">
            <v>2210</v>
          </cell>
          <cell r="J3246">
            <v>2310</v>
          </cell>
          <cell r="K3246" t="str">
            <v>VC01</v>
          </cell>
        </row>
        <row r="3247">
          <cell r="A3247" t="str">
            <v>1AP1TDA0168XJV4</v>
          </cell>
          <cell r="B3247" t="str">
            <v>DIP</v>
          </cell>
          <cell r="C3247">
            <v>1</v>
          </cell>
          <cell r="D3247" t="e">
            <v>#N/A</v>
          </cell>
          <cell r="E3247">
            <v>2210</v>
          </cell>
          <cell r="F3247" t="str">
            <v>VC01</v>
          </cell>
          <cell r="G3247" t="str">
            <v>Auto</v>
          </cell>
          <cell r="H3247">
            <v>311</v>
          </cell>
          <cell r="I3247">
            <v>2210</v>
          </cell>
          <cell r="J3247">
            <v>2310</v>
          </cell>
          <cell r="K3247" t="str">
            <v>VC01</v>
          </cell>
        </row>
        <row r="3248">
          <cell r="A3248" t="str">
            <v>1RE1TDA0164XJSX</v>
          </cell>
          <cell r="B3248" t="str">
            <v>SMT</v>
          </cell>
          <cell r="C3248">
            <v>1</v>
          </cell>
          <cell r="D3248">
            <v>74</v>
          </cell>
          <cell r="E3248">
            <v>2210</v>
          </cell>
          <cell r="F3248" t="str">
            <v>VC01</v>
          </cell>
          <cell r="G3248" t="str">
            <v>Auto</v>
          </cell>
          <cell r="H3248">
            <v>311</v>
          </cell>
          <cell r="I3248">
            <v>2210</v>
          </cell>
          <cell r="J3248">
            <v>2310</v>
          </cell>
          <cell r="K3248" t="str">
            <v>VC01</v>
          </cell>
        </row>
        <row r="3249">
          <cell r="A3249" t="str">
            <v>1AP1TDA0164XJSX</v>
          </cell>
          <cell r="B3249" t="str">
            <v>DIP</v>
          </cell>
          <cell r="C3249">
            <v>1</v>
          </cell>
          <cell r="D3249" t="e">
            <v>#N/A</v>
          </cell>
          <cell r="E3249">
            <v>2210</v>
          </cell>
          <cell r="F3249" t="str">
            <v>VC01</v>
          </cell>
          <cell r="G3249" t="str">
            <v>Auto</v>
          </cell>
          <cell r="H3249">
            <v>311</v>
          </cell>
          <cell r="I3249">
            <v>2210</v>
          </cell>
          <cell r="J3249">
            <v>2310</v>
          </cell>
          <cell r="K3249" t="str">
            <v>VC01</v>
          </cell>
        </row>
        <row r="3250">
          <cell r="A3250" t="str">
            <v>1RE1NCP1180UKV4</v>
          </cell>
          <cell r="B3250" t="str">
            <v>SMT</v>
          </cell>
          <cell r="C3250">
            <v>1</v>
          </cell>
          <cell r="D3250">
            <v>224</v>
          </cell>
        </row>
        <row r="3251">
          <cell r="A3251" t="str">
            <v>1RE2NCP1180UKV4</v>
          </cell>
          <cell r="B3251" t="str">
            <v>SMT</v>
          </cell>
          <cell r="C3251">
            <v>1</v>
          </cell>
          <cell r="D3251">
            <v>319</v>
          </cell>
        </row>
        <row r="3252">
          <cell r="A3252" t="str">
            <v>1RH1NCP1180UKV4</v>
          </cell>
          <cell r="B3252" t="str">
            <v>SMT</v>
          </cell>
          <cell r="C3252">
            <v>1</v>
          </cell>
          <cell r="D3252">
            <v>21</v>
          </cell>
          <cell r="E3252">
            <v>2210</v>
          </cell>
          <cell r="F3252" t="str">
            <v>VC01</v>
          </cell>
          <cell r="G3252" t="str">
            <v>Auto</v>
          </cell>
          <cell r="H3252">
            <v>311</v>
          </cell>
          <cell r="I3252">
            <v>2210</v>
          </cell>
          <cell r="J3252">
            <v>2310</v>
          </cell>
          <cell r="K3252" t="str">
            <v>VC01</v>
          </cell>
        </row>
        <row r="3253">
          <cell r="A3253" t="str">
            <v>1AP1NCP1180UKV4</v>
          </cell>
          <cell r="B3253" t="str">
            <v>DIP</v>
          </cell>
          <cell r="C3253">
            <v>1</v>
          </cell>
          <cell r="D3253" t="e">
            <v>#N/A</v>
          </cell>
          <cell r="E3253">
            <v>2210</v>
          </cell>
          <cell r="F3253" t="str">
            <v>VC01</v>
          </cell>
          <cell r="G3253" t="str">
            <v>Auto</v>
          </cell>
          <cell r="H3253">
            <v>311</v>
          </cell>
          <cell r="I3253">
            <v>2210</v>
          </cell>
          <cell r="J3253">
            <v>2310</v>
          </cell>
          <cell r="K3253" t="str">
            <v>VC01</v>
          </cell>
        </row>
        <row r="3254">
          <cell r="A3254" t="str">
            <v>1RE1NCP1180</v>
          </cell>
          <cell r="B3254" t="str">
            <v>SMT</v>
          </cell>
          <cell r="C3254">
            <v>1</v>
          </cell>
          <cell r="D3254">
            <v>224</v>
          </cell>
        </row>
        <row r="3255">
          <cell r="A3255" t="str">
            <v>1RE2NCP1180</v>
          </cell>
          <cell r="B3255" t="str">
            <v>SMT</v>
          </cell>
          <cell r="C3255">
            <v>1</v>
          </cell>
          <cell r="D3255">
            <v>315</v>
          </cell>
        </row>
        <row r="3256">
          <cell r="A3256" t="str">
            <v>1RH1NCP1180</v>
          </cell>
          <cell r="B3256" t="str">
            <v>SMT</v>
          </cell>
          <cell r="C3256">
            <v>1</v>
          </cell>
          <cell r="D3256">
            <v>25</v>
          </cell>
          <cell r="E3256">
            <v>2210</v>
          </cell>
          <cell r="F3256" t="str">
            <v>VC01</v>
          </cell>
          <cell r="G3256" t="str">
            <v>Auto</v>
          </cell>
          <cell r="H3256">
            <v>311</v>
          </cell>
          <cell r="I3256">
            <v>2210</v>
          </cell>
          <cell r="J3256">
            <v>2310</v>
          </cell>
          <cell r="K3256" t="str">
            <v>VC01</v>
          </cell>
        </row>
        <row r="3257">
          <cell r="A3257" t="str">
            <v>1AP1NCP1180</v>
          </cell>
          <cell r="B3257" t="str">
            <v>DIP</v>
          </cell>
          <cell r="C3257">
            <v>1</v>
          </cell>
          <cell r="D3257" t="e">
            <v>#N/A</v>
          </cell>
          <cell r="E3257">
            <v>2210</v>
          </cell>
          <cell r="F3257" t="str">
            <v>VC01</v>
          </cell>
          <cell r="G3257" t="str">
            <v>Auto</v>
          </cell>
          <cell r="H3257">
            <v>311</v>
          </cell>
          <cell r="I3257">
            <v>2210</v>
          </cell>
          <cell r="J3257">
            <v>2310</v>
          </cell>
          <cell r="K3257" t="str">
            <v>VC01</v>
          </cell>
        </row>
        <row r="3258">
          <cell r="A3258" t="str">
            <v>1VI1LPNT5601ZA</v>
          </cell>
          <cell r="B3258" t="str">
            <v>SMT</v>
          </cell>
          <cell r="C3258">
            <v>1</v>
          </cell>
          <cell r="D3258" t="e">
            <v>#N/A</v>
          </cell>
        </row>
        <row r="3259">
          <cell r="A3259" t="str">
            <v>1RE1LPNT5601ZA</v>
          </cell>
          <cell r="B3259" t="str">
            <v>SMT</v>
          </cell>
          <cell r="C3259">
            <v>1</v>
          </cell>
          <cell r="D3259">
            <v>328</v>
          </cell>
        </row>
        <row r="3260">
          <cell r="A3260" t="str">
            <v>1RE2LPNT5601ZA</v>
          </cell>
          <cell r="B3260" t="str">
            <v>SMT</v>
          </cell>
          <cell r="C3260">
            <v>1</v>
          </cell>
          <cell r="D3260">
            <v>335</v>
          </cell>
          <cell r="E3260">
            <v>2210</v>
          </cell>
          <cell r="F3260" t="str">
            <v>VC01</v>
          </cell>
          <cell r="G3260" t="str">
            <v>Auto</v>
          </cell>
          <cell r="H3260">
            <v>311</v>
          </cell>
          <cell r="I3260">
            <v>2210</v>
          </cell>
          <cell r="J3260">
            <v>2220</v>
          </cell>
          <cell r="K3260" t="str">
            <v>VC01</v>
          </cell>
        </row>
        <row r="3261">
          <cell r="A3261" t="str">
            <v>1AP1LPNT5601ZA</v>
          </cell>
          <cell r="B3261" t="str">
            <v>DIP</v>
          </cell>
          <cell r="C3261">
            <v>1</v>
          </cell>
          <cell r="D3261" t="e">
            <v>#N/A</v>
          </cell>
          <cell r="E3261">
            <v>2210</v>
          </cell>
          <cell r="F3261" t="str">
            <v>VC01</v>
          </cell>
          <cell r="G3261" t="str">
            <v>Auto</v>
          </cell>
          <cell r="H3261">
            <v>311</v>
          </cell>
          <cell r="I3261">
            <v>2210</v>
          </cell>
          <cell r="J3261">
            <v>2220</v>
          </cell>
          <cell r="K3261" t="str">
            <v>VC01</v>
          </cell>
        </row>
        <row r="3262">
          <cell r="A3262" t="str">
            <v>1RE1LPHTS32M2ZA</v>
          </cell>
          <cell r="B3262" t="str">
            <v>SMT</v>
          </cell>
          <cell r="C3262">
            <v>1</v>
          </cell>
          <cell r="D3262">
            <v>699</v>
          </cell>
        </row>
        <row r="3263">
          <cell r="A3263" t="str">
            <v>1RE2LPHTS32M2ZA</v>
          </cell>
          <cell r="B3263" t="str">
            <v>SMT</v>
          </cell>
          <cell r="C3263">
            <v>1</v>
          </cell>
          <cell r="D3263">
            <v>679</v>
          </cell>
        </row>
        <row r="3264">
          <cell r="A3264" t="str">
            <v>1RH1LPHTS32M2ZA</v>
          </cell>
          <cell r="B3264" t="str">
            <v>SMT</v>
          </cell>
          <cell r="C3264">
            <v>1</v>
          </cell>
          <cell r="D3264">
            <v>5</v>
          </cell>
          <cell r="E3264">
            <v>2210</v>
          </cell>
          <cell r="F3264" t="str">
            <v>VC01</v>
          </cell>
          <cell r="G3264" t="str">
            <v>Auto</v>
          </cell>
          <cell r="H3264">
            <v>311</v>
          </cell>
          <cell r="I3264">
            <v>2210</v>
          </cell>
          <cell r="J3264">
            <v>2220</v>
          </cell>
          <cell r="K3264" t="str">
            <v>VC01</v>
          </cell>
        </row>
        <row r="3265">
          <cell r="A3265" t="str">
            <v>1AP1LPHTS32M2ZA</v>
          </cell>
          <cell r="B3265" t="str">
            <v>DIP</v>
          </cell>
          <cell r="C3265">
            <v>1</v>
          </cell>
          <cell r="D3265" t="e">
            <v>#N/A</v>
          </cell>
          <cell r="E3265">
            <v>2210</v>
          </cell>
          <cell r="F3265" t="str">
            <v>VC01</v>
          </cell>
          <cell r="G3265" t="str">
            <v>Auto</v>
          </cell>
          <cell r="H3265">
            <v>311</v>
          </cell>
          <cell r="I3265">
            <v>2210</v>
          </cell>
          <cell r="J3265">
            <v>2220</v>
          </cell>
          <cell r="K3265" t="str">
            <v>VC01</v>
          </cell>
        </row>
        <row r="3266">
          <cell r="A3266" t="str">
            <v>1RE1LPHT82480MZA</v>
          </cell>
          <cell r="B3266" t="str">
            <v>SMT</v>
          </cell>
          <cell r="C3266">
            <v>1</v>
          </cell>
          <cell r="D3266">
            <v>181</v>
          </cell>
        </row>
        <row r="3267">
          <cell r="A3267" t="str">
            <v>1RE2LPHT82480MZA</v>
          </cell>
          <cell r="B3267" t="str">
            <v>SMT</v>
          </cell>
          <cell r="C3267">
            <v>1</v>
          </cell>
          <cell r="D3267">
            <v>249</v>
          </cell>
        </row>
        <row r="3268">
          <cell r="A3268" t="str">
            <v>1RH1LPHT82480MZA</v>
          </cell>
          <cell r="B3268" t="str">
            <v>SMT</v>
          </cell>
          <cell r="C3268">
            <v>1</v>
          </cell>
          <cell r="D3268">
            <v>5</v>
          </cell>
          <cell r="E3268">
            <v>2210</v>
          </cell>
          <cell r="F3268" t="str">
            <v>VC01</v>
          </cell>
          <cell r="G3268" t="str">
            <v>Auto</v>
          </cell>
          <cell r="H3268">
            <v>311</v>
          </cell>
          <cell r="I3268">
            <v>2210</v>
          </cell>
          <cell r="J3268">
            <v>2310</v>
          </cell>
          <cell r="K3268" t="str">
            <v>VC01</v>
          </cell>
        </row>
        <row r="3269">
          <cell r="A3269" t="str">
            <v>1AP1LPHT82480MZA</v>
          </cell>
          <cell r="B3269" t="str">
            <v>DIP</v>
          </cell>
          <cell r="C3269">
            <v>1</v>
          </cell>
          <cell r="D3269" t="e">
            <v>#N/A</v>
          </cell>
          <cell r="E3269">
            <v>2210</v>
          </cell>
          <cell r="F3269" t="str">
            <v>VC01</v>
          </cell>
          <cell r="G3269" t="str">
            <v>Auto</v>
          </cell>
          <cell r="H3269">
            <v>311</v>
          </cell>
          <cell r="I3269">
            <v>2210</v>
          </cell>
          <cell r="J3269">
            <v>2310</v>
          </cell>
          <cell r="K3269" t="str">
            <v>VC01</v>
          </cell>
        </row>
        <row r="3270">
          <cell r="A3270" t="str">
            <v>1RE1PSLP1600ZA</v>
          </cell>
          <cell r="B3270" t="str">
            <v>SMT</v>
          </cell>
          <cell r="C3270">
            <v>1</v>
          </cell>
          <cell r="D3270">
            <v>13</v>
          </cell>
        </row>
        <row r="3271">
          <cell r="A3271" t="str">
            <v>1RE2PSLP1600ZA</v>
          </cell>
          <cell r="B3271" t="str">
            <v>SMT</v>
          </cell>
          <cell r="C3271">
            <v>1</v>
          </cell>
          <cell r="D3271">
            <v>10</v>
          </cell>
          <cell r="E3271">
            <v>2210</v>
          </cell>
          <cell r="F3271" t="str">
            <v>VC01</v>
          </cell>
          <cell r="G3271" t="str">
            <v>Auto</v>
          </cell>
          <cell r="H3271">
            <v>311</v>
          </cell>
          <cell r="I3271">
            <v>2210</v>
          </cell>
          <cell r="J3271">
            <v>2310</v>
          </cell>
          <cell r="K3271" t="str">
            <v>VC01</v>
          </cell>
        </row>
        <row r="3272">
          <cell r="A3272" t="str">
            <v>1PB1PSLP1600ZA</v>
          </cell>
          <cell r="B3272" t="str">
            <v>DIP</v>
          </cell>
          <cell r="C3272">
            <v>1</v>
          </cell>
          <cell r="D3272" t="e">
            <v>#N/A</v>
          </cell>
          <cell r="E3272">
            <v>2210</v>
          </cell>
          <cell r="F3272" t="str">
            <v>VC01</v>
          </cell>
          <cell r="G3272" t="str">
            <v>Auto</v>
          </cell>
          <cell r="H3272">
            <v>311</v>
          </cell>
          <cell r="I3272">
            <v>2210</v>
          </cell>
          <cell r="J3272">
            <v>2310</v>
          </cell>
          <cell r="K3272" t="str">
            <v>VC01</v>
          </cell>
        </row>
        <row r="3273">
          <cell r="A3273" t="str">
            <v>1RE1NS0161XSX</v>
          </cell>
          <cell r="B3273" t="str">
            <v>SMT</v>
          </cell>
          <cell r="C3273">
            <v>1</v>
          </cell>
          <cell r="D3273">
            <v>81</v>
          </cell>
        </row>
        <row r="3274">
          <cell r="A3274" t="str">
            <v>1RH1NS0161XSX</v>
          </cell>
          <cell r="B3274" t="str">
            <v>SMT</v>
          </cell>
          <cell r="C3274">
            <v>1</v>
          </cell>
          <cell r="D3274">
            <v>6</v>
          </cell>
          <cell r="E3274">
            <v>2210</v>
          </cell>
          <cell r="F3274" t="str">
            <v>VC01</v>
          </cell>
          <cell r="G3274" t="str">
            <v>Auto</v>
          </cell>
          <cell r="H3274">
            <v>311</v>
          </cell>
          <cell r="I3274">
            <v>2210</v>
          </cell>
          <cell r="J3274">
            <v>2310</v>
          </cell>
          <cell r="K3274" t="str">
            <v>VC01</v>
          </cell>
        </row>
        <row r="3275">
          <cell r="A3275" t="str">
            <v>1AP1NS0161XSX</v>
          </cell>
          <cell r="B3275" t="str">
            <v>DIP</v>
          </cell>
          <cell r="C3275">
            <v>1</v>
          </cell>
          <cell r="D3275" t="e">
            <v>#N/A</v>
          </cell>
          <cell r="E3275">
            <v>2210</v>
          </cell>
          <cell r="F3275" t="str">
            <v>VC01</v>
          </cell>
          <cell r="G3275" t="str">
            <v>Auto</v>
          </cell>
          <cell r="H3275">
            <v>311</v>
          </cell>
          <cell r="I3275">
            <v>2210</v>
          </cell>
          <cell r="J3275">
            <v>2310</v>
          </cell>
          <cell r="K3275" t="str">
            <v>VC01</v>
          </cell>
        </row>
        <row r="3276">
          <cell r="A3276" t="str">
            <v>1VJ1LPTPA73R1-S1</v>
          </cell>
          <cell r="B3276" t="str">
            <v>SMT</v>
          </cell>
          <cell r="C3276">
            <v>1</v>
          </cell>
          <cell r="D3276" t="e">
            <v>#N/A</v>
          </cell>
        </row>
        <row r="3277">
          <cell r="A3277" t="str">
            <v>1RE1LPTPA73R1-S1</v>
          </cell>
          <cell r="B3277" t="str">
            <v>SMT</v>
          </cell>
          <cell r="C3277">
            <v>1</v>
          </cell>
          <cell r="D3277">
            <v>35</v>
          </cell>
        </row>
        <row r="3278">
          <cell r="A3278" t="str">
            <v>1RE2LPTPA73R1-S1</v>
          </cell>
          <cell r="B3278" t="str">
            <v>SMT</v>
          </cell>
          <cell r="C3278">
            <v>1</v>
          </cell>
          <cell r="D3278">
            <v>276</v>
          </cell>
        </row>
        <row r="3279">
          <cell r="A3279" t="str">
            <v>1RE1LPTPA70R1-S1</v>
          </cell>
          <cell r="B3279" t="str">
            <v>SMT</v>
          </cell>
          <cell r="C3279">
            <v>1</v>
          </cell>
          <cell r="D3279">
            <v>58</v>
          </cell>
        </row>
        <row r="3280">
          <cell r="A3280" t="str">
            <v>1RE2LPTPA70R1-S1</v>
          </cell>
          <cell r="B3280" t="str">
            <v>SMT</v>
          </cell>
          <cell r="C3280">
            <v>1</v>
          </cell>
          <cell r="D3280">
            <v>204</v>
          </cell>
        </row>
        <row r="3281">
          <cell r="A3281" t="str">
            <v>1RE1LPTPA70C1-S1</v>
          </cell>
          <cell r="B3281" t="str">
            <v>SMT</v>
          </cell>
          <cell r="C3281">
            <v>1</v>
          </cell>
          <cell r="D3281">
            <v>3</v>
          </cell>
        </row>
        <row r="3282">
          <cell r="A3282" t="str">
            <v>1VJ1LPTGP700H1-S1</v>
          </cell>
          <cell r="B3282" t="str">
            <v>SMT</v>
          </cell>
          <cell r="C3282">
            <v>1</v>
          </cell>
          <cell r="D3282" t="e">
            <v>#N/A</v>
          </cell>
        </row>
        <row r="3283">
          <cell r="A3283" t="str">
            <v>1RE1LPTGP700H1-S1</v>
          </cell>
          <cell r="B3283" t="str">
            <v>SMT</v>
          </cell>
          <cell r="C3283">
            <v>1</v>
          </cell>
          <cell r="D3283">
            <v>273</v>
          </cell>
        </row>
        <row r="3284">
          <cell r="A3284" t="str">
            <v>1RE2LPTGP700H1-S1</v>
          </cell>
          <cell r="B3284" t="str">
            <v>SMT</v>
          </cell>
          <cell r="C3284">
            <v>1</v>
          </cell>
          <cell r="D3284">
            <v>475</v>
          </cell>
        </row>
        <row r="3285">
          <cell r="A3285" t="str">
            <v>1AP1LPTGP700H1-S1</v>
          </cell>
          <cell r="B3285" t="str">
            <v>DIP</v>
          </cell>
          <cell r="C3285">
            <v>1</v>
          </cell>
          <cell r="D3285" t="e">
            <v>#N/A</v>
          </cell>
          <cell r="E3285">
            <v>2210</v>
          </cell>
        </row>
        <row r="3286">
          <cell r="A3286" t="str">
            <v>1RE1XA1005UA/AS-S1</v>
          </cell>
          <cell r="B3286" t="str">
            <v>SMT</v>
          </cell>
          <cell r="C3286">
            <v>1</v>
          </cell>
          <cell r="D3286" t="e">
            <v>#N/A</v>
          </cell>
        </row>
        <row r="3287">
          <cell r="A3287" t="str">
            <v>PNXA1005UA/AS-S1</v>
          </cell>
          <cell r="B3287" t="str">
            <v>SMT</v>
          </cell>
          <cell r="C3287">
            <v>1</v>
          </cell>
          <cell r="D3287" t="e">
            <v>#N/A</v>
          </cell>
        </row>
        <row r="3288">
          <cell r="A3288" t="str">
            <v>1VJ1LPTPA73CR1-S1</v>
          </cell>
          <cell r="B3288" t="str">
            <v>SMT</v>
          </cell>
          <cell r="C3288">
            <v>1</v>
          </cell>
          <cell r="D3288" t="e">
            <v>#N/A</v>
          </cell>
        </row>
        <row r="3289">
          <cell r="A3289" t="str">
            <v>1RE1LPTPA73CR1-S1</v>
          </cell>
          <cell r="B3289" t="str">
            <v>SMT</v>
          </cell>
          <cell r="C3289">
            <v>1</v>
          </cell>
          <cell r="D3289" t="e">
            <v>#N/A</v>
          </cell>
        </row>
        <row r="3290">
          <cell r="A3290" t="str">
            <v>1RE2LPTPA73CR1-S1</v>
          </cell>
          <cell r="B3290" t="str">
            <v>SMT</v>
          </cell>
          <cell r="C3290">
            <v>1</v>
          </cell>
          <cell r="D3290" t="e">
            <v>#N/A</v>
          </cell>
        </row>
        <row r="3291">
          <cell r="A3291" t="str">
            <v>1VJ1LPTPA73CER1-S1</v>
          </cell>
          <cell r="B3291" t="str">
            <v>SMT</v>
          </cell>
          <cell r="C3291">
            <v>1</v>
          </cell>
          <cell r="D3291" t="e">
            <v>#N/A</v>
          </cell>
        </row>
        <row r="3292">
          <cell r="A3292" t="str">
            <v>1RE1LPTPA73CER1-S1</v>
          </cell>
          <cell r="B3292" t="str">
            <v>SMT</v>
          </cell>
          <cell r="C3292">
            <v>1</v>
          </cell>
          <cell r="D3292" t="e">
            <v>#N/A</v>
          </cell>
        </row>
        <row r="3293">
          <cell r="A3293" t="str">
            <v>1RE2LPTPA73CER1-S1</v>
          </cell>
          <cell r="B3293" t="str">
            <v>SMT</v>
          </cell>
          <cell r="C3293">
            <v>1</v>
          </cell>
          <cell r="D3293" t="e">
            <v>#N/A</v>
          </cell>
        </row>
        <row r="3294">
          <cell r="A3294" t="str">
            <v>1VJ1LPTPA70CR1-S1</v>
          </cell>
          <cell r="B3294" t="str">
            <v>SMT</v>
          </cell>
          <cell r="C3294">
            <v>1</v>
          </cell>
          <cell r="D3294" t="e">
            <v>#N/A</v>
          </cell>
        </row>
        <row r="3295">
          <cell r="A3295" t="str">
            <v>1RE1LPTPA70CR1-S1</v>
          </cell>
          <cell r="B3295" t="str">
            <v>SMT</v>
          </cell>
          <cell r="C3295">
            <v>1</v>
          </cell>
          <cell r="D3295" t="e">
            <v>#N/A</v>
          </cell>
        </row>
        <row r="3296">
          <cell r="A3296" t="str">
            <v>1RE2LPTPA70CR1-S1</v>
          </cell>
          <cell r="B3296" t="str">
            <v>SMT</v>
          </cell>
          <cell r="C3296">
            <v>1</v>
          </cell>
          <cell r="D3296" t="e">
            <v>#N/A</v>
          </cell>
        </row>
        <row r="3297">
          <cell r="A3297" t="str">
            <v>1VJ1LPTPA70CER1-S1</v>
          </cell>
          <cell r="B3297" t="str">
            <v>SMT</v>
          </cell>
          <cell r="C3297">
            <v>1</v>
          </cell>
          <cell r="D3297" t="e">
            <v>#N/A</v>
          </cell>
        </row>
        <row r="3298">
          <cell r="A3298" t="str">
            <v>1RE1LPTPA70CER1-S1</v>
          </cell>
          <cell r="B3298" t="str">
            <v>SMT</v>
          </cell>
          <cell r="C3298">
            <v>1</v>
          </cell>
          <cell r="D3298" t="e">
            <v>#N/A</v>
          </cell>
        </row>
        <row r="3299">
          <cell r="A3299" t="str">
            <v>1RE2LPTPA70CER1-S1</v>
          </cell>
          <cell r="B3299" t="str">
            <v>SMT</v>
          </cell>
          <cell r="C3299">
            <v>1</v>
          </cell>
          <cell r="D3299" t="e">
            <v>#N/A</v>
          </cell>
        </row>
        <row r="3300">
          <cell r="A3300" t="str">
            <v>1VJ2LPTGP700CEH1S1</v>
          </cell>
          <cell r="B3300" t="str">
            <v>SMT</v>
          </cell>
          <cell r="C3300">
            <v>1</v>
          </cell>
          <cell r="D3300" t="e">
            <v>#N/A</v>
          </cell>
        </row>
        <row r="3301">
          <cell r="A3301" t="str">
            <v>1VJ1LPTGP700CEH1S1</v>
          </cell>
          <cell r="B3301" t="str">
            <v>SMT</v>
          </cell>
          <cell r="C3301">
            <v>1</v>
          </cell>
          <cell r="D3301" t="e">
            <v>#N/A</v>
          </cell>
        </row>
        <row r="3302">
          <cell r="A3302" t="str">
            <v>1VI1LPTGP700CEH1S1</v>
          </cell>
          <cell r="B3302" t="str">
            <v>SMT</v>
          </cell>
          <cell r="C3302">
            <v>1</v>
          </cell>
          <cell r="D3302" t="e">
            <v>#N/A</v>
          </cell>
        </row>
        <row r="3303">
          <cell r="A3303" t="str">
            <v>1RE1LPTGP700CEH1S1</v>
          </cell>
          <cell r="B3303" t="str">
            <v>SMT</v>
          </cell>
          <cell r="C3303">
            <v>1</v>
          </cell>
          <cell r="D3303" t="e">
            <v>#N/A</v>
          </cell>
        </row>
        <row r="3304">
          <cell r="A3304" t="str">
            <v>1RE2LPTGP700CEH1S1</v>
          </cell>
          <cell r="B3304" t="str">
            <v>SMT</v>
          </cell>
          <cell r="C3304">
            <v>1</v>
          </cell>
          <cell r="D3304" t="e">
            <v>#N/A</v>
          </cell>
        </row>
        <row r="3305">
          <cell r="A3305" t="str">
            <v>1VJ2LPTPA68ALRZA</v>
          </cell>
          <cell r="B3305" t="str">
            <v>SMT</v>
          </cell>
          <cell r="C3305">
            <v>1</v>
          </cell>
          <cell r="D3305" t="e">
            <v>#N/A</v>
          </cell>
        </row>
        <row r="3306">
          <cell r="A3306" t="str">
            <v>1VJ1LPTPA68ALRZA</v>
          </cell>
          <cell r="B3306" t="str">
            <v>SMT</v>
          </cell>
          <cell r="C3306">
            <v>1</v>
          </cell>
          <cell r="D3306" t="e">
            <v>#N/A</v>
          </cell>
        </row>
        <row r="3307">
          <cell r="A3307" t="str">
            <v>1RE1LPTPA68ALRZA</v>
          </cell>
          <cell r="B3307" t="str">
            <v>SMT</v>
          </cell>
          <cell r="C3307">
            <v>1</v>
          </cell>
          <cell r="D3307">
            <v>118</v>
          </cell>
        </row>
        <row r="3308">
          <cell r="A3308" t="str">
            <v>1RE2LPTPA68ALRZA</v>
          </cell>
          <cell r="B3308" t="str">
            <v>SMT</v>
          </cell>
          <cell r="C3308">
            <v>1</v>
          </cell>
          <cell r="D3308">
            <v>484</v>
          </cell>
          <cell r="E3308">
            <v>2210</v>
          </cell>
          <cell r="F3308" t="str">
            <v>VC01</v>
          </cell>
          <cell r="G3308" t="str">
            <v>Auto</v>
          </cell>
          <cell r="H3308">
            <v>311</v>
          </cell>
          <cell r="I3308">
            <v>2210</v>
          </cell>
          <cell r="J3308">
            <v>2220</v>
          </cell>
          <cell r="K3308" t="str">
            <v>VC01</v>
          </cell>
        </row>
        <row r="3309">
          <cell r="A3309" t="str">
            <v>1RE1TE82494XV4</v>
          </cell>
          <cell r="B3309" t="str">
            <v>SMT</v>
          </cell>
          <cell r="C3309">
            <v>1</v>
          </cell>
          <cell r="D3309">
            <v>44</v>
          </cell>
        </row>
        <row r="3310">
          <cell r="A3310" t="str">
            <v>1RE2TE82494XV4</v>
          </cell>
          <cell r="B3310" t="str">
            <v>SMT</v>
          </cell>
          <cell r="C3310">
            <v>1</v>
          </cell>
          <cell r="D3310">
            <v>55</v>
          </cell>
          <cell r="E3310">
            <v>2210</v>
          </cell>
          <cell r="F3310" t="str">
            <v>VC01</v>
          </cell>
          <cell r="G3310" t="str">
            <v>Auto</v>
          </cell>
          <cell r="H3310">
            <v>311</v>
          </cell>
          <cell r="I3310">
            <v>2210</v>
          </cell>
          <cell r="J3310">
            <v>2310</v>
          </cell>
          <cell r="K3310" t="str">
            <v>VC01</v>
          </cell>
        </row>
        <row r="3311">
          <cell r="A3311" t="str">
            <v>1RE1TE82494XSX</v>
          </cell>
          <cell r="B3311" t="str">
            <v>SMT</v>
          </cell>
          <cell r="C3311">
            <v>1</v>
          </cell>
          <cell r="D3311">
            <v>44</v>
          </cell>
        </row>
        <row r="3312">
          <cell r="A3312" t="str">
            <v>1RE2TE82494XSX</v>
          </cell>
          <cell r="B3312" t="str">
            <v>SMT</v>
          </cell>
          <cell r="C3312">
            <v>1</v>
          </cell>
          <cell r="D3312">
            <v>55</v>
          </cell>
          <cell r="E3312">
            <v>2210</v>
          </cell>
          <cell r="F3312" t="str">
            <v>VC01</v>
          </cell>
          <cell r="G3312" t="str">
            <v>Auto</v>
          </cell>
          <cell r="H3312">
            <v>311</v>
          </cell>
          <cell r="I3312">
            <v>2210</v>
          </cell>
          <cell r="J3312">
            <v>2310</v>
          </cell>
          <cell r="K3312" t="str">
            <v>VC01</v>
          </cell>
        </row>
        <row r="3313">
          <cell r="A3313" t="str">
            <v>1RE1TE82494XEU</v>
          </cell>
          <cell r="B3313" t="str">
            <v>SMT</v>
          </cell>
          <cell r="C3313">
            <v>1</v>
          </cell>
          <cell r="D3313">
            <v>44</v>
          </cell>
        </row>
        <row r="3314">
          <cell r="A3314" t="str">
            <v>1RE2TE82494XEU</v>
          </cell>
          <cell r="B3314" t="str">
            <v>SMT</v>
          </cell>
          <cell r="C3314">
            <v>1</v>
          </cell>
          <cell r="D3314">
            <v>56</v>
          </cell>
          <cell r="E3314">
            <v>2210</v>
          </cell>
          <cell r="F3314" t="str">
            <v>VC01</v>
          </cell>
          <cell r="G3314" t="str">
            <v>Auto</v>
          </cell>
          <cell r="H3314">
            <v>311</v>
          </cell>
          <cell r="I3314">
            <v>2210</v>
          </cell>
          <cell r="J3314">
            <v>2310</v>
          </cell>
          <cell r="K3314" t="str">
            <v>VC01</v>
          </cell>
        </row>
        <row r="3315">
          <cell r="A3315" t="str">
            <v>1RE1TE82494NEV4</v>
          </cell>
          <cell r="B3315" t="str">
            <v>SMT</v>
          </cell>
          <cell r="C3315">
            <v>1</v>
          </cell>
          <cell r="D3315">
            <v>44</v>
          </cell>
        </row>
        <row r="3316">
          <cell r="A3316" t="str">
            <v>1RE2TE82494NEV4</v>
          </cell>
          <cell r="B3316" t="str">
            <v>SMT</v>
          </cell>
          <cell r="C3316">
            <v>1</v>
          </cell>
          <cell r="D3316">
            <v>55</v>
          </cell>
          <cell r="E3316">
            <v>2210</v>
          </cell>
          <cell r="F3316" t="str">
            <v>VC01</v>
          </cell>
          <cell r="G3316" t="str">
            <v>Auto</v>
          </cell>
          <cell r="H3316">
            <v>311</v>
          </cell>
          <cell r="I3316">
            <v>2210</v>
          </cell>
          <cell r="J3316">
            <v>2310</v>
          </cell>
          <cell r="K3316" t="str">
            <v>VC01</v>
          </cell>
        </row>
        <row r="3317">
          <cell r="A3317" t="str">
            <v>1RE1TE82493CNV4</v>
          </cell>
          <cell r="B3317" t="str">
            <v>SMT</v>
          </cell>
          <cell r="C3317">
            <v>1</v>
          </cell>
          <cell r="D3317">
            <v>45</v>
          </cell>
        </row>
        <row r="3318">
          <cell r="A3318" t="str">
            <v>1RE2TE82493CNV4</v>
          </cell>
          <cell r="B3318" t="str">
            <v>SMT</v>
          </cell>
          <cell r="C3318">
            <v>1</v>
          </cell>
          <cell r="D3318">
            <v>55</v>
          </cell>
          <cell r="E3318">
            <v>2210</v>
          </cell>
          <cell r="F3318" t="str">
            <v>VC01</v>
          </cell>
          <cell r="G3318" t="str">
            <v>Auto</v>
          </cell>
          <cell r="H3318">
            <v>311</v>
          </cell>
          <cell r="I3318">
            <v>2210</v>
          </cell>
          <cell r="J3318">
            <v>2310</v>
          </cell>
          <cell r="K3318" t="str">
            <v>VC01</v>
          </cell>
        </row>
        <row r="3319">
          <cell r="A3319" t="str">
            <v>1RE1TE82492XEU</v>
          </cell>
          <cell r="B3319" t="str">
            <v>SMT</v>
          </cell>
          <cell r="C3319">
            <v>1</v>
          </cell>
          <cell r="D3319">
            <v>99</v>
          </cell>
        </row>
        <row r="3320">
          <cell r="A3320" t="str">
            <v>1RE2TE82492XEU</v>
          </cell>
          <cell r="B3320" t="str">
            <v>SMT</v>
          </cell>
          <cell r="C3320">
            <v>1</v>
          </cell>
          <cell r="D3320">
            <v>56</v>
          </cell>
          <cell r="E3320">
            <v>2210</v>
          </cell>
          <cell r="F3320" t="str">
            <v>VC01</v>
          </cell>
          <cell r="G3320" t="str">
            <v>Auto</v>
          </cell>
          <cell r="H3320">
            <v>311</v>
          </cell>
          <cell r="I3320">
            <v>2210</v>
          </cell>
          <cell r="J3320" t="e">
            <v>#N/A</v>
          </cell>
          <cell r="K3320" t="str">
            <v>VC01</v>
          </cell>
        </row>
        <row r="3321">
          <cell r="A3321" t="str">
            <v>1RE1TE82492NEV4</v>
          </cell>
          <cell r="B3321" t="str">
            <v>SMT</v>
          </cell>
          <cell r="C3321">
            <v>1</v>
          </cell>
          <cell r="D3321">
            <v>99</v>
          </cell>
        </row>
        <row r="3322">
          <cell r="A3322" t="str">
            <v>1RE2TE82492NEV4</v>
          </cell>
          <cell r="B3322" t="str">
            <v>SMT</v>
          </cell>
          <cell r="C3322">
            <v>1</v>
          </cell>
          <cell r="D3322">
            <v>56</v>
          </cell>
          <cell r="E3322">
            <v>2210</v>
          </cell>
          <cell r="F3322" t="str">
            <v>VC01</v>
          </cell>
          <cell r="G3322" t="str">
            <v>Auto</v>
          </cell>
          <cell r="H3322">
            <v>311</v>
          </cell>
          <cell r="I3322">
            <v>2210</v>
          </cell>
          <cell r="J3322">
            <v>2310</v>
          </cell>
          <cell r="K3322" t="str">
            <v>VC01</v>
          </cell>
        </row>
        <row r="3323">
          <cell r="A3323" t="str">
            <v>1RE1TA82493V4</v>
          </cell>
          <cell r="B3323" t="str">
            <v>SMT</v>
          </cell>
          <cell r="C3323">
            <v>1</v>
          </cell>
          <cell r="D3323">
            <v>45</v>
          </cell>
        </row>
        <row r="3324">
          <cell r="A3324" t="str">
            <v>1RE2TA82493V4</v>
          </cell>
          <cell r="B3324" t="str">
            <v>SMT</v>
          </cell>
          <cell r="C3324">
            <v>1</v>
          </cell>
          <cell r="D3324">
            <v>55</v>
          </cell>
          <cell r="E3324">
            <v>2210</v>
          </cell>
          <cell r="F3324" t="str">
            <v>VC01</v>
          </cell>
          <cell r="G3324" t="str">
            <v>Auto</v>
          </cell>
          <cell r="H3324">
            <v>311</v>
          </cell>
          <cell r="I3324">
            <v>2210</v>
          </cell>
          <cell r="J3324">
            <v>2310</v>
          </cell>
          <cell r="K3324" t="str">
            <v>VC01</v>
          </cell>
        </row>
        <row r="3325">
          <cell r="A3325" t="str">
            <v>1RE1TA82492V4</v>
          </cell>
          <cell r="B3325" t="str">
            <v>SMT</v>
          </cell>
          <cell r="C3325">
            <v>1</v>
          </cell>
          <cell r="D3325">
            <v>99</v>
          </cell>
        </row>
        <row r="3326">
          <cell r="A3326" t="str">
            <v>1RE2TA82492V4</v>
          </cell>
          <cell r="B3326" t="str">
            <v>SMT</v>
          </cell>
          <cell r="C3326">
            <v>1</v>
          </cell>
          <cell r="D3326">
            <v>56</v>
          </cell>
          <cell r="E3326">
            <v>2210</v>
          </cell>
          <cell r="F3326" t="str">
            <v>VC01</v>
          </cell>
          <cell r="G3326" t="str">
            <v>Auto</v>
          </cell>
          <cell r="H3326">
            <v>311</v>
          </cell>
          <cell r="I3326">
            <v>2210</v>
          </cell>
          <cell r="J3326">
            <v>2310</v>
          </cell>
          <cell r="K3326" t="str">
            <v>VC01</v>
          </cell>
        </row>
        <row r="3327">
          <cell r="A3327" t="str">
            <v>1RE1PSLP1538ZA</v>
          </cell>
          <cell r="B3327" t="str">
            <v>SMT</v>
          </cell>
          <cell r="C3327">
            <v>1</v>
          </cell>
          <cell r="D3327">
            <v>45</v>
          </cell>
        </row>
        <row r="3328">
          <cell r="A3328" t="str">
            <v>1RE2PSLP1538ZA</v>
          </cell>
          <cell r="B3328" t="str">
            <v>SMT</v>
          </cell>
          <cell r="C3328">
            <v>1</v>
          </cell>
          <cell r="D3328">
            <v>55</v>
          </cell>
          <cell r="E3328">
            <v>2210</v>
          </cell>
          <cell r="F3328" t="str">
            <v>VC01</v>
          </cell>
          <cell r="G3328" t="str">
            <v>Auto</v>
          </cell>
          <cell r="H3328">
            <v>311</v>
          </cell>
          <cell r="I3328">
            <v>2210</v>
          </cell>
          <cell r="J3328">
            <v>2220</v>
          </cell>
          <cell r="K3328" t="str">
            <v>VC01</v>
          </cell>
        </row>
        <row r="3329">
          <cell r="A3329" t="str">
            <v>1RE1NS5110XZA</v>
          </cell>
          <cell r="B3329" t="str">
            <v>SMT</v>
          </cell>
          <cell r="C3329">
            <v>1</v>
          </cell>
          <cell r="D3329">
            <v>113</v>
          </cell>
        </row>
        <row r="3330">
          <cell r="A3330" t="str">
            <v>1RE2NS5110XZA</v>
          </cell>
          <cell r="B3330" t="str">
            <v>SMT</v>
          </cell>
          <cell r="C3330">
            <v>1</v>
          </cell>
          <cell r="D3330">
            <v>195</v>
          </cell>
          <cell r="E3330">
            <v>2210</v>
          </cell>
          <cell r="F3330" t="str">
            <v>VC01</v>
          </cell>
          <cell r="G3330" t="str">
            <v>Auto</v>
          </cell>
          <cell r="H3330">
            <v>311</v>
          </cell>
          <cell r="I3330">
            <v>2210</v>
          </cell>
          <cell r="J3330">
            <v>2220</v>
          </cell>
          <cell r="K3330" t="str">
            <v>VC01</v>
          </cell>
        </row>
        <row r="3331">
          <cell r="A3331" t="str">
            <v>1RE1TE82491XV4</v>
          </cell>
          <cell r="B3331" t="str">
            <v>SMT</v>
          </cell>
          <cell r="C3331">
            <v>1</v>
          </cell>
          <cell r="D3331">
            <v>25</v>
          </cell>
          <cell r="E3331">
            <v>2210</v>
          </cell>
          <cell r="F3331" t="str">
            <v>VC01</v>
          </cell>
          <cell r="G3331" t="str">
            <v>Auto</v>
          </cell>
          <cell r="H3331">
            <v>311</v>
          </cell>
          <cell r="I3331">
            <v>2210</v>
          </cell>
          <cell r="J3331">
            <v>2310</v>
          </cell>
          <cell r="K3331" t="str">
            <v>VC01</v>
          </cell>
        </row>
        <row r="3332">
          <cell r="A3332" t="str">
            <v>1RE1TE82491XSX</v>
          </cell>
          <cell r="B3332" t="str">
            <v>SMT</v>
          </cell>
          <cell r="C3332">
            <v>1</v>
          </cell>
          <cell r="D3332">
            <v>25</v>
          </cell>
          <cell r="E3332">
            <v>2210</v>
          </cell>
          <cell r="F3332" t="str">
            <v>VC01</v>
          </cell>
          <cell r="G3332" t="str">
            <v>Auto</v>
          </cell>
          <cell r="H3332">
            <v>311</v>
          </cell>
          <cell r="I3332">
            <v>2210</v>
          </cell>
          <cell r="J3332" t="e">
            <v>#N/A</v>
          </cell>
          <cell r="K3332" t="str">
            <v>VC01</v>
          </cell>
        </row>
        <row r="3333">
          <cell r="A3333" t="str">
            <v>1RE1TE82491XEU</v>
          </cell>
          <cell r="B3333" t="str">
            <v>SMT</v>
          </cell>
          <cell r="C3333">
            <v>1</v>
          </cell>
          <cell r="D3333">
            <v>25</v>
          </cell>
          <cell r="E3333">
            <v>2210</v>
          </cell>
          <cell r="F3333" t="str">
            <v>VC01</v>
          </cell>
          <cell r="G3333" t="str">
            <v>Auto</v>
          </cell>
          <cell r="H3333">
            <v>311</v>
          </cell>
          <cell r="I3333">
            <v>2210</v>
          </cell>
          <cell r="J3333">
            <v>2310</v>
          </cell>
          <cell r="K3333" t="str">
            <v>VC01</v>
          </cell>
        </row>
        <row r="3334">
          <cell r="A3334" t="str">
            <v>1RE1LPNS1KXGZA</v>
          </cell>
          <cell r="B3334" t="str">
            <v>SMT</v>
          </cell>
          <cell r="C3334">
            <v>1</v>
          </cell>
          <cell r="D3334">
            <v>3</v>
          </cell>
          <cell r="E3334">
            <v>2210</v>
          </cell>
          <cell r="F3334" t="str">
            <v>VC01</v>
          </cell>
          <cell r="G3334" t="str">
            <v>Auto</v>
          </cell>
          <cell r="H3334">
            <v>311</v>
          </cell>
          <cell r="I3334">
            <v>2210</v>
          </cell>
          <cell r="J3334">
            <v>2220</v>
          </cell>
          <cell r="K3334" t="str">
            <v>VC01</v>
          </cell>
        </row>
        <row r="3335">
          <cell r="A3335" t="str">
            <v>1RE1LP2599ZA</v>
          </cell>
          <cell r="B3335" t="str">
            <v>SMT</v>
          </cell>
          <cell r="C3335">
            <v>1</v>
          </cell>
          <cell r="D3335">
            <v>3</v>
          </cell>
          <cell r="E3335">
            <v>2210</v>
          </cell>
          <cell r="F3335" t="str">
            <v>VC01</v>
          </cell>
          <cell r="G3335" t="str">
            <v>Auto</v>
          </cell>
          <cell r="H3335">
            <v>311</v>
          </cell>
          <cell r="I3335">
            <v>2210</v>
          </cell>
          <cell r="J3335">
            <v>2220</v>
          </cell>
          <cell r="K3335" t="str">
            <v>VC01</v>
          </cell>
        </row>
        <row r="3336">
          <cell r="A3336" t="str">
            <v>1RE1LP2563ZA</v>
          </cell>
          <cell r="B3336" t="str">
            <v>SMT</v>
          </cell>
          <cell r="C3336">
            <v>1</v>
          </cell>
          <cell r="D3336">
            <v>3</v>
          </cell>
          <cell r="E3336">
            <v>2210</v>
          </cell>
          <cell r="F3336" t="str">
            <v>VC01</v>
          </cell>
          <cell r="G3336" t="str">
            <v>Auto</v>
          </cell>
          <cell r="H3336">
            <v>311</v>
          </cell>
          <cell r="I3336">
            <v>2210</v>
          </cell>
          <cell r="J3336">
            <v>2220</v>
          </cell>
          <cell r="K3336" t="str">
            <v>VC01</v>
          </cell>
        </row>
        <row r="3337">
          <cell r="A3337" t="str">
            <v>1RE1LP2532ZA</v>
          </cell>
          <cell r="B3337" t="str">
            <v>SMT</v>
          </cell>
          <cell r="C3337">
            <v>1</v>
          </cell>
          <cell r="D3337">
            <v>3</v>
          </cell>
          <cell r="E3337">
            <v>2210</v>
          </cell>
          <cell r="F3337" t="str">
            <v>VC01</v>
          </cell>
          <cell r="G3337" t="str">
            <v>Auto</v>
          </cell>
          <cell r="H3337">
            <v>311</v>
          </cell>
          <cell r="I3337">
            <v>2210</v>
          </cell>
          <cell r="J3337">
            <v>2220</v>
          </cell>
          <cell r="K3337" t="str">
            <v>VC01</v>
          </cell>
        </row>
        <row r="3338">
          <cell r="A3338" t="str">
            <v>1VI1TES824SAV4</v>
          </cell>
          <cell r="B3338" t="str">
            <v>SMT</v>
          </cell>
          <cell r="C3338">
            <v>1</v>
          </cell>
          <cell r="D3338" t="e">
            <v>#N/A</v>
          </cell>
        </row>
        <row r="3339">
          <cell r="A3339" t="str">
            <v>1RE1TES824SAV4</v>
          </cell>
          <cell r="B3339" t="str">
            <v>SMT</v>
          </cell>
          <cell r="C3339">
            <v>1</v>
          </cell>
          <cell r="D3339">
            <v>818</v>
          </cell>
        </row>
        <row r="3340">
          <cell r="A3340" t="str">
            <v>1RH1TES824SAV4</v>
          </cell>
          <cell r="B3340" t="str">
            <v>SMT</v>
          </cell>
          <cell r="C3340">
            <v>1</v>
          </cell>
          <cell r="D3340">
            <v>77</v>
          </cell>
        </row>
        <row r="3341">
          <cell r="A3341" t="str">
            <v>1CM1TES824SAV4</v>
          </cell>
          <cell r="B3341" t="str">
            <v>SMT</v>
          </cell>
          <cell r="C3341">
            <v>1</v>
          </cell>
          <cell r="D3341">
            <v>473</v>
          </cell>
          <cell r="E3341">
            <v>2210</v>
          </cell>
          <cell r="F3341" t="str">
            <v>VC01</v>
          </cell>
          <cell r="G3341" t="str">
            <v>Auto</v>
          </cell>
          <cell r="H3341">
            <v>311</v>
          </cell>
          <cell r="I3341">
            <v>2210</v>
          </cell>
          <cell r="J3341">
            <v>2310</v>
          </cell>
          <cell r="K3341" t="str">
            <v>VC01</v>
          </cell>
        </row>
        <row r="3342">
          <cell r="A3342" t="str">
            <v>1AP1TES824SAV4</v>
          </cell>
          <cell r="B3342" t="str">
            <v>DIP</v>
          </cell>
          <cell r="C3342">
            <v>1</v>
          </cell>
          <cell r="D3342" t="e">
            <v>#N/A</v>
          </cell>
          <cell r="E3342">
            <v>2210</v>
          </cell>
          <cell r="F3342" t="str">
            <v>VC01</v>
          </cell>
          <cell r="G3342" t="str">
            <v>Auto</v>
          </cell>
          <cell r="H3342">
            <v>311</v>
          </cell>
          <cell r="I3342">
            <v>2210</v>
          </cell>
          <cell r="J3342">
            <v>2310</v>
          </cell>
          <cell r="K3342" t="str">
            <v>VC01</v>
          </cell>
        </row>
        <row r="3343">
          <cell r="A3343" t="str">
            <v>1VI1TES824NZV4</v>
          </cell>
          <cell r="B3343" t="str">
            <v>SMT</v>
          </cell>
          <cell r="C3343">
            <v>1</v>
          </cell>
          <cell r="D3343" t="e">
            <v>#N/A</v>
          </cell>
        </row>
        <row r="3344">
          <cell r="A3344" t="str">
            <v>1RE1TES824NZV4</v>
          </cell>
          <cell r="B3344" t="str">
            <v>SMT</v>
          </cell>
          <cell r="C3344">
            <v>1</v>
          </cell>
          <cell r="D3344">
            <v>818</v>
          </cell>
        </row>
        <row r="3345">
          <cell r="A3345" t="str">
            <v>1RH1TES824NZV4</v>
          </cell>
          <cell r="B3345" t="str">
            <v>SMT</v>
          </cell>
          <cell r="C3345">
            <v>1</v>
          </cell>
          <cell r="D3345">
            <v>77</v>
          </cell>
        </row>
        <row r="3346">
          <cell r="A3346" t="str">
            <v>1CM1TES824NZV4</v>
          </cell>
          <cell r="B3346" t="str">
            <v>SMT</v>
          </cell>
          <cell r="C3346">
            <v>1</v>
          </cell>
          <cell r="D3346">
            <v>470</v>
          </cell>
          <cell r="E3346">
            <v>2210</v>
          </cell>
          <cell r="F3346" t="str">
            <v>VC01</v>
          </cell>
          <cell r="G3346" t="str">
            <v>Auto</v>
          </cell>
          <cell r="H3346">
            <v>311</v>
          </cell>
          <cell r="I3346">
            <v>2210</v>
          </cell>
          <cell r="J3346" t="e">
            <v>#N/A</v>
          </cell>
          <cell r="K3346" t="str">
            <v>VC01</v>
          </cell>
        </row>
        <row r="3347">
          <cell r="A3347" t="str">
            <v>1AP1TES824NZV4</v>
          </cell>
          <cell r="B3347" t="str">
            <v>DIP</v>
          </cell>
          <cell r="C3347">
            <v>1</v>
          </cell>
          <cell r="D3347" t="e">
            <v>#N/A</v>
          </cell>
          <cell r="E3347">
            <v>2210</v>
          </cell>
        </row>
        <row r="3348">
          <cell r="A3348" t="str">
            <v>1VI1TES824HKV4</v>
          </cell>
          <cell r="B3348" t="str">
            <v>SMT</v>
          </cell>
          <cell r="C3348">
            <v>1</v>
          </cell>
          <cell r="D3348" t="e">
            <v>#N/A</v>
          </cell>
        </row>
        <row r="3349">
          <cell r="A3349" t="str">
            <v>1RE1TES824HKV4</v>
          </cell>
          <cell r="B3349" t="str">
            <v>SMT</v>
          </cell>
          <cell r="C3349">
            <v>1</v>
          </cell>
          <cell r="D3349">
            <v>815</v>
          </cell>
        </row>
        <row r="3350">
          <cell r="A3350" t="str">
            <v>1RH1TES824HKV4</v>
          </cell>
          <cell r="B3350" t="str">
            <v>SMT</v>
          </cell>
          <cell r="C3350">
            <v>1</v>
          </cell>
          <cell r="D3350">
            <v>77</v>
          </cell>
        </row>
        <row r="3351">
          <cell r="A3351" t="str">
            <v>1CM1TES824HKV4</v>
          </cell>
          <cell r="B3351" t="str">
            <v>SMT</v>
          </cell>
          <cell r="C3351">
            <v>1</v>
          </cell>
          <cell r="D3351">
            <v>461</v>
          </cell>
          <cell r="E3351">
            <v>2210</v>
          </cell>
          <cell r="F3351" t="str">
            <v>VC01</v>
          </cell>
          <cell r="G3351" t="str">
            <v>Auto</v>
          </cell>
          <cell r="H3351">
            <v>311</v>
          </cell>
          <cell r="I3351">
            <v>2210</v>
          </cell>
          <cell r="J3351">
            <v>2310</v>
          </cell>
          <cell r="K3351" t="str">
            <v>VC01</v>
          </cell>
        </row>
        <row r="3352">
          <cell r="A3352" t="str">
            <v>1AP1TES824HKV4</v>
          </cell>
          <cell r="B3352" t="str">
            <v>DIP</v>
          </cell>
          <cell r="C3352">
            <v>1</v>
          </cell>
          <cell r="D3352" t="e">
            <v>#N/A</v>
          </cell>
          <cell r="E3352">
            <v>2210</v>
          </cell>
          <cell r="F3352" t="str">
            <v>VC01</v>
          </cell>
          <cell r="G3352" t="str">
            <v>Auto</v>
          </cell>
          <cell r="H3352">
            <v>311</v>
          </cell>
          <cell r="I3352">
            <v>2210</v>
          </cell>
          <cell r="J3352">
            <v>2310</v>
          </cell>
          <cell r="K3352" t="str">
            <v>VC01</v>
          </cell>
        </row>
        <row r="3353">
          <cell r="A3353" t="str">
            <v>1VI1TES824CNV4</v>
          </cell>
          <cell r="B3353" t="str">
            <v>SMT</v>
          </cell>
          <cell r="C3353">
            <v>1</v>
          </cell>
          <cell r="D3353" t="e">
            <v>#N/A</v>
          </cell>
        </row>
        <row r="3354">
          <cell r="A3354" t="str">
            <v>1RE1TES824CNV4</v>
          </cell>
          <cell r="B3354" t="str">
            <v>SMT</v>
          </cell>
          <cell r="C3354">
            <v>1</v>
          </cell>
          <cell r="D3354">
            <v>836</v>
          </cell>
        </row>
        <row r="3355">
          <cell r="A3355" t="str">
            <v>1RH1TES824CNV4</v>
          </cell>
          <cell r="B3355" t="str">
            <v>SMT</v>
          </cell>
          <cell r="C3355">
            <v>1</v>
          </cell>
          <cell r="D3355">
            <v>77</v>
          </cell>
        </row>
        <row r="3356">
          <cell r="A3356" t="str">
            <v>1CM1TES824CNV4</v>
          </cell>
          <cell r="B3356" t="str">
            <v>SMT</v>
          </cell>
          <cell r="C3356">
            <v>1</v>
          </cell>
          <cell r="D3356">
            <v>460</v>
          </cell>
          <cell r="E3356">
            <v>2210</v>
          </cell>
          <cell r="F3356" t="str">
            <v>VC01</v>
          </cell>
          <cell r="G3356" t="str">
            <v>Auto</v>
          </cell>
          <cell r="H3356">
            <v>311</v>
          </cell>
          <cell r="I3356">
            <v>2210</v>
          </cell>
          <cell r="J3356">
            <v>2310</v>
          </cell>
          <cell r="K3356" t="str">
            <v>VC01</v>
          </cell>
        </row>
        <row r="3357">
          <cell r="A3357" t="str">
            <v>1AP1TES824CNV4</v>
          </cell>
          <cell r="B3357" t="str">
            <v>DIP</v>
          </cell>
          <cell r="C3357">
            <v>1</v>
          </cell>
          <cell r="D3357" t="e">
            <v>#N/A</v>
          </cell>
          <cell r="E3357">
            <v>2210</v>
          </cell>
          <cell r="F3357" t="str">
            <v>VC01</v>
          </cell>
          <cell r="G3357" t="str">
            <v>Auto</v>
          </cell>
          <cell r="H3357">
            <v>311</v>
          </cell>
          <cell r="I3357">
            <v>2210</v>
          </cell>
          <cell r="J3357">
            <v>2310</v>
          </cell>
          <cell r="K3357" t="str">
            <v>VC01</v>
          </cell>
        </row>
        <row r="3358">
          <cell r="A3358" t="str">
            <v>1VI1TES32BRV4</v>
          </cell>
          <cell r="B3358" t="str">
            <v>SMT</v>
          </cell>
          <cell r="C3358">
            <v>1</v>
          </cell>
          <cell r="D3358" t="e">
            <v>#N/A</v>
          </cell>
        </row>
        <row r="3359">
          <cell r="A3359" t="str">
            <v>1RE1TES32BRV4</v>
          </cell>
          <cell r="B3359" t="str">
            <v>SMT</v>
          </cell>
          <cell r="C3359">
            <v>1</v>
          </cell>
          <cell r="D3359">
            <v>815</v>
          </cell>
        </row>
        <row r="3360">
          <cell r="A3360" t="str">
            <v>1RH1TES32BRV4</v>
          </cell>
          <cell r="B3360" t="str">
            <v>SMT</v>
          </cell>
          <cell r="C3360">
            <v>1</v>
          </cell>
          <cell r="D3360">
            <v>77</v>
          </cell>
        </row>
        <row r="3361">
          <cell r="A3361" t="str">
            <v>1CM1TES32BRV4</v>
          </cell>
          <cell r="B3361" t="str">
            <v>SMT</v>
          </cell>
          <cell r="C3361">
            <v>1</v>
          </cell>
          <cell r="D3361">
            <v>458</v>
          </cell>
          <cell r="E3361">
            <v>2210</v>
          </cell>
          <cell r="F3361" t="str">
            <v>VC01</v>
          </cell>
          <cell r="G3361" t="str">
            <v>Auto</v>
          </cell>
          <cell r="H3361">
            <v>311</v>
          </cell>
          <cell r="I3361">
            <v>2210</v>
          </cell>
          <cell r="J3361">
            <v>2310</v>
          </cell>
          <cell r="K3361" t="str">
            <v>VC01</v>
          </cell>
        </row>
        <row r="3362">
          <cell r="A3362" t="str">
            <v>1AP1TES32BRV4</v>
          </cell>
          <cell r="B3362" t="str">
            <v>DIP</v>
          </cell>
          <cell r="C3362">
            <v>1</v>
          </cell>
          <cell r="D3362" t="e">
            <v>#N/A</v>
          </cell>
          <cell r="E3362">
            <v>2210</v>
          </cell>
          <cell r="F3362" t="str">
            <v>VC01</v>
          </cell>
          <cell r="G3362" t="str">
            <v>Auto</v>
          </cell>
          <cell r="H3362">
            <v>311</v>
          </cell>
          <cell r="I3362">
            <v>2210</v>
          </cell>
          <cell r="J3362">
            <v>2310</v>
          </cell>
          <cell r="K3362" t="str">
            <v>VC01</v>
          </cell>
        </row>
        <row r="3363">
          <cell r="A3363" t="str">
            <v>1RE1TE82483SAV4</v>
          </cell>
          <cell r="B3363" t="str">
            <v>SMT</v>
          </cell>
          <cell r="C3363">
            <v>1</v>
          </cell>
          <cell r="D3363">
            <v>435</v>
          </cell>
        </row>
        <row r="3364">
          <cell r="A3364" t="str">
            <v>1RH1TE82483SAV4</v>
          </cell>
          <cell r="B3364" t="str">
            <v>SMT</v>
          </cell>
          <cell r="C3364">
            <v>1</v>
          </cell>
          <cell r="D3364">
            <v>73</v>
          </cell>
        </row>
        <row r="3365">
          <cell r="A3365" t="str">
            <v>1CM1TE82483SAV4</v>
          </cell>
          <cell r="B3365" t="str">
            <v>SMT</v>
          </cell>
          <cell r="C3365">
            <v>1</v>
          </cell>
          <cell r="D3365">
            <v>363</v>
          </cell>
          <cell r="E3365">
            <v>2210</v>
          </cell>
          <cell r="F3365" t="str">
            <v>VC01</v>
          </cell>
          <cell r="G3365" t="str">
            <v>Auto</v>
          </cell>
          <cell r="H3365">
            <v>311</v>
          </cell>
          <cell r="I3365">
            <v>2210</v>
          </cell>
          <cell r="J3365">
            <v>2310</v>
          </cell>
          <cell r="K3365" t="str">
            <v>VC01</v>
          </cell>
        </row>
        <row r="3366">
          <cell r="A3366" t="str">
            <v>1AP1TE82483SAV4</v>
          </cell>
          <cell r="B3366" t="str">
            <v>DIP</v>
          </cell>
          <cell r="C3366">
            <v>1</v>
          </cell>
          <cell r="D3366" t="e">
            <v>#N/A</v>
          </cell>
          <cell r="E3366">
            <v>2210</v>
          </cell>
          <cell r="F3366" t="str">
            <v>VC01</v>
          </cell>
          <cell r="G3366" t="str">
            <v>Auto</v>
          </cell>
          <cell r="H3366">
            <v>311</v>
          </cell>
          <cell r="I3366">
            <v>2210</v>
          </cell>
          <cell r="J3366">
            <v>2310</v>
          </cell>
          <cell r="K3366" t="str">
            <v>VC01</v>
          </cell>
        </row>
        <row r="3367">
          <cell r="A3367" t="str">
            <v>1RE1TE82483HKV4</v>
          </cell>
          <cell r="B3367" t="str">
            <v>SMT</v>
          </cell>
          <cell r="C3367">
            <v>1</v>
          </cell>
          <cell r="D3367">
            <v>432</v>
          </cell>
        </row>
        <row r="3368">
          <cell r="A3368" t="str">
            <v>1RH1TE82483HKV4</v>
          </cell>
          <cell r="B3368" t="str">
            <v>SMT</v>
          </cell>
          <cell r="C3368">
            <v>1</v>
          </cell>
          <cell r="D3368">
            <v>73</v>
          </cell>
        </row>
        <row r="3369">
          <cell r="A3369" t="str">
            <v>1CM1TE82483HKV4</v>
          </cell>
          <cell r="B3369" t="str">
            <v>SMT</v>
          </cell>
          <cell r="C3369">
            <v>1</v>
          </cell>
          <cell r="D3369">
            <v>351</v>
          </cell>
          <cell r="E3369">
            <v>2210</v>
          </cell>
          <cell r="F3369" t="str">
            <v>VC01</v>
          </cell>
          <cell r="G3369" t="str">
            <v>Auto</v>
          </cell>
          <cell r="H3369">
            <v>311</v>
          </cell>
          <cell r="I3369">
            <v>2210</v>
          </cell>
          <cell r="J3369">
            <v>2310</v>
          </cell>
          <cell r="K3369" t="str">
            <v>VC01</v>
          </cell>
        </row>
        <row r="3370">
          <cell r="A3370" t="str">
            <v>1AP1TE82483HKV4</v>
          </cell>
          <cell r="B3370" t="str">
            <v>DIP</v>
          </cell>
          <cell r="C3370">
            <v>1</v>
          </cell>
          <cell r="D3370" t="e">
            <v>#N/A</v>
          </cell>
          <cell r="E3370">
            <v>2210</v>
          </cell>
          <cell r="F3370" t="str">
            <v>VC01</v>
          </cell>
          <cell r="G3370" t="str">
            <v>Auto</v>
          </cell>
          <cell r="H3370">
            <v>311</v>
          </cell>
          <cell r="I3370">
            <v>2210</v>
          </cell>
          <cell r="J3370">
            <v>2310</v>
          </cell>
          <cell r="K3370" t="str">
            <v>VC01</v>
          </cell>
        </row>
        <row r="3371">
          <cell r="A3371" t="str">
            <v>1RE1TE82483CNV4</v>
          </cell>
          <cell r="B3371" t="str">
            <v>SMT</v>
          </cell>
          <cell r="C3371">
            <v>1</v>
          </cell>
          <cell r="D3371">
            <v>453</v>
          </cell>
        </row>
        <row r="3372">
          <cell r="A3372" t="str">
            <v>1RH1TE82483CNV4</v>
          </cell>
          <cell r="B3372" t="str">
            <v>SMT</v>
          </cell>
          <cell r="C3372">
            <v>1</v>
          </cell>
          <cell r="D3372">
            <v>73</v>
          </cell>
        </row>
        <row r="3373">
          <cell r="A3373" t="str">
            <v>1CM1TE82483CNV4</v>
          </cell>
          <cell r="B3373" t="str">
            <v>SMT</v>
          </cell>
          <cell r="C3373">
            <v>1</v>
          </cell>
          <cell r="D3373">
            <v>351</v>
          </cell>
          <cell r="E3373">
            <v>2210</v>
          </cell>
          <cell r="F3373" t="str">
            <v>VC01</v>
          </cell>
          <cell r="G3373" t="str">
            <v>Auto</v>
          </cell>
          <cell r="H3373">
            <v>311</v>
          </cell>
          <cell r="I3373">
            <v>2210</v>
          </cell>
          <cell r="J3373">
            <v>2310</v>
          </cell>
          <cell r="K3373" t="str">
            <v>VC01</v>
          </cell>
        </row>
        <row r="3374">
          <cell r="A3374" t="str">
            <v>1AP1TE82483CNV4</v>
          </cell>
          <cell r="B3374" t="str">
            <v>DIP</v>
          </cell>
          <cell r="C3374">
            <v>1</v>
          </cell>
          <cell r="D3374" t="e">
            <v>#N/A</v>
          </cell>
          <cell r="E3374">
            <v>2210</v>
          </cell>
          <cell r="F3374" t="str">
            <v>VC01</v>
          </cell>
          <cell r="G3374" t="str">
            <v>Auto</v>
          </cell>
          <cell r="H3374">
            <v>311</v>
          </cell>
          <cell r="I3374">
            <v>2210</v>
          </cell>
          <cell r="J3374">
            <v>2310</v>
          </cell>
          <cell r="K3374" t="str">
            <v>VC01</v>
          </cell>
        </row>
        <row r="3375">
          <cell r="A3375" t="str">
            <v>1RE1TE82483BRV4</v>
          </cell>
          <cell r="B3375" t="str">
            <v>SMT</v>
          </cell>
          <cell r="C3375">
            <v>1</v>
          </cell>
          <cell r="D3375">
            <v>432</v>
          </cell>
        </row>
        <row r="3376">
          <cell r="A3376" t="str">
            <v>1RH1TE82483BRV4</v>
          </cell>
          <cell r="B3376" t="str">
            <v>SMT</v>
          </cell>
          <cell r="C3376">
            <v>1</v>
          </cell>
          <cell r="D3376">
            <v>73</v>
          </cell>
        </row>
        <row r="3377">
          <cell r="A3377" t="str">
            <v>1CM1TE82483BRV4</v>
          </cell>
          <cell r="B3377" t="str">
            <v>SMT</v>
          </cell>
          <cell r="C3377">
            <v>1</v>
          </cell>
          <cell r="D3377">
            <v>348</v>
          </cell>
          <cell r="E3377">
            <v>2210</v>
          </cell>
          <cell r="F3377" t="str">
            <v>VC01</v>
          </cell>
          <cell r="G3377" t="str">
            <v>Auto</v>
          </cell>
          <cell r="H3377">
            <v>311</v>
          </cell>
          <cell r="I3377">
            <v>2210</v>
          </cell>
          <cell r="J3377">
            <v>2310</v>
          </cell>
          <cell r="K3377" t="str">
            <v>VC01</v>
          </cell>
        </row>
        <row r="3378">
          <cell r="A3378" t="str">
            <v>1AP1TE82483BRV4</v>
          </cell>
          <cell r="B3378" t="str">
            <v>DIP</v>
          </cell>
          <cell r="C3378">
            <v>1</v>
          </cell>
          <cell r="D3378" t="e">
            <v>#N/A</v>
          </cell>
          <cell r="E3378">
            <v>2210</v>
          </cell>
          <cell r="F3378" t="str">
            <v>VC01</v>
          </cell>
          <cell r="G3378" t="str">
            <v>Auto</v>
          </cell>
          <cell r="H3378">
            <v>311</v>
          </cell>
          <cell r="I3378">
            <v>2210</v>
          </cell>
          <cell r="J3378">
            <v>2310</v>
          </cell>
          <cell r="K3378" t="str">
            <v>VC01</v>
          </cell>
        </row>
        <row r="3379">
          <cell r="A3379" t="str">
            <v>1RE1TE82483AGV4</v>
          </cell>
          <cell r="B3379" t="str">
            <v>SMT</v>
          </cell>
          <cell r="C3379">
            <v>1</v>
          </cell>
          <cell r="D3379">
            <v>429</v>
          </cell>
        </row>
        <row r="3380">
          <cell r="A3380" t="str">
            <v>1RH1TE82483AGV4</v>
          </cell>
          <cell r="B3380" t="str">
            <v>SMT</v>
          </cell>
          <cell r="C3380">
            <v>1</v>
          </cell>
          <cell r="D3380">
            <v>73</v>
          </cell>
        </row>
        <row r="3381">
          <cell r="A3381" t="str">
            <v>1CM1TE82483AGV4</v>
          </cell>
          <cell r="B3381" t="str">
            <v>SMT</v>
          </cell>
          <cell r="C3381">
            <v>1</v>
          </cell>
          <cell r="D3381">
            <v>351</v>
          </cell>
          <cell r="E3381">
            <v>2210</v>
          </cell>
          <cell r="F3381" t="str">
            <v>VC01</v>
          </cell>
          <cell r="G3381" t="str">
            <v>Auto</v>
          </cell>
          <cell r="H3381">
            <v>311</v>
          </cell>
          <cell r="I3381">
            <v>2210</v>
          </cell>
          <cell r="J3381">
            <v>2310</v>
          </cell>
          <cell r="K3381" t="str">
            <v>VC01</v>
          </cell>
        </row>
        <row r="3382">
          <cell r="A3382" t="str">
            <v>1AP1TE82483AGV4</v>
          </cell>
          <cell r="B3382" t="str">
            <v>DIP</v>
          </cell>
          <cell r="C3382">
            <v>1</v>
          </cell>
          <cell r="D3382" t="e">
            <v>#N/A</v>
          </cell>
          <cell r="E3382">
            <v>2210</v>
          </cell>
          <cell r="F3382" t="str">
            <v>VC01</v>
          </cell>
          <cell r="G3382" t="str">
            <v>Auto</v>
          </cell>
          <cell r="H3382">
            <v>311</v>
          </cell>
          <cell r="I3382">
            <v>2210</v>
          </cell>
          <cell r="J3382">
            <v>2310</v>
          </cell>
          <cell r="K3382" t="str">
            <v>VC01</v>
          </cell>
        </row>
        <row r="3383">
          <cell r="A3383" t="str">
            <v>1RE1TE82481XV4</v>
          </cell>
          <cell r="B3383" t="str">
            <v>SMT</v>
          </cell>
          <cell r="C3383">
            <v>1</v>
          </cell>
          <cell r="D3383">
            <v>382</v>
          </cell>
        </row>
        <row r="3384">
          <cell r="A3384" t="str">
            <v>1RH1TE82481XV4</v>
          </cell>
          <cell r="B3384" t="str">
            <v>SMT</v>
          </cell>
          <cell r="C3384">
            <v>1</v>
          </cell>
          <cell r="D3384">
            <v>69</v>
          </cell>
        </row>
        <row r="3385">
          <cell r="A3385" t="str">
            <v>1CM1TE82481XV4</v>
          </cell>
          <cell r="B3385" t="str">
            <v>SMT</v>
          </cell>
          <cell r="C3385">
            <v>1</v>
          </cell>
          <cell r="D3385">
            <v>314</v>
          </cell>
          <cell r="E3385">
            <v>2210</v>
          </cell>
          <cell r="F3385" t="str">
            <v>VC01</v>
          </cell>
          <cell r="G3385" t="str">
            <v>Auto</v>
          </cell>
          <cell r="H3385">
            <v>311</v>
          </cell>
          <cell r="I3385">
            <v>2210</v>
          </cell>
          <cell r="J3385">
            <v>2310</v>
          </cell>
          <cell r="K3385" t="str">
            <v>VC01</v>
          </cell>
        </row>
        <row r="3386">
          <cell r="A3386" t="str">
            <v>1AP1TE82481XV4</v>
          </cell>
          <cell r="B3386" t="str">
            <v>DIP</v>
          </cell>
          <cell r="C3386">
            <v>1</v>
          </cell>
          <cell r="D3386" t="e">
            <v>#N/A</v>
          </cell>
          <cell r="E3386">
            <v>2210</v>
          </cell>
          <cell r="F3386" t="str">
            <v>VC01</v>
          </cell>
          <cell r="G3386" t="str">
            <v>Auto</v>
          </cell>
          <cell r="H3386">
            <v>311</v>
          </cell>
          <cell r="I3386">
            <v>2210</v>
          </cell>
          <cell r="J3386">
            <v>2310</v>
          </cell>
          <cell r="K3386" t="str">
            <v>VC01</v>
          </cell>
        </row>
        <row r="3387">
          <cell r="A3387" t="str">
            <v>1RE1TE82480SAV4</v>
          </cell>
          <cell r="B3387" t="str">
            <v>SMT</v>
          </cell>
          <cell r="C3387">
            <v>1</v>
          </cell>
          <cell r="D3387">
            <v>359</v>
          </cell>
        </row>
        <row r="3388">
          <cell r="A3388" t="str">
            <v>1RH1TE82480SAV4</v>
          </cell>
          <cell r="B3388" t="str">
            <v>SMT</v>
          </cell>
          <cell r="C3388">
            <v>1</v>
          </cell>
          <cell r="D3388">
            <v>37</v>
          </cell>
        </row>
        <row r="3389">
          <cell r="A3389" t="str">
            <v>1CM1TE82480SAV4</v>
          </cell>
          <cell r="B3389" t="str">
            <v>SMT</v>
          </cell>
          <cell r="C3389">
            <v>1</v>
          </cell>
          <cell r="D3389">
            <v>270</v>
          </cell>
          <cell r="E3389">
            <v>2210</v>
          </cell>
          <cell r="F3389" t="str">
            <v>VC01</v>
          </cell>
          <cell r="G3389" t="str">
            <v>Auto</v>
          </cell>
          <cell r="H3389">
            <v>311</v>
          </cell>
          <cell r="I3389">
            <v>2210</v>
          </cell>
          <cell r="J3389">
            <v>2310</v>
          </cell>
          <cell r="K3389" t="str">
            <v>VC01</v>
          </cell>
        </row>
        <row r="3390">
          <cell r="A3390" t="str">
            <v>1AP1TE82480SAV4</v>
          </cell>
          <cell r="B3390" t="str">
            <v>DIP</v>
          </cell>
          <cell r="C3390">
            <v>1</v>
          </cell>
          <cell r="D3390" t="e">
            <v>#N/A</v>
          </cell>
          <cell r="E3390">
            <v>2210</v>
          </cell>
          <cell r="F3390" t="str">
            <v>VC01</v>
          </cell>
          <cell r="G3390" t="str">
            <v>Auto</v>
          </cell>
          <cell r="H3390">
            <v>311</v>
          </cell>
          <cell r="I3390">
            <v>2210</v>
          </cell>
          <cell r="J3390">
            <v>2310</v>
          </cell>
          <cell r="K3390" t="str">
            <v>VC01</v>
          </cell>
        </row>
        <row r="3391">
          <cell r="A3391" t="str">
            <v>1RE1TE82480HKV4</v>
          </cell>
          <cell r="B3391" t="str">
            <v>SMT</v>
          </cell>
          <cell r="C3391">
            <v>1</v>
          </cell>
          <cell r="D3391">
            <v>357</v>
          </cell>
        </row>
        <row r="3392">
          <cell r="A3392" t="str">
            <v>1RH1TE82480HKV4</v>
          </cell>
          <cell r="B3392" t="str">
            <v>SMT</v>
          </cell>
          <cell r="C3392">
            <v>1</v>
          </cell>
          <cell r="D3392">
            <v>37</v>
          </cell>
        </row>
        <row r="3393">
          <cell r="A3393" t="str">
            <v>1CM1TE82480HKV4</v>
          </cell>
          <cell r="B3393" t="str">
            <v>SMT</v>
          </cell>
          <cell r="C3393">
            <v>1</v>
          </cell>
          <cell r="D3393">
            <v>262</v>
          </cell>
          <cell r="E3393">
            <v>2210</v>
          </cell>
          <cell r="F3393" t="str">
            <v>VC01</v>
          </cell>
          <cell r="G3393" t="str">
            <v>Auto</v>
          </cell>
          <cell r="H3393">
            <v>311</v>
          </cell>
          <cell r="I3393">
            <v>2210</v>
          </cell>
          <cell r="J3393">
            <v>2310</v>
          </cell>
          <cell r="K3393" t="str">
            <v>VC01</v>
          </cell>
        </row>
        <row r="3394">
          <cell r="A3394" t="str">
            <v>1AP1TE82480HKV4</v>
          </cell>
          <cell r="B3394" t="str">
            <v>DIP</v>
          </cell>
          <cell r="C3394">
            <v>1</v>
          </cell>
          <cell r="D3394" t="e">
            <v>#N/A</v>
          </cell>
          <cell r="E3394">
            <v>2210</v>
          </cell>
          <cell r="F3394" t="str">
            <v>VC01</v>
          </cell>
          <cell r="G3394" t="str">
            <v>Auto</v>
          </cell>
          <cell r="H3394">
            <v>311</v>
          </cell>
          <cell r="I3394">
            <v>2210</v>
          </cell>
          <cell r="J3394">
            <v>2310</v>
          </cell>
          <cell r="K3394" t="str">
            <v>VC01</v>
          </cell>
        </row>
        <row r="3395">
          <cell r="A3395" t="str">
            <v>1RE1TE82480CNV4</v>
          </cell>
          <cell r="B3395" t="str">
            <v>SMT</v>
          </cell>
          <cell r="C3395">
            <v>1</v>
          </cell>
          <cell r="D3395">
            <v>371</v>
          </cell>
        </row>
        <row r="3396">
          <cell r="A3396" t="str">
            <v>1RH1TE82480CNV4</v>
          </cell>
          <cell r="B3396" t="str">
            <v>SMT</v>
          </cell>
          <cell r="C3396">
            <v>1</v>
          </cell>
          <cell r="D3396">
            <v>37</v>
          </cell>
        </row>
        <row r="3397">
          <cell r="A3397" t="str">
            <v>1CM1TE82480CNV4</v>
          </cell>
          <cell r="B3397" t="str">
            <v>SMT</v>
          </cell>
          <cell r="C3397">
            <v>1</v>
          </cell>
          <cell r="D3397">
            <v>262</v>
          </cell>
          <cell r="E3397">
            <v>2210</v>
          </cell>
          <cell r="F3397" t="str">
            <v>VC01</v>
          </cell>
          <cell r="G3397" t="str">
            <v>Auto</v>
          </cell>
          <cell r="H3397">
            <v>311</v>
          </cell>
          <cell r="I3397">
            <v>2210</v>
          </cell>
          <cell r="J3397">
            <v>2310</v>
          </cell>
          <cell r="K3397" t="str">
            <v>VC01</v>
          </cell>
        </row>
        <row r="3398">
          <cell r="A3398" t="str">
            <v>1AP1TE82480CNV4</v>
          </cell>
          <cell r="B3398" t="str">
            <v>DIP</v>
          </cell>
          <cell r="C3398">
            <v>1</v>
          </cell>
          <cell r="D3398" t="e">
            <v>#N/A</v>
          </cell>
          <cell r="E3398">
            <v>2210</v>
          </cell>
          <cell r="F3398" t="str">
            <v>VC01</v>
          </cell>
          <cell r="G3398" t="str">
            <v>Auto</v>
          </cell>
          <cell r="H3398">
            <v>311</v>
          </cell>
          <cell r="I3398">
            <v>2210</v>
          </cell>
          <cell r="J3398">
            <v>2310</v>
          </cell>
          <cell r="K3398" t="str">
            <v>VC01</v>
          </cell>
        </row>
        <row r="3399">
          <cell r="A3399" t="str">
            <v>1RE1TE82480BRV4</v>
          </cell>
          <cell r="B3399" t="str">
            <v>SMT</v>
          </cell>
          <cell r="C3399">
            <v>1</v>
          </cell>
          <cell r="D3399">
            <v>357</v>
          </cell>
        </row>
        <row r="3400">
          <cell r="A3400" t="str">
            <v>1RH1TE82480BRV4</v>
          </cell>
          <cell r="B3400" t="str">
            <v>SMT</v>
          </cell>
          <cell r="C3400">
            <v>1</v>
          </cell>
          <cell r="D3400">
            <v>37</v>
          </cell>
        </row>
        <row r="3401">
          <cell r="A3401" t="str">
            <v>1CM1TE82480BRV4</v>
          </cell>
          <cell r="B3401" t="str">
            <v>SMT</v>
          </cell>
          <cell r="C3401">
            <v>1</v>
          </cell>
          <cell r="D3401">
            <v>260</v>
          </cell>
          <cell r="E3401">
            <v>2210</v>
          </cell>
          <cell r="F3401" t="str">
            <v>VC01</v>
          </cell>
          <cell r="G3401" t="str">
            <v>Auto</v>
          </cell>
          <cell r="H3401">
            <v>311</v>
          </cell>
          <cell r="I3401">
            <v>2210</v>
          </cell>
          <cell r="J3401">
            <v>2310</v>
          </cell>
          <cell r="K3401" t="str">
            <v>VC01</v>
          </cell>
        </row>
        <row r="3402">
          <cell r="A3402" t="str">
            <v>1AP1TE82480BRV4</v>
          </cell>
          <cell r="B3402" t="str">
            <v>DIP</v>
          </cell>
          <cell r="C3402">
            <v>1</v>
          </cell>
          <cell r="D3402" t="e">
            <v>#N/A</v>
          </cell>
          <cell r="E3402">
            <v>2210</v>
          </cell>
          <cell r="F3402" t="str">
            <v>VC01</v>
          </cell>
          <cell r="G3402" t="str">
            <v>Auto</v>
          </cell>
          <cell r="H3402">
            <v>311</v>
          </cell>
          <cell r="I3402">
            <v>2210</v>
          </cell>
          <cell r="J3402">
            <v>2310</v>
          </cell>
          <cell r="K3402" t="str">
            <v>VC01</v>
          </cell>
        </row>
        <row r="3403">
          <cell r="A3403" t="str">
            <v>1RE1TE82480AGV4</v>
          </cell>
          <cell r="B3403" t="str">
            <v>SMT</v>
          </cell>
          <cell r="C3403">
            <v>1</v>
          </cell>
          <cell r="D3403">
            <v>355</v>
          </cell>
        </row>
        <row r="3404">
          <cell r="A3404" t="str">
            <v>1RH1TE82480AGV4</v>
          </cell>
          <cell r="B3404" t="str">
            <v>SMT</v>
          </cell>
          <cell r="C3404">
            <v>1</v>
          </cell>
          <cell r="D3404">
            <v>37</v>
          </cell>
        </row>
        <row r="3405">
          <cell r="A3405" t="str">
            <v>1CM1TE82480AGV4</v>
          </cell>
          <cell r="B3405" t="str">
            <v>SMT</v>
          </cell>
          <cell r="C3405">
            <v>1</v>
          </cell>
          <cell r="D3405">
            <v>262</v>
          </cell>
          <cell r="E3405">
            <v>2210</v>
          </cell>
          <cell r="F3405" t="str">
            <v>VC01</v>
          </cell>
          <cell r="G3405" t="str">
            <v>Auto</v>
          </cell>
          <cell r="H3405">
            <v>311</v>
          </cell>
          <cell r="I3405">
            <v>2210</v>
          </cell>
          <cell r="J3405">
            <v>2310</v>
          </cell>
          <cell r="K3405" t="str">
            <v>VC01</v>
          </cell>
        </row>
        <row r="3406">
          <cell r="A3406" t="str">
            <v>1AP1TE82480AGV4</v>
          </cell>
          <cell r="B3406" t="str">
            <v>DIP</v>
          </cell>
          <cell r="C3406">
            <v>1</v>
          </cell>
          <cell r="D3406" t="e">
            <v>#N/A</v>
          </cell>
          <cell r="E3406">
            <v>2210</v>
          </cell>
          <cell r="F3406" t="str">
            <v>VC01</v>
          </cell>
          <cell r="G3406" t="str">
            <v>Auto</v>
          </cell>
          <cell r="H3406">
            <v>311</v>
          </cell>
          <cell r="I3406">
            <v>2210</v>
          </cell>
          <cell r="J3406">
            <v>2310</v>
          </cell>
          <cell r="K3406" t="str">
            <v>VC01</v>
          </cell>
        </row>
        <row r="3407">
          <cell r="A3407" t="str">
            <v>1RE1TE82461XV4</v>
          </cell>
          <cell r="B3407" t="str">
            <v>SMT</v>
          </cell>
          <cell r="C3407">
            <v>1</v>
          </cell>
          <cell r="D3407">
            <v>210</v>
          </cell>
        </row>
        <row r="3408">
          <cell r="A3408" t="str">
            <v>1RH1TE82461XV4</v>
          </cell>
          <cell r="B3408" t="str">
            <v>SMT</v>
          </cell>
          <cell r="C3408">
            <v>1</v>
          </cell>
          <cell r="D3408">
            <v>16</v>
          </cell>
          <cell r="E3408">
            <v>2210</v>
          </cell>
          <cell r="F3408" t="str">
            <v>VC01</v>
          </cell>
          <cell r="G3408" t="str">
            <v>Auto</v>
          </cell>
          <cell r="H3408">
            <v>311</v>
          </cell>
          <cell r="I3408">
            <v>2210</v>
          </cell>
          <cell r="J3408">
            <v>2310</v>
          </cell>
          <cell r="K3408" t="str">
            <v>VC01</v>
          </cell>
        </row>
        <row r="3409">
          <cell r="A3409" t="str">
            <v>1AP1TE82461XV4</v>
          </cell>
          <cell r="B3409" t="str">
            <v>DIP</v>
          </cell>
          <cell r="C3409">
            <v>1</v>
          </cell>
          <cell r="D3409" t="e">
            <v>#N/A</v>
          </cell>
          <cell r="E3409">
            <v>2210</v>
          </cell>
          <cell r="F3409" t="str">
            <v>VC01</v>
          </cell>
          <cell r="G3409" t="str">
            <v>Auto</v>
          </cell>
          <cell r="H3409">
            <v>311</v>
          </cell>
          <cell r="I3409">
            <v>2210</v>
          </cell>
          <cell r="J3409">
            <v>2310</v>
          </cell>
          <cell r="K3409" t="str">
            <v>VC01</v>
          </cell>
        </row>
        <row r="3410">
          <cell r="A3410" t="str">
            <v>1RE1TE82461XSX</v>
          </cell>
          <cell r="B3410" t="str">
            <v>SMT</v>
          </cell>
          <cell r="C3410">
            <v>1</v>
          </cell>
          <cell r="D3410">
            <v>210</v>
          </cell>
        </row>
        <row r="3411">
          <cell r="A3411" t="str">
            <v>1RH1TE82461XSX</v>
          </cell>
          <cell r="B3411" t="str">
            <v>SMT</v>
          </cell>
          <cell r="C3411">
            <v>1</v>
          </cell>
          <cell r="D3411">
            <v>16</v>
          </cell>
          <cell r="E3411">
            <v>2210</v>
          </cell>
          <cell r="F3411" t="str">
            <v>VC01</v>
          </cell>
          <cell r="G3411" t="str">
            <v>Auto</v>
          </cell>
          <cell r="H3411">
            <v>311</v>
          </cell>
          <cell r="I3411">
            <v>2210</v>
          </cell>
          <cell r="J3411" t="e">
            <v>#N/A</v>
          </cell>
          <cell r="K3411" t="str">
            <v>VC01</v>
          </cell>
        </row>
        <row r="3412">
          <cell r="A3412" t="str">
            <v>1AP1TE82461XSX</v>
          </cell>
          <cell r="B3412" t="str">
            <v>DIP</v>
          </cell>
          <cell r="C3412">
            <v>1</v>
          </cell>
          <cell r="D3412" t="e">
            <v>#N/A</v>
          </cell>
          <cell r="E3412">
            <v>2210</v>
          </cell>
        </row>
        <row r="3413">
          <cell r="A3413" t="str">
            <v>1RE1TE82461XEU</v>
          </cell>
          <cell r="B3413" t="str">
            <v>SMT</v>
          </cell>
          <cell r="C3413">
            <v>1</v>
          </cell>
          <cell r="D3413">
            <v>210</v>
          </cell>
        </row>
        <row r="3414">
          <cell r="A3414" t="str">
            <v>1RH1TE82461XEU</v>
          </cell>
          <cell r="B3414" t="str">
            <v>SMT</v>
          </cell>
          <cell r="C3414">
            <v>1</v>
          </cell>
          <cell r="D3414">
            <v>16</v>
          </cell>
          <cell r="E3414">
            <v>2210</v>
          </cell>
          <cell r="F3414" t="str">
            <v>VC01</v>
          </cell>
          <cell r="G3414" t="str">
            <v>Auto</v>
          </cell>
          <cell r="H3414">
            <v>311</v>
          </cell>
          <cell r="I3414">
            <v>2210</v>
          </cell>
          <cell r="J3414">
            <v>2310</v>
          </cell>
          <cell r="K3414" t="str">
            <v>VC01</v>
          </cell>
        </row>
        <row r="3415">
          <cell r="A3415" t="str">
            <v>1AP1TE82461XEU</v>
          </cell>
          <cell r="B3415" t="str">
            <v>DIP</v>
          </cell>
          <cell r="C3415">
            <v>1</v>
          </cell>
          <cell r="D3415" t="e">
            <v>#N/A</v>
          </cell>
          <cell r="E3415">
            <v>2210</v>
          </cell>
          <cell r="F3415" t="str">
            <v>VC01</v>
          </cell>
          <cell r="G3415" t="str">
            <v>Auto</v>
          </cell>
          <cell r="H3415">
            <v>311</v>
          </cell>
          <cell r="I3415">
            <v>2210</v>
          </cell>
          <cell r="J3415">
            <v>2310</v>
          </cell>
          <cell r="K3415" t="str">
            <v>VC01</v>
          </cell>
        </row>
        <row r="3416">
          <cell r="A3416" t="str">
            <v>1RE1TE82461NEV4</v>
          </cell>
          <cell r="B3416" t="str">
            <v>SMT</v>
          </cell>
          <cell r="C3416">
            <v>1</v>
          </cell>
          <cell r="D3416">
            <v>210</v>
          </cell>
        </row>
        <row r="3417">
          <cell r="A3417" t="str">
            <v>1RH1TE82461NEV4</v>
          </cell>
          <cell r="B3417" t="str">
            <v>SMT</v>
          </cell>
          <cell r="C3417">
            <v>1</v>
          </cell>
          <cell r="D3417">
            <v>16</v>
          </cell>
          <cell r="E3417">
            <v>2210</v>
          </cell>
          <cell r="F3417" t="str">
            <v>VC01</v>
          </cell>
          <cell r="G3417" t="str">
            <v>Auto</v>
          </cell>
          <cell r="H3417">
            <v>311</v>
          </cell>
          <cell r="I3417">
            <v>2210</v>
          </cell>
          <cell r="J3417">
            <v>2310</v>
          </cell>
          <cell r="K3417" t="str">
            <v>VC01</v>
          </cell>
        </row>
        <row r="3418">
          <cell r="A3418" t="str">
            <v>1AP1TE82461NEV4</v>
          </cell>
          <cell r="B3418" t="str">
            <v>DIP</v>
          </cell>
          <cell r="C3418">
            <v>1</v>
          </cell>
          <cell r="D3418" t="e">
            <v>#N/A</v>
          </cell>
          <cell r="E3418">
            <v>2210</v>
          </cell>
          <cell r="F3418" t="str">
            <v>VC01</v>
          </cell>
          <cell r="G3418" t="str">
            <v>Auto</v>
          </cell>
          <cell r="H3418">
            <v>311</v>
          </cell>
          <cell r="I3418">
            <v>2210</v>
          </cell>
          <cell r="J3418">
            <v>2310</v>
          </cell>
          <cell r="K3418" t="str">
            <v>VC01</v>
          </cell>
        </row>
        <row r="3419">
          <cell r="A3419" t="str">
            <v>1RE1TE82460XV4</v>
          </cell>
          <cell r="B3419" t="str">
            <v>SMT</v>
          </cell>
          <cell r="C3419">
            <v>1</v>
          </cell>
          <cell r="D3419">
            <v>121</v>
          </cell>
        </row>
        <row r="3420">
          <cell r="A3420" t="str">
            <v>1RH1TE82460XV4</v>
          </cell>
          <cell r="B3420" t="str">
            <v>SMT</v>
          </cell>
          <cell r="C3420">
            <v>1</v>
          </cell>
          <cell r="D3420">
            <v>7</v>
          </cell>
          <cell r="E3420">
            <v>2210</v>
          </cell>
          <cell r="F3420" t="str">
            <v>VC01</v>
          </cell>
          <cell r="G3420" t="str">
            <v>Auto</v>
          </cell>
          <cell r="H3420">
            <v>311</v>
          </cell>
          <cell r="I3420">
            <v>2210</v>
          </cell>
          <cell r="J3420">
            <v>2310</v>
          </cell>
          <cell r="K3420" t="str">
            <v>VC01</v>
          </cell>
        </row>
        <row r="3421">
          <cell r="A3421" t="str">
            <v>1AP1TE82460XV4</v>
          </cell>
          <cell r="B3421" t="str">
            <v>DIP</v>
          </cell>
          <cell r="C3421">
            <v>1</v>
          </cell>
          <cell r="D3421" t="e">
            <v>#N/A</v>
          </cell>
          <cell r="E3421">
            <v>2210</v>
          </cell>
          <cell r="F3421" t="str">
            <v>VC01</v>
          </cell>
          <cell r="G3421" t="str">
            <v>Auto</v>
          </cell>
          <cell r="H3421">
            <v>311</v>
          </cell>
          <cell r="I3421">
            <v>2210</v>
          </cell>
          <cell r="J3421">
            <v>2310</v>
          </cell>
          <cell r="K3421" t="str">
            <v>VC01</v>
          </cell>
        </row>
        <row r="3422">
          <cell r="A3422" t="str">
            <v>1RE1TE82460XSX</v>
          </cell>
          <cell r="B3422" t="str">
            <v>SMT</v>
          </cell>
          <cell r="C3422">
            <v>1</v>
          </cell>
          <cell r="D3422">
            <v>121</v>
          </cell>
        </row>
        <row r="3423">
          <cell r="A3423" t="str">
            <v>1RH1TE82460XSX</v>
          </cell>
          <cell r="B3423" t="str">
            <v>SMT</v>
          </cell>
          <cell r="C3423">
            <v>1</v>
          </cell>
          <cell r="D3423">
            <v>7</v>
          </cell>
          <cell r="E3423">
            <v>2210</v>
          </cell>
          <cell r="F3423" t="str">
            <v>VC01</v>
          </cell>
          <cell r="G3423" t="str">
            <v>Auto</v>
          </cell>
          <cell r="H3423">
            <v>311</v>
          </cell>
          <cell r="I3423">
            <v>2210</v>
          </cell>
          <cell r="J3423">
            <v>2310</v>
          </cell>
          <cell r="K3423" t="str">
            <v>VC01</v>
          </cell>
        </row>
        <row r="3424">
          <cell r="A3424" t="str">
            <v>1AP1TE82460XSX</v>
          </cell>
          <cell r="B3424" t="str">
            <v>DIP</v>
          </cell>
          <cell r="C3424">
            <v>1</v>
          </cell>
          <cell r="D3424" t="e">
            <v>#N/A</v>
          </cell>
          <cell r="E3424">
            <v>2210</v>
          </cell>
          <cell r="F3424" t="str">
            <v>VC01</v>
          </cell>
          <cell r="G3424" t="str">
            <v>Auto</v>
          </cell>
          <cell r="H3424">
            <v>311</v>
          </cell>
          <cell r="I3424">
            <v>2210</v>
          </cell>
          <cell r="J3424">
            <v>2310</v>
          </cell>
          <cell r="K3424" t="str">
            <v>VC01</v>
          </cell>
        </row>
        <row r="3425">
          <cell r="A3425" t="str">
            <v>1RE1TE82460XEU</v>
          </cell>
          <cell r="B3425" t="str">
            <v>SMT</v>
          </cell>
          <cell r="C3425">
            <v>1</v>
          </cell>
          <cell r="D3425">
            <v>121</v>
          </cell>
        </row>
        <row r="3426">
          <cell r="A3426" t="str">
            <v>1RH1TE82460XEU</v>
          </cell>
          <cell r="B3426" t="str">
            <v>SMT</v>
          </cell>
          <cell r="C3426">
            <v>1</v>
          </cell>
          <cell r="D3426">
            <v>7</v>
          </cell>
          <cell r="E3426">
            <v>2210</v>
          </cell>
          <cell r="F3426" t="str">
            <v>VC01</v>
          </cell>
          <cell r="G3426" t="str">
            <v>Auto</v>
          </cell>
          <cell r="H3426">
            <v>311</v>
          </cell>
          <cell r="I3426">
            <v>2210</v>
          </cell>
          <cell r="J3426">
            <v>2310</v>
          </cell>
          <cell r="K3426" t="str">
            <v>VC01</v>
          </cell>
        </row>
        <row r="3427">
          <cell r="A3427" t="str">
            <v>1AP1TE82460XEU</v>
          </cell>
          <cell r="B3427" t="str">
            <v>DIP</v>
          </cell>
          <cell r="C3427">
            <v>1</v>
          </cell>
          <cell r="D3427" t="e">
            <v>#N/A</v>
          </cell>
          <cell r="E3427">
            <v>2210</v>
          </cell>
          <cell r="F3427" t="str">
            <v>VC01</v>
          </cell>
          <cell r="G3427" t="str">
            <v>Auto</v>
          </cell>
          <cell r="H3427">
            <v>311</v>
          </cell>
          <cell r="I3427">
            <v>2210</v>
          </cell>
          <cell r="J3427">
            <v>2310</v>
          </cell>
          <cell r="K3427" t="str">
            <v>VC01</v>
          </cell>
        </row>
        <row r="3428">
          <cell r="A3428" t="str">
            <v>1RE1TE82460NEV4</v>
          </cell>
          <cell r="B3428" t="str">
            <v>SMT</v>
          </cell>
          <cell r="C3428">
            <v>1</v>
          </cell>
          <cell r="D3428">
            <v>121</v>
          </cell>
        </row>
        <row r="3429">
          <cell r="A3429" t="str">
            <v>1RH1TE82460NEV4</v>
          </cell>
          <cell r="B3429" t="str">
            <v>SMT</v>
          </cell>
          <cell r="C3429">
            <v>1</v>
          </cell>
          <cell r="D3429">
            <v>7</v>
          </cell>
          <cell r="E3429">
            <v>2210</v>
          </cell>
          <cell r="F3429" t="str">
            <v>VC01</v>
          </cell>
          <cell r="G3429" t="str">
            <v>Auto</v>
          </cell>
          <cell r="H3429">
            <v>311</v>
          </cell>
          <cell r="I3429">
            <v>2210</v>
          </cell>
          <cell r="J3429">
            <v>2310</v>
          </cell>
          <cell r="K3429" t="str">
            <v>VC01</v>
          </cell>
        </row>
        <row r="3430">
          <cell r="A3430" t="str">
            <v>1AP1TE82460NEV4</v>
          </cell>
          <cell r="B3430" t="str">
            <v>DIP</v>
          </cell>
          <cell r="C3430">
            <v>1</v>
          </cell>
          <cell r="D3430" t="e">
            <v>#N/A</v>
          </cell>
          <cell r="E3430">
            <v>2210</v>
          </cell>
          <cell r="F3430" t="str">
            <v>VC01</v>
          </cell>
          <cell r="G3430" t="str">
            <v>Auto</v>
          </cell>
          <cell r="H3430">
            <v>311</v>
          </cell>
          <cell r="I3430">
            <v>2210</v>
          </cell>
          <cell r="J3430">
            <v>2310</v>
          </cell>
          <cell r="K3430" t="str">
            <v>VC01</v>
          </cell>
        </row>
        <row r="3431">
          <cell r="A3431" t="str">
            <v>1RE1TA82483V4</v>
          </cell>
          <cell r="B3431" t="str">
            <v>SMT</v>
          </cell>
          <cell r="C3431">
            <v>1</v>
          </cell>
          <cell r="D3431">
            <v>429</v>
          </cell>
        </row>
        <row r="3432">
          <cell r="A3432" t="str">
            <v>1RH1TA82483V4</v>
          </cell>
          <cell r="B3432" t="str">
            <v>SMT</v>
          </cell>
          <cell r="C3432">
            <v>1</v>
          </cell>
          <cell r="D3432">
            <v>73</v>
          </cell>
        </row>
        <row r="3433">
          <cell r="A3433" t="str">
            <v>1CM1TA82483V4</v>
          </cell>
          <cell r="B3433" t="str">
            <v>SMT</v>
          </cell>
          <cell r="C3433">
            <v>1</v>
          </cell>
          <cell r="D3433">
            <v>351</v>
          </cell>
          <cell r="E3433">
            <v>2210</v>
          </cell>
          <cell r="F3433" t="str">
            <v>VC01</v>
          </cell>
          <cell r="G3433" t="str">
            <v>Auto</v>
          </cell>
          <cell r="H3433">
            <v>311</v>
          </cell>
          <cell r="I3433">
            <v>2210</v>
          </cell>
          <cell r="J3433">
            <v>2310</v>
          </cell>
          <cell r="K3433" t="str">
            <v>VC01</v>
          </cell>
        </row>
        <row r="3434">
          <cell r="A3434" t="str">
            <v>1AP1TA82483V4</v>
          </cell>
          <cell r="B3434" t="str">
            <v>DIP</v>
          </cell>
          <cell r="C3434">
            <v>1</v>
          </cell>
          <cell r="D3434" t="e">
            <v>#N/A</v>
          </cell>
          <cell r="E3434">
            <v>2210</v>
          </cell>
          <cell r="F3434" t="str">
            <v>VC01</v>
          </cell>
          <cell r="G3434" t="str">
            <v>Auto</v>
          </cell>
          <cell r="H3434">
            <v>311</v>
          </cell>
          <cell r="I3434">
            <v>2210</v>
          </cell>
          <cell r="J3434">
            <v>2310</v>
          </cell>
          <cell r="K3434" t="str">
            <v>VC01</v>
          </cell>
        </row>
        <row r="3435">
          <cell r="A3435" t="str">
            <v>1RE1TA82481V4</v>
          </cell>
          <cell r="B3435" t="str">
            <v>SMT</v>
          </cell>
          <cell r="C3435">
            <v>1</v>
          </cell>
          <cell r="D3435">
            <v>382</v>
          </cell>
        </row>
        <row r="3436">
          <cell r="A3436" t="str">
            <v>1RH1TA82481V4</v>
          </cell>
          <cell r="B3436" t="str">
            <v>SMT</v>
          </cell>
          <cell r="C3436">
            <v>1</v>
          </cell>
          <cell r="D3436">
            <v>69</v>
          </cell>
        </row>
        <row r="3437">
          <cell r="A3437" t="str">
            <v>1CM1TA82481V4</v>
          </cell>
          <cell r="B3437" t="str">
            <v>SMT</v>
          </cell>
          <cell r="C3437">
            <v>1</v>
          </cell>
          <cell r="D3437">
            <v>314</v>
          </cell>
          <cell r="E3437">
            <v>2210</v>
          </cell>
          <cell r="F3437" t="str">
            <v>VC01</v>
          </cell>
          <cell r="G3437" t="str">
            <v>Auto</v>
          </cell>
          <cell r="H3437">
            <v>311</v>
          </cell>
          <cell r="I3437">
            <v>2210</v>
          </cell>
          <cell r="J3437">
            <v>2310</v>
          </cell>
          <cell r="K3437" t="str">
            <v>VC01</v>
          </cell>
        </row>
        <row r="3438">
          <cell r="A3438" t="str">
            <v>1AP1TA82481V4</v>
          </cell>
          <cell r="B3438" t="str">
            <v>DIP</v>
          </cell>
          <cell r="C3438">
            <v>1</v>
          </cell>
          <cell r="D3438" t="e">
            <v>#N/A</v>
          </cell>
          <cell r="E3438">
            <v>2210</v>
          </cell>
          <cell r="F3438" t="str">
            <v>VC01</v>
          </cell>
          <cell r="G3438" t="str">
            <v>Auto</v>
          </cell>
          <cell r="H3438">
            <v>311</v>
          </cell>
          <cell r="I3438">
            <v>2210</v>
          </cell>
          <cell r="J3438">
            <v>2310</v>
          </cell>
          <cell r="K3438" t="str">
            <v>VC01</v>
          </cell>
        </row>
        <row r="3439">
          <cell r="A3439" t="str">
            <v>1RE1TA82470V4</v>
          </cell>
          <cell r="B3439" t="str">
            <v>SMT</v>
          </cell>
          <cell r="C3439">
            <v>1</v>
          </cell>
          <cell r="D3439">
            <v>298</v>
          </cell>
        </row>
        <row r="3440">
          <cell r="A3440" t="str">
            <v>1RH1TA82470V4</v>
          </cell>
          <cell r="B3440" t="str">
            <v>SMT</v>
          </cell>
          <cell r="C3440">
            <v>1</v>
          </cell>
          <cell r="D3440">
            <v>60</v>
          </cell>
        </row>
        <row r="3441">
          <cell r="A3441" t="str">
            <v>1CM1TA82470V4</v>
          </cell>
          <cell r="B3441" t="str">
            <v>SMT</v>
          </cell>
          <cell r="C3441">
            <v>1</v>
          </cell>
          <cell r="D3441">
            <v>246</v>
          </cell>
          <cell r="E3441">
            <v>2210</v>
          </cell>
          <cell r="F3441" t="str">
            <v>VC01</v>
          </cell>
          <cell r="G3441" t="str">
            <v>Auto</v>
          </cell>
          <cell r="H3441">
            <v>311</v>
          </cell>
          <cell r="I3441">
            <v>2210</v>
          </cell>
          <cell r="J3441">
            <v>2310</v>
          </cell>
          <cell r="K3441" t="str">
            <v>VC01</v>
          </cell>
        </row>
        <row r="3442">
          <cell r="A3442" t="str">
            <v>1AP1TA82470V4</v>
          </cell>
          <cell r="B3442" t="str">
            <v>DIP</v>
          </cell>
          <cell r="C3442">
            <v>1</v>
          </cell>
          <cell r="D3442" t="e">
            <v>#N/A</v>
          </cell>
          <cell r="E3442">
            <v>2210</v>
          </cell>
          <cell r="F3442" t="str">
            <v>VC01</v>
          </cell>
          <cell r="G3442" t="str">
            <v>Auto</v>
          </cell>
          <cell r="H3442">
            <v>311</v>
          </cell>
          <cell r="I3442">
            <v>2210</v>
          </cell>
          <cell r="J3442">
            <v>2310</v>
          </cell>
          <cell r="K3442" t="str">
            <v>VC01</v>
          </cell>
        </row>
        <row r="3443">
          <cell r="A3443" t="str">
            <v>1RE1TA82461V4</v>
          </cell>
          <cell r="B3443" t="str">
            <v>SMT</v>
          </cell>
          <cell r="C3443">
            <v>1</v>
          </cell>
          <cell r="D3443">
            <v>210</v>
          </cell>
        </row>
        <row r="3444">
          <cell r="A3444" t="str">
            <v>1RH1TA82461V4</v>
          </cell>
          <cell r="B3444" t="str">
            <v>SMT</v>
          </cell>
          <cell r="C3444">
            <v>1</v>
          </cell>
          <cell r="D3444">
            <v>16</v>
          </cell>
          <cell r="E3444">
            <v>2210</v>
          </cell>
          <cell r="F3444" t="str">
            <v>VC01</v>
          </cell>
          <cell r="G3444" t="str">
            <v>Auto</v>
          </cell>
          <cell r="H3444">
            <v>311</v>
          </cell>
          <cell r="I3444">
            <v>2210</v>
          </cell>
          <cell r="J3444">
            <v>2310</v>
          </cell>
          <cell r="K3444" t="str">
            <v>VC01</v>
          </cell>
        </row>
        <row r="3445">
          <cell r="A3445" t="str">
            <v>1AP1TA82461V4</v>
          </cell>
          <cell r="B3445" t="str">
            <v>DIP</v>
          </cell>
          <cell r="C3445">
            <v>1</v>
          </cell>
          <cell r="D3445" t="e">
            <v>#N/A</v>
          </cell>
          <cell r="E3445">
            <v>2210</v>
          </cell>
          <cell r="F3445" t="str">
            <v>VC01</v>
          </cell>
          <cell r="G3445" t="str">
            <v>Auto</v>
          </cell>
          <cell r="H3445">
            <v>311</v>
          </cell>
          <cell r="I3445">
            <v>2210</v>
          </cell>
          <cell r="J3445">
            <v>2310</v>
          </cell>
          <cell r="K3445" t="str">
            <v>VC01</v>
          </cell>
        </row>
        <row r="3446">
          <cell r="A3446" t="str">
            <v>1VI1PSLP1684ZA</v>
          </cell>
          <cell r="B3446" t="str">
            <v>SMT</v>
          </cell>
          <cell r="C3446">
            <v>1</v>
          </cell>
          <cell r="D3446" t="e">
            <v>#N/A</v>
          </cell>
        </row>
        <row r="3447">
          <cell r="A3447" t="str">
            <v>1RE1PSLP1684ZA</v>
          </cell>
          <cell r="B3447" t="str">
            <v>SMT</v>
          </cell>
          <cell r="C3447">
            <v>1</v>
          </cell>
          <cell r="D3447">
            <v>812</v>
          </cell>
        </row>
        <row r="3448">
          <cell r="A3448" t="str">
            <v>1RH1PSLP1684ZA</v>
          </cell>
          <cell r="B3448" t="str">
            <v>SMT</v>
          </cell>
          <cell r="C3448">
            <v>1</v>
          </cell>
          <cell r="D3448">
            <v>77</v>
          </cell>
        </row>
        <row r="3449">
          <cell r="A3449" t="str">
            <v>1CM1PSLP1684ZA</v>
          </cell>
          <cell r="B3449" t="str">
            <v>SMT</v>
          </cell>
          <cell r="C3449">
            <v>1</v>
          </cell>
          <cell r="D3449">
            <v>461</v>
          </cell>
          <cell r="E3449">
            <v>2210</v>
          </cell>
          <cell r="F3449" t="str">
            <v>VC01</v>
          </cell>
          <cell r="G3449" t="str">
            <v>Auto</v>
          </cell>
          <cell r="H3449">
            <v>311</v>
          </cell>
          <cell r="I3449">
            <v>2210</v>
          </cell>
          <cell r="J3449">
            <v>2220</v>
          </cell>
          <cell r="K3449" t="str">
            <v>VC01</v>
          </cell>
        </row>
        <row r="3450">
          <cell r="A3450" t="str">
            <v>1AP1PSLP1684ZA</v>
          </cell>
          <cell r="B3450" t="str">
            <v>DIP</v>
          </cell>
          <cell r="C3450">
            <v>1</v>
          </cell>
          <cell r="D3450" t="e">
            <v>#N/A</v>
          </cell>
          <cell r="E3450">
            <v>2210</v>
          </cell>
          <cell r="F3450" t="str">
            <v>VC01</v>
          </cell>
          <cell r="G3450" t="str">
            <v>Auto</v>
          </cell>
          <cell r="H3450">
            <v>311</v>
          </cell>
          <cell r="I3450">
            <v>2210</v>
          </cell>
          <cell r="J3450">
            <v>2220</v>
          </cell>
          <cell r="K3450" t="str">
            <v>VC01</v>
          </cell>
        </row>
        <row r="3451">
          <cell r="A3451" t="str">
            <v>1RE1PSLP1576ZAV4</v>
          </cell>
          <cell r="B3451" t="str">
            <v>SMT</v>
          </cell>
          <cell r="C3451">
            <v>1</v>
          </cell>
          <cell r="D3451">
            <v>364</v>
          </cell>
        </row>
        <row r="3452">
          <cell r="A3452" t="str">
            <v>1RH1PSLP1576ZAV4</v>
          </cell>
          <cell r="B3452" t="str">
            <v>SMT</v>
          </cell>
          <cell r="C3452">
            <v>1</v>
          </cell>
          <cell r="D3452">
            <v>37</v>
          </cell>
        </row>
        <row r="3453">
          <cell r="A3453" t="str">
            <v>1CM1PSLP1576ZAV4</v>
          </cell>
          <cell r="B3453" t="str">
            <v>SMT</v>
          </cell>
          <cell r="C3453">
            <v>1</v>
          </cell>
          <cell r="D3453">
            <v>275</v>
          </cell>
          <cell r="E3453">
            <v>2210</v>
          </cell>
          <cell r="F3453" t="str">
            <v>VC01</v>
          </cell>
          <cell r="G3453" t="str">
            <v>Auto</v>
          </cell>
          <cell r="H3453">
            <v>311</v>
          </cell>
          <cell r="I3453">
            <v>2210</v>
          </cell>
          <cell r="J3453">
            <v>2310</v>
          </cell>
          <cell r="K3453" t="str">
            <v>VC01</v>
          </cell>
        </row>
        <row r="3454">
          <cell r="A3454" t="str">
            <v>1AP1PSLP1576ZAV4</v>
          </cell>
          <cell r="B3454" t="str">
            <v>DIP</v>
          </cell>
          <cell r="C3454">
            <v>1</v>
          </cell>
          <cell r="D3454" t="e">
            <v>#N/A</v>
          </cell>
          <cell r="E3454">
            <v>2210</v>
          </cell>
          <cell r="F3454" t="str">
            <v>VC01</v>
          </cell>
          <cell r="G3454" t="str">
            <v>Auto</v>
          </cell>
          <cell r="H3454">
            <v>311</v>
          </cell>
          <cell r="I3454">
            <v>2210</v>
          </cell>
          <cell r="J3454">
            <v>2310</v>
          </cell>
          <cell r="K3454" t="str">
            <v>VC01</v>
          </cell>
        </row>
        <row r="3455">
          <cell r="A3455" t="str">
            <v>1RE1PSLP1575ZAV4</v>
          </cell>
          <cell r="B3455" t="str">
            <v>SMT</v>
          </cell>
          <cell r="C3455">
            <v>1</v>
          </cell>
          <cell r="D3455">
            <v>442</v>
          </cell>
        </row>
        <row r="3456">
          <cell r="A3456" t="str">
            <v>1RH1PSLP1575ZAV4</v>
          </cell>
          <cell r="B3456" t="str">
            <v>SMT</v>
          </cell>
          <cell r="C3456">
            <v>1</v>
          </cell>
          <cell r="D3456">
            <v>73</v>
          </cell>
        </row>
        <row r="3457">
          <cell r="A3457" t="str">
            <v>1CM1PSLP1575ZAV4</v>
          </cell>
          <cell r="B3457" t="str">
            <v>SMT</v>
          </cell>
          <cell r="C3457">
            <v>1</v>
          </cell>
          <cell r="D3457">
            <v>365</v>
          </cell>
          <cell r="E3457">
            <v>2210</v>
          </cell>
          <cell r="F3457" t="str">
            <v>VC01</v>
          </cell>
          <cell r="G3457" t="str">
            <v>Auto</v>
          </cell>
          <cell r="H3457">
            <v>311</v>
          </cell>
          <cell r="I3457">
            <v>2210</v>
          </cell>
          <cell r="J3457">
            <v>2310</v>
          </cell>
          <cell r="K3457" t="str">
            <v>VC01</v>
          </cell>
        </row>
        <row r="3458">
          <cell r="A3458" t="str">
            <v>1AP1PSLP1575ZAV4</v>
          </cell>
          <cell r="B3458" t="str">
            <v>DIP</v>
          </cell>
          <cell r="C3458">
            <v>1</v>
          </cell>
          <cell r="D3458" t="e">
            <v>#N/A</v>
          </cell>
          <cell r="E3458">
            <v>2210</v>
          </cell>
          <cell r="F3458" t="str">
            <v>VC01</v>
          </cell>
          <cell r="G3458" t="str">
            <v>Auto</v>
          </cell>
          <cell r="H3458">
            <v>311</v>
          </cell>
          <cell r="I3458">
            <v>2210</v>
          </cell>
          <cell r="J3458">
            <v>2310</v>
          </cell>
          <cell r="K3458" t="str">
            <v>VC01</v>
          </cell>
        </row>
        <row r="3459">
          <cell r="A3459" t="str">
            <v>1VI1PSLP1574ZAV4</v>
          </cell>
          <cell r="B3459" t="str">
            <v>SMT</v>
          </cell>
          <cell r="C3459">
            <v>1</v>
          </cell>
          <cell r="D3459" t="e">
            <v>#N/A</v>
          </cell>
        </row>
        <row r="3460">
          <cell r="A3460" t="str">
            <v>1RE1PSLP1574ZAV4</v>
          </cell>
          <cell r="B3460" t="str">
            <v>SMT</v>
          </cell>
          <cell r="C3460">
            <v>1</v>
          </cell>
          <cell r="D3460">
            <v>821</v>
          </cell>
        </row>
        <row r="3461">
          <cell r="A3461" t="str">
            <v>1RH1PSLP1574ZAV4</v>
          </cell>
          <cell r="B3461" t="str">
            <v>SMT</v>
          </cell>
          <cell r="C3461">
            <v>1</v>
          </cell>
          <cell r="D3461">
            <v>77</v>
          </cell>
        </row>
        <row r="3462">
          <cell r="A3462" t="str">
            <v>1CM1PSLP1574ZAV4</v>
          </cell>
          <cell r="B3462" t="str">
            <v>SMT</v>
          </cell>
          <cell r="C3462">
            <v>1</v>
          </cell>
          <cell r="D3462">
            <v>477</v>
          </cell>
          <cell r="E3462">
            <v>2210</v>
          </cell>
          <cell r="F3462" t="str">
            <v>VC01</v>
          </cell>
          <cell r="G3462" t="str">
            <v>Auto</v>
          </cell>
          <cell r="H3462">
            <v>311</v>
          </cell>
          <cell r="I3462">
            <v>2210</v>
          </cell>
          <cell r="J3462">
            <v>2220</v>
          </cell>
          <cell r="K3462" t="str">
            <v>VC01</v>
          </cell>
        </row>
        <row r="3463">
          <cell r="A3463" t="str">
            <v>1AP1PSLP1574ZAV4</v>
          </cell>
          <cell r="B3463" t="str">
            <v>DIP</v>
          </cell>
          <cell r="C3463">
            <v>1</v>
          </cell>
          <cell r="D3463" t="e">
            <v>#N/A</v>
          </cell>
          <cell r="E3463">
            <v>2210</v>
          </cell>
          <cell r="F3463" t="str">
            <v>VC01</v>
          </cell>
          <cell r="G3463" t="str">
            <v>Auto</v>
          </cell>
          <cell r="H3463">
            <v>311</v>
          </cell>
          <cell r="I3463">
            <v>2210</v>
          </cell>
          <cell r="J3463">
            <v>2220</v>
          </cell>
          <cell r="K3463" t="str">
            <v>VC01</v>
          </cell>
        </row>
        <row r="3464">
          <cell r="A3464" t="str">
            <v>1VI1PSLP1537ZA</v>
          </cell>
          <cell r="B3464" t="str">
            <v>SMT</v>
          </cell>
          <cell r="C3464">
            <v>1</v>
          </cell>
          <cell r="D3464" t="e">
            <v>#N/A</v>
          </cell>
        </row>
        <row r="3465">
          <cell r="A3465" t="str">
            <v>1RE1PSLP1537ZA</v>
          </cell>
          <cell r="B3465" t="str">
            <v>SMT</v>
          </cell>
          <cell r="C3465">
            <v>1</v>
          </cell>
          <cell r="D3465">
            <v>812</v>
          </cell>
        </row>
        <row r="3466">
          <cell r="A3466" t="str">
            <v>1RH1PSLP1537ZA</v>
          </cell>
          <cell r="B3466" t="str">
            <v>SMT</v>
          </cell>
          <cell r="C3466">
            <v>1</v>
          </cell>
          <cell r="D3466">
            <v>77</v>
          </cell>
        </row>
        <row r="3467">
          <cell r="A3467" t="str">
            <v>1CM1PSLP1537ZA</v>
          </cell>
          <cell r="B3467" t="str">
            <v>SMT</v>
          </cell>
          <cell r="C3467">
            <v>1</v>
          </cell>
          <cell r="D3467">
            <v>461</v>
          </cell>
          <cell r="E3467">
            <v>2210</v>
          </cell>
          <cell r="F3467" t="str">
            <v>VC01</v>
          </cell>
          <cell r="G3467" t="str">
            <v>Auto</v>
          </cell>
          <cell r="H3467">
            <v>311</v>
          </cell>
          <cell r="I3467">
            <v>2210</v>
          </cell>
          <cell r="J3467" t="e">
            <v>#N/A</v>
          </cell>
          <cell r="K3467" t="str">
            <v>VC01</v>
          </cell>
        </row>
        <row r="3468">
          <cell r="A3468" t="str">
            <v>1AP1PSLP1537ZA</v>
          </cell>
          <cell r="B3468" t="str">
            <v>DIP</v>
          </cell>
          <cell r="C3468">
            <v>1</v>
          </cell>
          <cell r="D3468" t="e">
            <v>#N/A</v>
          </cell>
          <cell r="E3468">
            <v>2210</v>
          </cell>
        </row>
        <row r="3469">
          <cell r="A3469" t="str">
            <v>1RE1PSLP1426ZA</v>
          </cell>
          <cell r="B3469" t="str">
            <v>SMT</v>
          </cell>
          <cell r="C3469">
            <v>1</v>
          </cell>
          <cell r="D3469">
            <v>173</v>
          </cell>
        </row>
        <row r="3470">
          <cell r="A3470" t="str">
            <v>1RH1PSLP1426ZA</v>
          </cell>
          <cell r="B3470" t="str">
            <v>SMT</v>
          </cell>
          <cell r="C3470">
            <v>1</v>
          </cell>
          <cell r="D3470">
            <v>19</v>
          </cell>
        </row>
        <row r="3471">
          <cell r="A3471" t="str">
            <v>1CM1PSLP1426ZA</v>
          </cell>
          <cell r="B3471" t="str">
            <v>SMT</v>
          </cell>
          <cell r="C3471">
            <v>1</v>
          </cell>
          <cell r="D3471">
            <v>117</v>
          </cell>
          <cell r="E3471">
            <v>2210</v>
          </cell>
          <cell r="F3471" t="str">
            <v>VC01</v>
          </cell>
          <cell r="G3471" t="str">
            <v>Auto</v>
          </cell>
          <cell r="H3471">
            <v>311</v>
          </cell>
          <cell r="I3471">
            <v>2210</v>
          </cell>
          <cell r="J3471" t="e">
            <v>#N/A</v>
          </cell>
          <cell r="K3471" t="str">
            <v>VC01</v>
          </cell>
        </row>
        <row r="3472">
          <cell r="A3472" t="str">
            <v>1AP1PSLP1426ZA</v>
          </cell>
          <cell r="B3472" t="str">
            <v>DIP</v>
          </cell>
          <cell r="C3472">
            <v>1</v>
          </cell>
          <cell r="D3472" t="e">
            <v>#N/A</v>
          </cell>
          <cell r="E3472">
            <v>2210</v>
          </cell>
        </row>
        <row r="3473">
          <cell r="A3473" t="str">
            <v>1VI1PSLP1404ZA</v>
          </cell>
          <cell r="B3473" t="str">
            <v>SMT</v>
          </cell>
          <cell r="C3473">
            <v>1</v>
          </cell>
          <cell r="D3473" t="e">
            <v>#N/A</v>
          </cell>
        </row>
        <row r="3474">
          <cell r="A3474" t="str">
            <v>1RE1PSLP1404ZA</v>
          </cell>
          <cell r="B3474" t="str">
            <v>SMT</v>
          </cell>
          <cell r="C3474">
            <v>1</v>
          </cell>
          <cell r="D3474">
            <v>590</v>
          </cell>
        </row>
        <row r="3475">
          <cell r="A3475" t="str">
            <v>1RH1PSLP1404ZA</v>
          </cell>
          <cell r="B3475" t="str">
            <v>SMT</v>
          </cell>
          <cell r="C3475">
            <v>1</v>
          </cell>
          <cell r="D3475">
            <v>49</v>
          </cell>
        </row>
        <row r="3476">
          <cell r="A3476" t="str">
            <v>1CM1PSLP1404ZA</v>
          </cell>
          <cell r="B3476" t="str">
            <v>SMT</v>
          </cell>
          <cell r="C3476">
            <v>1</v>
          </cell>
          <cell r="D3476">
            <v>291</v>
          </cell>
          <cell r="E3476">
            <v>2210</v>
          </cell>
          <cell r="F3476" t="str">
            <v>VC01</v>
          </cell>
          <cell r="G3476" t="str">
            <v>Auto</v>
          </cell>
          <cell r="H3476">
            <v>311</v>
          </cell>
          <cell r="I3476">
            <v>2210</v>
          </cell>
          <cell r="J3476" t="e">
            <v>#N/A</v>
          </cell>
          <cell r="K3476" t="str">
            <v>VC01</v>
          </cell>
        </row>
        <row r="3477">
          <cell r="A3477" t="str">
            <v>1AP1PSLP1404ZA</v>
          </cell>
          <cell r="B3477" t="str">
            <v>DIP</v>
          </cell>
          <cell r="C3477">
            <v>1</v>
          </cell>
          <cell r="D3477" t="e">
            <v>#N/A</v>
          </cell>
          <cell r="E3477">
            <v>2210</v>
          </cell>
        </row>
        <row r="3478">
          <cell r="A3478" t="str">
            <v>1RE1PSLP1312ZAL4</v>
          </cell>
          <cell r="B3478" t="str">
            <v>SMT</v>
          </cell>
          <cell r="C3478">
            <v>1</v>
          </cell>
          <cell r="D3478">
            <v>263</v>
          </cell>
        </row>
        <row r="3479">
          <cell r="A3479" t="str">
            <v>1RH1PSLP1312ZAL4</v>
          </cell>
          <cell r="B3479" t="str">
            <v>SMT</v>
          </cell>
          <cell r="C3479">
            <v>1</v>
          </cell>
          <cell r="D3479">
            <v>28</v>
          </cell>
        </row>
        <row r="3480">
          <cell r="A3480" t="str">
            <v>1CM1PSLP1312ZAL4</v>
          </cell>
          <cell r="B3480" t="str">
            <v>SMT</v>
          </cell>
          <cell r="C3480">
            <v>1</v>
          </cell>
          <cell r="D3480">
            <v>194</v>
          </cell>
          <cell r="E3480">
            <v>2210</v>
          </cell>
          <cell r="F3480" t="str">
            <v>VC01</v>
          </cell>
          <cell r="G3480" t="str">
            <v>Auto</v>
          </cell>
          <cell r="H3480">
            <v>311</v>
          </cell>
          <cell r="I3480">
            <v>2210</v>
          </cell>
          <cell r="J3480">
            <v>2310</v>
          </cell>
          <cell r="K3480" t="str">
            <v>VC01</v>
          </cell>
        </row>
        <row r="3481">
          <cell r="A3481" t="str">
            <v>1AP1PSLP1312ZAL4</v>
          </cell>
          <cell r="B3481" t="str">
            <v>DIP</v>
          </cell>
          <cell r="C3481">
            <v>1</v>
          </cell>
          <cell r="D3481" t="e">
            <v>#N/A</v>
          </cell>
          <cell r="E3481">
            <v>2210</v>
          </cell>
          <cell r="F3481" t="str">
            <v>VC01</v>
          </cell>
          <cell r="G3481" t="str">
            <v>Auto</v>
          </cell>
          <cell r="H3481">
            <v>311</v>
          </cell>
          <cell r="I3481">
            <v>2210</v>
          </cell>
          <cell r="J3481">
            <v>2310</v>
          </cell>
          <cell r="K3481" t="str">
            <v>VC01</v>
          </cell>
        </row>
        <row r="3482">
          <cell r="A3482" t="str">
            <v>1RE1PSLP1290ZA</v>
          </cell>
          <cell r="B3482" t="str">
            <v>SMT</v>
          </cell>
          <cell r="C3482">
            <v>1</v>
          </cell>
          <cell r="D3482">
            <v>356</v>
          </cell>
        </row>
        <row r="3483">
          <cell r="A3483" t="str">
            <v>1RH1PSLP1290ZA</v>
          </cell>
          <cell r="B3483" t="str">
            <v>SMT</v>
          </cell>
          <cell r="C3483">
            <v>1</v>
          </cell>
          <cell r="D3483">
            <v>37</v>
          </cell>
        </row>
        <row r="3484">
          <cell r="A3484" t="str">
            <v>1CM1PSLP1290ZA</v>
          </cell>
          <cell r="B3484" t="str">
            <v>SMT</v>
          </cell>
          <cell r="C3484">
            <v>1</v>
          </cell>
          <cell r="D3484">
            <v>262</v>
          </cell>
          <cell r="E3484">
            <v>2210</v>
          </cell>
          <cell r="F3484" t="str">
            <v>VC01</v>
          </cell>
          <cell r="G3484" t="str">
            <v>Auto</v>
          </cell>
          <cell r="H3484">
            <v>311</v>
          </cell>
          <cell r="I3484">
            <v>2210</v>
          </cell>
          <cell r="J3484">
            <v>2310</v>
          </cell>
          <cell r="K3484" t="str">
            <v>VC01</v>
          </cell>
        </row>
        <row r="3485">
          <cell r="A3485" t="str">
            <v>1AP1PSLP1290ZA</v>
          </cell>
          <cell r="B3485" t="str">
            <v>DIP</v>
          </cell>
          <cell r="C3485">
            <v>1</v>
          </cell>
          <cell r="D3485" t="e">
            <v>#N/A</v>
          </cell>
          <cell r="E3485">
            <v>2210</v>
          </cell>
          <cell r="F3485" t="str">
            <v>VC01</v>
          </cell>
          <cell r="G3485" t="str">
            <v>Auto</v>
          </cell>
          <cell r="H3485">
            <v>311</v>
          </cell>
          <cell r="I3485">
            <v>2210</v>
          </cell>
          <cell r="J3485">
            <v>2310</v>
          </cell>
          <cell r="K3485" t="str">
            <v>VC01</v>
          </cell>
        </row>
        <row r="3486">
          <cell r="A3486" t="str">
            <v>1RE1PSLP1289ZA</v>
          </cell>
          <cell r="B3486" t="str">
            <v>SMT</v>
          </cell>
          <cell r="C3486">
            <v>1</v>
          </cell>
          <cell r="D3486">
            <v>429</v>
          </cell>
        </row>
        <row r="3487">
          <cell r="A3487" t="str">
            <v>1RH1PSLP1289ZA</v>
          </cell>
          <cell r="B3487" t="str">
            <v>SMT</v>
          </cell>
          <cell r="C3487">
            <v>1</v>
          </cell>
          <cell r="D3487">
            <v>73</v>
          </cell>
        </row>
        <row r="3488">
          <cell r="A3488" t="str">
            <v>1CM1PSLP1289ZA</v>
          </cell>
          <cell r="B3488" t="str">
            <v>SMT</v>
          </cell>
          <cell r="C3488">
            <v>1</v>
          </cell>
          <cell r="D3488">
            <v>351</v>
          </cell>
          <cell r="E3488">
            <v>2210</v>
          </cell>
          <cell r="F3488" t="str">
            <v>VC01</v>
          </cell>
          <cell r="G3488" t="str">
            <v>Auto</v>
          </cell>
          <cell r="H3488">
            <v>311</v>
          </cell>
          <cell r="I3488">
            <v>2210</v>
          </cell>
          <cell r="J3488">
            <v>2310</v>
          </cell>
          <cell r="K3488" t="str">
            <v>VC01</v>
          </cell>
        </row>
        <row r="3489">
          <cell r="A3489" t="str">
            <v>1AP1PSLP1289ZA</v>
          </cell>
          <cell r="B3489" t="str">
            <v>DIP</v>
          </cell>
          <cell r="C3489">
            <v>1</v>
          </cell>
          <cell r="D3489" t="e">
            <v>#N/A</v>
          </cell>
          <cell r="E3489">
            <v>2210</v>
          </cell>
          <cell r="F3489" t="str">
            <v>VC01</v>
          </cell>
          <cell r="G3489" t="str">
            <v>Auto</v>
          </cell>
          <cell r="H3489">
            <v>311</v>
          </cell>
          <cell r="I3489">
            <v>2210</v>
          </cell>
          <cell r="J3489">
            <v>2310</v>
          </cell>
          <cell r="K3489" t="str">
            <v>VC01</v>
          </cell>
        </row>
        <row r="3490">
          <cell r="A3490" t="str">
            <v>1VI1PSLP1288ZA</v>
          </cell>
          <cell r="B3490" t="str">
            <v>SMT</v>
          </cell>
          <cell r="C3490">
            <v>1</v>
          </cell>
          <cell r="D3490" t="e">
            <v>#N/A</v>
          </cell>
        </row>
        <row r="3491">
          <cell r="A3491" t="str">
            <v>1RE1PSLP1288ZA</v>
          </cell>
          <cell r="B3491" t="str">
            <v>SMT</v>
          </cell>
          <cell r="C3491">
            <v>1</v>
          </cell>
          <cell r="D3491">
            <v>811</v>
          </cell>
        </row>
        <row r="3492">
          <cell r="A3492" t="str">
            <v>1RH1PSLP1288ZA</v>
          </cell>
          <cell r="B3492" t="str">
            <v>SMT</v>
          </cell>
          <cell r="C3492">
            <v>1</v>
          </cell>
          <cell r="D3492">
            <v>77</v>
          </cell>
        </row>
        <row r="3493">
          <cell r="A3493" t="str">
            <v>1CM1PSLP1288ZA</v>
          </cell>
          <cell r="B3493" t="str">
            <v>SMT</v>
          </cell>
          <cell r="C3493">
            <v>1</v>
          </cell>
          <cell r="D3493">
            <v>461</v>
          </cell>
          <cell r="E3493">
            <v>2210</v>
          </cell>
          <cell r="F3493" t="str">
            <v>VC01</v>
          </cell>
          <cell r="G3493" t="str">
            <v>Auto</v>
          </cell>
          <cell r="H3493">
            <v>311</v>
          </cell>
          <cell r="I3493">
            <v>2210</v>
          </cell>
          <cell r="J3493">
            <v>2220</v>
          </cell>
          <cell r="K3493" t="str">
            <v>VC01</v>
          </cell>
        </row>
        <row r="3494">
          <cell r="A3494" t="str">
            <v>1AP1PSLP1288ZA</v>
          </cell>
          <cell r="B3494" t="str">
            <v>DIP</v>
          </cell>
          <cell r="C3494">
            <v>1</v>
          </cell>
          <cell r="D3494" t="e">
            <v>#N/A</v>
          </cell>
          <cell r="E3494">
            <v>2210</v>
          </cell>
          <cell r="F3494" t="str">
            <v>VC01</v>
          </cell>
          <cell r="G3494" t="str">
            <v>Auto</v>
          </cell>
          <cell r="H3494">
            <v>311</v>
          </cell>
          <cell r="I3494">
            <v>2210</v>
          </cell>
          <cell r="J3494">
            <v>2220</v>
          </cell>
          <cell r="K3494" t="str">
            <v>VC01</v>
          </cell>
        </row>
        <row r="3495">
          <cell r="A3495" t="str">
            <v>1RE1PSLP1287ZAV4</v>
          </cell>
          <cell r="B3495" t="str">
            <v>SMT</v>
          </cell>
          <cell r="C3495">
            <v>1</v>
          </cell>
          <cell r="D3495">
            <v>364</v>
          </cell>
        </row>
        <row r="3496">
          <cell r="A3496" t="str">
            <v>1RH1PSLP1287ZAV4</v>
          </cell>
          <cell r="B3496" t="str">
            <v>SMT</v>
          </cell>
          <cell r="C3496">
            <v>1</v>
          </cell>
          <cell r="D3496">
            <v>37</v>
          </cell>
        </row>
        <row r="3497">
          <cell r="A3497" t="str">
            <v>1CM1PSLP1287ZAV4</v>
          </cell>
          <cell r="B3497" t="str">
            <v>SMT</v>
          </cell>
          <cell r="C3497">
            <v>1</v>
          </cell>
          <cell r="D3497">
            <v>275</v>
          </cell>
          <cell r="E3497">
            <v>2210</v>
          </cell>
          <cell r="F3497" t="str">
            <v>VC01</v>
          </cell>
          <cell r="G3497" t="str">
            <v>Auto</v>
          </cell>
          <cell r="H3497">
            <v>311</v>
          </cell>
          <cell r="I3497">
            <v>2210</v>
          </cell>
          <cell r="J3497">
            <v>2310</v>
          </cell>
          <cell r="K3497" t="str">
            <v>VC01</v>
          </cell>
        </row>
        <row r="3498">
          <cell r="A3498" t="str">
            <v>1AP1PSLP1287ZAV4</v>
          </cell>
          <cell r="B3498" t="str">
            <v>DIP</v>
          </cell>
          <cell r="C3498">
            <v>1</v>
          </cell>
          <cell r="D3498" t="e">
            <v>#N/A</v>
          </cell>
          <cell r="E3498">
            <v>2210</v>
          </cell>
          <cell r="F3498" t="str">
            <v>VC01</v>
          </cell>
          <cell r="G3498" t="str">
            <v>Auto</v>
          </cell>
          <cell r="H3498">
            <v>311</v>
          </cell>
          <cell r="I3498">
            <v>2210</v>
          </cell>
          <cell r="J3498">
            <v>2310</v>
          </cell>
          <cell r="K3498" t="str">
            <v>VC01</v>
          </cell>
        </row>
        <row r="3499">
          <cell r="A3499" t="str">
            <v>1RE1PSLP1286ZAV4</v>
          </cell>
          <cell r="B3499" t="str">
            <v>SMT</v>
          </cell>
          <cell r="C3499">
            <v>1</v>
          </cell>
          <cell r="D3499">
            <v>443</v>
          </cell>
        </row>
        <row r="3500">
          <cell r="A3500" t="str">
            <v>1RH1PSLP1286ZAV4</v>
          </cell>
          <cell r="B3500" t="str">
            <v>SMT</v>
          </cell>
          <cell r="C3500">
            <v>1</v>
          </cell>
          <cell r="D3500">
            <v>73</v>
          </cell>
        </row>
        <row r="3501">
          <cell r="A3501" t="str">
            <v>1CM1PSLP1286ZAV4</v>
          </cell>
          <cell r="B3501" t="str">
            <v>SMT</v>
          </cell>
          <cell r="C3501">
            <v>1</v>
          </cell>
          <cell r="D3501">
            <v>365</v>
          </cell>
          <cell r="E3501">
            <v>2210</v>
          </cell>
          <cell r="F3501" t="str">
            <v>VC01</v>
          </cell>
          <cell r="G3501" t="str">
            <v>Auto</v>
          </cell>
          <cell r="H3501">
            <v>311</v>
          </cell>
          <cell r="I3501">
            <v>2210</v>
          </cell>
          <cell r="J3501">
            <v>2310</v>
          </cell>
          <cell r="K3501" t="str">
            <v>VC01</v>
          </cell>
        </row>
        <row r="3502">
          <cell r="A3502" t="str">
            <v>1AP1PSLP1286ZAV4</v>
          </cell>
          <cell r="B3502" t="str">
            <v>DIP</v>
          </cell>
          <cell r="C3502">
            <v>1</v>
          </cell>
          <cell r="D3502" t="e">
            <v>#N/A</v>
          </cell>
          <cell r="E3502">
            <v>2210</v>
          </cell>
          <cell r="F3502" t="str">
            <v>VC01</v>
          </cell>
          <cell r="G3502" t="str">
            <v>Auto</v>
          </cell>
          <cell r="H3502">
            <v>311</v>
          </cell>
          <cell r="I3502">
            <v>2210</v>
          </cell>
          <cell r="J3502">
            <v>2310</v>
          </cell>
          <cell r="K3502" t="str">
            <v>VC01</v>
          </cell>
        </row>
        <row r="3503">
          <cell r="A3503" t="str">
            <v>1VI1PSLP1285ZAV4</v>
          </cell>
          <cell r="B3503" t="str">
            <v>SMT</v>
          </cell>
          <cell r="C3503">
            <v>1</v>
          </cell>
          <cell r="D3503" t="e">
            <v>#N/A</v>
          </cell>
        </row>
        <row r="3504">
          <cell r="A3504" t="str">
            <v>1RE1PSLP1285ZAV4</v>
          </cell>
          <cell r="B3504" t="str">
            <v>SMT</v>
          </cell>
          <cell r="C3504">
            <v>1</v>
          </cell>
          <cell r="D3504">
            <v>821</v>
          </cell>
        </row>
        <row r="3505">
          <cell r="A3505" t="str">
            <v>1RH1PSLP1285ZAV4</v>
          </cell>
          <cell r="B3505" t="str">
            <v>SMT</v>
          </cell>
          <cell r="C3505">
            <v>1</v>
          </cell>
          <cell r="D3505">
            <v>77</v>
          </cell>
        </row>
        <row r="3506">
          <cell r="A3506" t="str">
            <v>1CM1PSLP1285ZAV4</v>
          </cell>
          <cell r="B3506" t="str">
            <v>SMT</v>
          </cell>
          <cell r="C3506">
            <v>1</v>
          </cell>
          <cell r="D3506">
            <v>477</v>
          </cell>
          <cell r="E3506">
            <v>2210</v>
          </cell>
          <cell r="F3506" t="str">
            <v>VC01</v>
          </cell>
          <cell r="G3506" t="str">
            <v>Auto</v>
          </cell>
          <cell r="H3506">
            <v>311</v>
          </cell>
          <cell r="I3506">
            <v>2210</v>
          </cell>
          <cell r="J3506">
            <v>2220</v>
          </cell>
          <cell r="K3506" t="str">
            <v>VC01</v>
          </cell>
        </row>
        <row r="3507">
          <cell r="A3507" t="str">
            <v>1AP1PSLP1285ZAV4</v>
          </cell>
          <cell r="B3507" t="str">
            <v>DIP</v>
          </cell>
          <cell r="C3507">
            <v>1</v>
          </cell>
          <cell r="D3507" t="e">
            <v>#N/A</v>
          </cell>
          <cell r="E3507">
            <v>2210</v>
          </cell>
          <cell r="F3507" t="str">
            <v>VC01</v>
          </cell>
          <cell r="G3507" t="str">
            <v>Auto</v>
          </cell>
          <cell r="H3507">
            <v>311</v>
          </cell>
          <cell r="I3507">
            <v>2210</v>
          </cell>
          <cell r="J3507">
            <v>2220</v>
          </cell>
          <cell r="K3507" t="str">
            <v>VC01</v>
          </cell>
        </row>
        <row r="3508">
          <cell r="A3508" t="str">
            <v>1RE1PSLP1284ZAL4</v>
          </cell>
          <cell r="B3508" t="str">
            <v>SMT</v>
          </cell>
          <cell r="C3508">
            <v>1</v>
          </cell>
          <cell r="D3508">
            <v>360</v>
          </cell>
        </row>
        <row r="3509">
          <cell r="A3509" t="str">
            <v>1RH1PSLP1284ZAL4</v>
          </cell>
          <cell r="B3509" t="str">
            <v>SMT</v>
          </cell>
          <cell r="C3509">
            <v>1</v>
          </cell>
          <cell r="D3509">
            <v>37</v>
          </cell>
        </row>
        <row r="3510">
          <cell r="A3510" t="str">
            <v>1CM1PSLP1284ZAL4</v>
          </cell>
          <cell r="B3510" t="str">
            <v>SMT</v>
          </cell>
          <cell r="C3510">
            <v>1</v>
          </cell>
          <cell r="D3510">
            <v>267</v>
          </cell>
          <cell r="E3510">
            <v>2210</v>
          </cell>
          <cell r="F3510" t="str">
            <v>VC01</v>
          </cell>
          <cell r="G3510" t="str">
            <v>Auto</v>
          </cell>
          <cell r="H3510">
            <v>311</v>
          </cell>
          <cell r="I3510">
            <v>2210</v>
          </cell>
          <cell r="J3510">
            <v>2310</v>
          </cell>
          <cell r="K3510" t="str">
            <v>VC01</v>
          </cell>
        </row>
        <row r="3511">
          <cell r="A3511" t="str">
            <v>1AP1PSLP1284ZAL4</v>
          </cell>
          <cell r="B3511" t="str">
            <v>DIP</v>
          </cell>
          <cell r="C3511">
            <v>1</v>
          </cell>
          <cell r="D3511" t="e">
            <v>#N/A</v>
          </cell>
          <cell r="E3511">
            <v>2210</v>
          </cell>
          <cell r="F3511" t="str">
            <v>VC01</v>
          </cell>
          <cell r="G3511" t="str">
            <v>Auto</v>
          </cell>
          <cell r="H3511">
            <v>311</v>
          </cell>
          <cell r="I3511">
            <v>2210</v>
          </cell>
          <cell r="J3511">
            <v>2310</v>
          </cell>
          <cell r="K3511" t="str">
            <v>VC01</v>
          </cell>
        </row>
        <row r="3512">
          <cell r="A3512" t="str">
            <v>1RE1PSLP1283ZAL4</v>
          </cell>
          <cell r="B3512" t="str">
            <v>SMT</v>
          </cell>
          <cell r="C3512">
            <v>1</v>
          </cell>
          <cell r="D3512">
            <v>436</v>
          </cell>
        </row>
        <row r="3513">
          <cell r="A3513" t="str">
            <v>1RH1PSLP1283ZAL4</v>
          </cell>
          <cell r="B3513" t="str">
            <v>SMT</v>
          </cell>
          <cell r="C3513">
            <v>1</v>
          </cell>
          <cell r="D3513">
            <v>73</v>
          </cell>
        </row>
        <row r="3514">
          <cell r="A3514" t="str">
            <v>1CM1PSLP1283ZAL4</v>
          </cell>
          <cell r="B3514" t="str">
            <v>SMT</v>
          </cell>
          <cell r="C3514">
            <v>1</v>
          </cell>
          <cell r="D3514">
            <v>353</v>
          </cell>
          <cell r="E3514">
            <v>2210</v>
          </cell>
          <cell r="F3514" t="str">
            <v>VC01</v>
          </cell>
          <cell r="G3514" t="str">
            <v>Auto</v>
          </cell>
          <cell r="H3514">
            <v>311</v>
          </cell>
          <cell r="I3514">
            <v>2210</v>
          </cell>
          <cell r="J3514">
            <v>2310</v>
          </cell>
          <cell r="K3514" t="str">
            <v>VC01</v>
          </cell>
        </row>
        <row r="3515">
          <cell r="A3515" t="str">
            <v>1AP1PSLP1283ZAL4</v>
          </cell>
          <cell r="B3515" t="str">
            <v>DIP</v>
          </cell>
          <cell r="C3515">
            <v>1</v>
          </cell>
          <cell r="D3515" t="e">
            <v>#N/A</v>
          </cell>
          <cell r="E3515">
            <v>2210</v>
          </cell>
          <cell r="F3515" t="str">
            <v>VC01</v>
          </cell>
          <cell r="G3515" t="str">
            <v>Auto</v>
          </cell>
          <cell r="H3515">
            <v>311</v>
          </cell>
          <cell r="I3515">
            <v>2210</v>
          </cell>
          <cell r="J3515">
            <v>2310</v>
          </cell>
          <cell r="K3515" t="str">
            <v>VC01</v>
          </cell>
        </row>
        <row r="3516">
          <cell r="A3516" t="str">
            <v>1VI1PSLP1282ZAL4</v>
          </cell>
          <cell r="B3516" t="str">
            <v>SMT</v>
          </cell>
          <cell r="C3516">
            <v>1</v>
          </cell>
          <cell r="D3516" t="e">
            <v>#N/A</v>
          </cell>
        </row>
        <row r="3517">
          <cell r="A3517" t="str">
            <v>1RE1PSLP1282ZAL4</v>
          </cell>
          <cell r="B3517" t="str">
            <v>SMT</v>
          </cell>
          <cell r="C3517">
            <v>1</v>
          </cell>
          <cell r="D3517">
            <v>815</v>
          </cell>
        </row>
        <row r="3518">
          <cell r="A3518" t="str">
            <v>1RH1PSLP1282ZAL4</v>
          </cell>
          <cell r="B3518" t="str">
            <v>SMT</v>
          </cell>
          <cell r="C3518">
            <v>1</v>
          </cell>
          <cell r="D3518">
            <v>77</v>
          </cell>
        </row>
        <row r="3519">
          <cell r="A3519" t="str">
            <v>1CM1PSLP1282ZAL4</v>
          </cell>
          <cell r="B3519" t="str">
            <v>SMT</v>
          </cell>
          <cell r="C3519">
            <v>1</v>
          </cell>
          <cell r="D3519">
            <v>465</v>
          </cell>
          <cell r="E3519">
            <v>2210</v>
          </cell>
          <cell r="F3519" t="str">
            <v>VC01</v>
          </cell>
          <cell r="G3519" t="str">
            <v>Auto</v>
          </cell>
          <cell r="H3519">
            <v>311</v>
          </cell>
          <cell r="I3519">
            <v>2210</v>
          </cell>
          <cell r="J3519">
            <v>2220</v>
          </cell>
          <cell r="K3519" t="str">
            <v>VC01</v>
          </cell>
        </row>
        <row r="3520">
          <cell r="A3520" t="str">
            <v>1AP1PSLP1282ZAL4</v>
          </cell>
          <cell r="B3520" t="str">
            <v>DIP</v>
          </cell>
          <cell r="C3520">
            <v>1</v>
          </cell>
          <cell r="D3520" t="e">
            <v>#N/A</v>
          </cell>
          <cell r="E3520">
            <v>2210</v>
          </cell>
          <cell r="F3520" t="str">
            <v>VC01</v>
          </cell>
          <cell r="G3520" t="str">
            <v>Auto</v>
          </cell>
          <cell r="H3520">
            <v>311</v>
          </cell>
          <cell r="I3520">
            <v>2210</v>
          </cell>
          <cell r="J3520">
            <v>2220</v>
          </cell>
          <cell r="K3520" t="str">
            <v>VC01</v>
          </cell>
        </row>
        <row r="3521">
          <cell r="A3521" t="str">
            <v>1VI1PNLPTES824SXZA</v>
          </cell>
          <cell r="B3521" t="str">
            <v>SMT</v>
          </cell>
          <cell r="C3521">
            <v>1</v>
          </cell>
          <cell r="D3521" t="e">
            <v>#N/A</v>
          </cell>
        </row>
        <row r="3522">
          <cell r="A3522" t="str">
            <v>1RE1PNLPTES824SXZA</v>
          </cell>
          <cell r="B3522" t="str">
            <v>SMT</v>
          </cell>
          <cell r="C3522">
            <v>1</v>
          </cell>
          <cell r="D3522">
            <v>815</v>
          </cell>
        </row>
        <row r="3523">
          <cell r="A3523" t="str">
            <v>1RH1PNLPTES824SXZA</v>
          </cell>
          <cell r="B3523" t="str">
            <v>SMT</v>
          </cell>
          <cell r="C3523">
            <v>1</v>
          </cell>
          <cell r="D3523">
            <v>77</v>
          </cell>
        </row>
        <row r="3524">
          <cell r="A3524" t="str">
            <v>1CM1PNLPTES824SXZA</v>
          </cell>
          <cell r="B3524" t="str">
            <v>SMT</v>
          </cell>
          <cell r="C3524">
            <v>1</v>
          </cell>
          <cell r="D3524">
            <v>465</v>
          </cell>
          <cell r="E3524">
            <v>2210</v>
          </cell>
          <cell r="F3524" t="str">
            <v>VC01</v>
          </cell>
          <cell r="G3524" t="str">
            <v>Auto</v>
          </cell>
          <cell r="H3524">
            <v>311</v>
          </cell>
          <cell r="I3524">
            <v>2210</v>
          </cell>
          <cell r="J3524">
            <v>2220</v>
          </cell>
          <cell r="K3524" t="str">
            <v>VC01</v>
          </cell>
        </row>
        <row r="3525">
          <cell r="A3525" t="str">
            <v>1AP1PNLPTES824SXZA</v>
          </cell>
          <cell r="B3525" t="str">
            <v>DIP</v>
          </cell>
          <cell r="C3525">
            <v>1</v>
          </cell>
          <cell r="D3525" t="e">
            <v>#N/A</v>
          </cell>
          <cell r="E3525">
            <v>2210</v>
          </cell>
          <cell r="F3525" t="str">
            <v>VC01</v>
          </cell>
          <cell r="G3525" t="str">
            <v>Auto</v>
          </cell>
          <cell r="H3525">
            <v>311</v>
          </cell>
          <cell r="I3525">
            <v>2210</v>
          </cell>
          <cell r="J3525">
            <v>2220</v>
          </cell>
          <cell r="K3525" t="str">
            <v>VC01</v>
          </cell>
        </row>
        <row r="3526">
          <cell r="A3526" t="str">
            <v>1RE1PNLP2596ZA</v>
          </cell>
          <cell r="B3526" t="str">
            <v>SMT</v>
          </cell>
          <cell r="C3526">
            <v>1</v>
          </cell>
          <cell r="D3526">
            <v>108</v>
          </cell>
          <cell r="E3526">
            <v>2210</v>
          </cell>
          <cell r="F3526" t="str">
            <v>VC01</v>
          </cell>
          <cell r="G3526" t="str">
            <v>Auto</v>
          </cell>
          <cell r="H3526">
            <v>311</v>
          </cell>
          <cell r="I3526">
            <v>2210</v>
          </cell>
          <cell r="J3526">
            <v>2310</v>
          </cell>
          <cell r="K3526" t="str">
            <v>VC01</v>
          </cell>
        </row>
        <row r="3527">
          <cell r="A3527" t="str">
            <v>1AP1PNLP2596ZA</v>
          </cell>
          <cell r="B3527" t="str">
            <v>DIP</v>
          </cell>
          <cell r="C3527">
            <v>1</v>
          </cell>
          <cell r="D3527" t="e">
            <v>#N/A</v>
          </cell>
          <cell r="E3527">
            <v>2210</v>
          </cell>
          <cell r="F3527" t="str">
            <v>VC01</v>
          </cell>
          <cell r="G3527" t="str">
            <v>Auto</v>
          </cell>
          <cell r="H3527">
            <v>311</v>
          </cell>
          <cell r="I3527">
            <v>2210</v>
          </cell>
          <cell r="J3527">
            <v>2310</v>
          </cell>
          <cell r="K3527" t="str">
            <v>VC01</v>
          </cell>
        </row>
        <row r="3528">
          <cell r="A3528" t="str">
            <v>1RE1PNLP2566ZA</v>
          </cell>
          <cell r="B3528" t="str">
            <v>SMT</v>
          </cell>
          <cell r="C3528">
            <v>1</v>
          </cell>
          <cell r="D3528">
            <v>263</v>
          </cell>
        </row>
        <row r="3529">
          <cell r="A3529" t="str">
            <v>1RH1PNLP2566ZA</v>
          </cell>
          <cell r="B3529" t="str">
            <v>SMT</v>
          </cell>
          <cell r="C3529">
            <v>1</v>
          </cell>
          <cell r="D3529">
            <v>28</v>
          </cell>
        </row>
        <row r="3530">
          <cell r="A3530" t="str">
            <v>1CM1PNLP2566ZA</v>
          </cell>
          <cell r="B3530" t="str">
            <v>SMT</v>
          </cell>
          <cell r="C3530">
            <v>1</v>
          </cell>
          <cell r="D3530">
            <v>194</v>
          </cell>
          <cell r="E3530">
            <v>2210</v>
          </cell>
          <cell r="F3530" t="str">
            <v>VC01</v>
          </cell>
          <cell r="G3530" t="str">
            <v>Auto</v>
          </cell>
          <cell r="H3530">
            <v>311</v>
          </cell>
          <cell r="I3530">
            <v>2210</v>
          </cell>
          <cell r="J3530">
            <v>2310</v>
          </cell>
          <cell r="K3530" t="str">
            <v>VC01</v>
          </cell>
        </row>
        <row r="3531">
          <cell r="A3531" t="str">
            <v>1AP1PNLP2566ZA</v>
          </cell>
          <cell r="B3531" t="str">
            <v>DIP</v>
          </cell>
          <cell r="C3531">
            <v>1</v>
          </cell>
          <cell r="D3531" t="e">
            <v>#N/A</v>
          </cell>
          <cell r="E3531">
            <v>2210</v>
          </cell>
          <cell r="F3531" t="str">
            <v>VC01</v>
          </cell>
          <cell r="G3531" t="str">
            <v>Auto</v>
          </cell>
          <cell r="H3531">
            <v>311</v>
          </cell>
          <cell r="I3531">
            <v>2210</v>
          </cell>
          <cell r="J3531">
            <v>2310</v>
          </cell>
          <cell r="K3531" t="str">
            <v>VC01</v>
          </cell>
        </row>
        <row r="3532">
          <cell r="A3532" t="str">
            <v>1RE1PNLP2565ZA</v>
          </cell>
          <cell r="B3532" t="str">
            <v>SMT</v>
          </cell>
          <cell r="C3532">
            <v>1</v>
          </cell>
          <cell r="D3532">
            <v>263</v>
          </cell>
        </row>
        <row r="3533">
          <cell r="A3533" t="str">
            <v>1RH1PNLP2565ZA</v>
          </cell>
          <cell r="B3533" t="str">
            <v>SMT</v>
          </cell>
          <cell r="C3533">
            <v>1</v>
          </cell>
          <cell r="D3533">
            <v>28</v>
          </cell>
        </row>
        <row r="3534">
          <cell r="A3534" t="str">
            <v>1CM1PNLP2565ZA</v>
          </cell>
          <cell r="B3534" t="str">
            <v>SMT</v>
          </cell>
          <cell r="C3534">
            <v>1</v>
          </cell>
          <cell r="D3534">
            <v>194</v>
          </cell>
          <cell r="E3534">
            <v>2210</v>
          </cell>
          <cell r="F3534" t="str">
            <v>VC01</v>
          </cell>
          <cell r="G3534" t="str">
            <v>Auto</v>
          </cell>
          <cell r="H3534">
            <v>311</v>
          </cell>
          <cell r="I3534">
            <v>2210</v>
          </cell>
          <cell r="J3534">
            <v>2220</v>
          </cell>
          <cell r="K3534" t="str">
            <v>VC01</v>
          </cell>
        </row>
        <row r="3535">
          <cell r="A3535" t="str">
            <v>1AP1PNLP2565ZA</v>
          </cell>
          <cell r="B3535" t="str">
            <v>DIP</v>
          </cell>
          <cell r="C3535">
            <v>1</v>
          </cell>
          <cell r="D3535" t="e">
            <v>#N/A</v>
          </cell>
          <cell r="E3535">
            <v>2210</v>
          </cell>
          <cell r="F3535" t="str">
            <v>VC01</v>
          </cell>
          <cell r="G3535" t="str">
            <v>Auto</v>
          </cell>
          <cell r="H3535">
            <v>311</v>
          </cell>
          <cell r="I3535">
            <v>2210</v>
          </cell>
          <cell r="J3535">
            <v>2220</v>
          </cell>
          <cell r="K3535" t="str">
            <v>VC01</v>
          </cell>
        </row>
        <row r="3536">
          <cell r="A3536" t="str">
            <v>1RE1NS5180MZA</v>
          </cell>
          <cell r="B3536" t="str">
            <v>SMT</v>
          </cell>
          <cell r="C3536">
            <v>1</v>
          </cell>
          <cell r="D3536">
            <v>166</v>
          </cell>
        </row>
        <row r="3537">
          <cell r="A3537" t="str">
            <v>1RE2NS5180MZA</v>
          </cell>
          <cell r="B3537" t="str">
            <v>SMT</v>
          </cell>
          <cell r="C3537">
            <v>1</v>
          </cell>
          <cell r="D3537">
            <v>398</v>
          </cell>
        </row>
        <row r="3538">
          <cell r="A3538" t="str">
            <v>1RH1NS5180MZA</v>
          </cell>
          <cell r="B3538" t="str">
            <v>SMT</v>
          </cell>
          <cell r="C3538">
            <v>1</v>
          </cell>
          <cell r="D3538">
            <v>7</v>
          </cell>
          <cell r="E3538">
            <v>2210</v>
          </cell>
          <cell r="F3538" t="str">
            <v>VC01</v>
          </cell>
          <cell r="G3538" t="str">
            <v>Auto</v>
          </cell>
          <cell r="H3538">
            <v>311</v>
          </cell>
          <cell r="I3538">
            <v>2210</v>
          </cell>
          <cell r="J3538">
            <v>2220</v>
          </cell>
          <cell r="K3538" t="str">
            <v>VC01</v>
          </cell>
        </row>
        <row r="3539">
          <cell r="A3539" t="str">
            <v>1AP1NS5180MZA</v>
          </cell>
          <cell r="B3539" t="str">
            <v>DIP</v>
          </cell>
          <cell r="C3539">
            <v>1</v>
          </cell>
          <cell r="D3539" t="e">
            <v>#N/A</v>
          </cell>
          <cell r="E3539">
            <v>2210</v>
          </cell>
          <cell r="F3539" t="str">
            <v>VC01</v>
          </cell>
          <cell r="G3539" t="str">
            <v>Auto</v>
          </cell>
          <cell r="H3539">
            <v>311</v>
          </cell>
          <cell r="I3539">
            <v>2210</v>
          </cell>
          <cell r="J3539">
            <v>2220</v>
          </cell>
          <cell r="K3539" t="str">
            <v>VC01</v>
          </cell>
        </row>
        <row r="3540">
          <cell r="A3540" t="str">
            <v>1VI1LPTEM824RUZA</v>
          </cell>
          <cell r="B3540" t="str">
            <v>SMT</v>
          </cell>
          <cell r="C3540">
            <v>1</v>
          </cell>
          <cell r="D3540" t="e">
            <v>#N/A</v>
          </cell>
        </row>
        <row r="3541">
          <cell r="A3541" t="str">
            <v>1RE1LPTEM824RUZA</v>
          </cell>
          <cell r="B3541" t="str">
            <v>SMT</v>
          </cell>
          <cell r="C3541">
            <v>1</v>
          </cell>
          <cell r="D3541">
            <v>815</v>
          </cell>
        </row>
        <row r="3542">
          <cell r="A3542" t="str">
            <v>1RH1LPTEM824RUZA</v>
          </cell>
          <cell r="B3542" t="str">
            <v>SMT</v>
          </cell>
          <cell r="C3542">
            <v>1</v>
          </cell>
          <cell r="D3542">
            <v>77</v>
          </cell>
        </row>
        <row r="3543">
          <cell r="A3543" t="str">
            <v>1CM1LPTEM824RUZA</v>
          </cell>
          <cell r="B3543" t="str">
            <v>SMT</v>
          </cell>
          <cell r="C3543">
            <v>1</v>
          </cell>
          <cell r="D3543">
            <v>465</v>
          </cell>
          <cell r="E3543">
            <v>2210</v>
          </cell>
          <cell r="F3543" t="str">
            <v>VC01</v>
          </cell>
          <cell r="G3543" t="str">
            <v>Auto</v>
          </cell>
          <cell r="H3543">
            <v>311</v>
          </cell>
          <cell r="I3543">
            <v>2210</v>
          </cell>
          <cell r="J3543">
            <v>2220</v>
          </cell>
          <cell r="K3543" t="str">
            <v>VC01</v>
          </cell>
        </row>
        <row r="3544">
          <cell r="A3544" t="str">
            <v>1AP1LPTEM824RUZA</v>
          </cell>
          <cell r="B3544" t="str">
            <v>DIP</v>
          </cell>
          <cell r="C3544">
            <v>1</v>
          </cell>
          <cell r="D3544" t="e">
            <v>#N/A</v>
          </cell>
          <cell r="E3544">
            <v>2210</v>
          </cell>
          <cell r="F3544" t="str">
            <v>VC01</v>
          </cell>
          <cell r="G3544" t="str">
            <v>Auto</v>
          </cell>
          <cell r="H3544">
            <v>311</v>
          </cell>
          <cell r="I3544">
            <v>2210</v>
          </cell>
          <cell r="J3544">
            <v>2220</v>
          </cell>
          <cell r="K3544" t="str">
            <v>VC01</v>
          </cell>
        </row>
        <row r="3545">
          <cell r="A3545" t="str">
            <v>1RE1LPTE82483SXZA</v>
          </cell>
          <cell r="B3545" t="str">
            <v>SMT</v>
          </cell>
          <cell r="C3545">
            <v>1</v>
          </cell>
          <cell r="D3545">
            <v>436</v>
          </cell>
        </row>
        <row r="3546">
          <cell r="A3546" t="str">
            <v>1RH1LPTE82483SXZA</v>
          </cell>
          <cell r="B3546" t="str">
            <v>SMT</v>
          </cell>
          <cell r="C3546">
            <v>1</v>
          </cell>
          <cell r="D3546">
            <v>73</v>
          </cell>
        </row>
        <row r="3547">
          <cell r="A3547" t="str">
            <v>1CM1LPTE82483SXZA</v>
          </cell>
          <cell r="B3547" t="str">
            <v>SMT</v>
          </cell>
          <cell r="C3547">
            <v>1</v>
          </cell>
          <cell r="D3547">
            <v>359</v>
          </cell>
          <cell r="E3547">
            <v>2210</v>
          </cell>
          <cell r="F3547" t="str">
            <v>VC01</v>
          </cell>
          <cell r="G3547" t="str">
            <v>Auto</v>
          </cell>
          <cell r="H3547">
            <v>311</v>
          </cell>
          <cell r="I3547">
            <v>2210</v>
          </cell>
          <cell r="J3547">
            <v>2220</v>
          </cell>
          <cell r="K3547" t="str">
            <v>VC01</v>
          </cell>
        </row>
        <row r="3548">
          <cell r="A3548" t="str">
            <v>1AP1LPTE82483SXZA</v>
          </cell>
          <cell r="B3548" t="str">
            <v>DIP</v>
          </cell>
          <cell r="C3548">
            <v>1</v>
          </cell>
          <cell r="D3548" t="e">
            <v>#N/A</v>
          </cell>
          <cell r="E3548">
            <v>2210</v>
          </cell>
          <cell r="F3548" t="str">
            <v>VC01</v>
          </cell>
          <cell r="G3548" t="str">
            <v>Auto</v>
          </cell>
          <cell r="H3548">
            <v>311</v>
          </cell>
          <cell r="I3548">
            <v>2210</v>
          </cell>
          <cell r="J3548">
            <v>2220</v>
          </cell>
          <cell r="K3548" t="str">
            <v>VC01</v>
          </cell>
        </row>
        <row r="3549">
          <cell r="A3549" t="str">
            <v>1RE1LPTE82480SXZA</v>
          </cell>
          <cell r="B3549" t="str">
            <v>SMT</v>
          </cell>
          <cell r="C3549">
            <v>1</v>
          </cell>
          <cell r="D3549">
            <v>360</v>
          </cell>
        </row>
        <row r="3550">
          <cell r="A3550" t="str">
            <v>1RH1LPTE82480SXZA</v>
          </cell>
          <cell r="B3550" t="str">
            <v>SMT</v>
          </cell>
          <cell r="C3550">
            <v>1</v>
          </cell>
          <cell r="D3550">
            <v>37</v>
          </cell>
        </row>
        <row r="3551">
          <cell r="A3551" t="str">
            <v>1CM1LPTE82480SXZA</v>
          </cell>
          <cell r="B3551" t="str">
            <v>SMT</v>
          </cell>
          <cell r="C3551">
            <v>1</v>
          </cell>
          <cell r="D3551">
            <v>267</v>
          </cell>
          <cell r="E3551">
            <v>2210</v>
          </cell>
          <cell r="F3551" t="str">
            <v>VC01</v>
          </cell>
          <cell r="G3551" t="str">
            <v>Auto</v>
          </cell>
          <cell r="H3551">
            <v>311</v>
          </cell>
          <cell r="I3551">
            <v>2210</v>
          </cell>
          <cell r="J3551">
            <v>2220</v>
          </cell>
          <cell r="K3551" t="str">
            <v>VC01</v>
          </cell>
        </row>
        <row r="3552">
          <cell r="A3552" t="str">
            <v>1AP1LPTE82480SXZA</v>
          </cell>
          <cell r="B3552" t="str">
            <v>DIP</v>
          </cell>
          <cell r="C3552">
            <v>1</v>
          </cell>
          <cell r="D3552" t="e">
            <v>#N/A</v>
          </cell>
          <cell r="E3552">
            <v>2210</v>
          </cell>
          <cell r="F3552" t="str">
            <v>VC01</v>
          </cell>
          <cell r="G3552" t="str">
            <v>Auto</v>
          </cell>
          <cell r="H3552">
            <v>311</v>
          </cell>
          <cell r="I3552">
            <v>2210</v>
          </cell>
          <cell r="J3552">
            <v>2220</v>
          </cell>
          <cell r="K3552" t="str">
            <v>VC01</v>
          </cell>
        </row>
        <row r="3553">
          <cell r="A3553" t="str">
            <v>PNLB2261XA-GW</v>
          </cell>
          <cell r="B3553" t="str">
            <v>SMT</v>
          </cell>
          <cell r="C3553">
            <v>1</v>
          </cell>
          <cell r="D3553" t="e">
            <v>#N/A</v>
          </cell>
        </row>
        <row r="3554">
          <cell r="A3554" t="str">
            <v>1RE1LPNS720CPUZA</v>
          </cell>
          <cell r="B3554" t="str">
            <v>SMT</v>
          </cell>
          <cell r="C3554">
            <v>1</v>
          </cell>
          <cell r="D3554">
            <v>317</v>
          </cell>
        </row>
        <row r="3555">
          <cell r="A3555" t="str">
            <v>1RE2LPNS720CPUZA</v>
          </cell>
          <cell r="B3555" t="str">
            <v>SMT</v>
          </cell>
          <cell r="C3555">
            <v>1</v>
          </cell>
          <cell r="D3555">
            <v>223</v>
          </cell>
          <cell r="E3555">
            <v>2210</v>
          </cell>
          <cell r="F3555" t="str">
            <v>VC01</v>
          </cell>
          <cell r="G3555" t="str">
            <v>Auto</v>
          </cell>
          <cell r="H3555">
            <v>311</v>
          </cell>
          <cell r="I3555">
            <v>2210</v>
          </cell>
          <cell r="J3555">
            <v>2220</v>
          </cell>
          <cell r="K3555" t="str">
            <v>VC01</v>
          </cell>
        </row>
        <row r="3556">
          <cell r="A3556" t="str">
            <v>1AP1LPNS720CPUZA</v>
          </cell>
          <cell r="B3556" t="str">
            <v>DIP</v>
          </cell>
          <cell r="C3556">
            <v>1</v>
          </cell>
          <cell r="D3556" t="e">
            <v>#N/A</v>
          </cell>
          <cell r="E3556">
            <v>2210</v>
          </cell>
          <cell r="F3556" t="str">
            <v>VC01</v>
          </cell>
          <cell r="G3556" t="str">
            <v>Auto</v>
          </cell>
          <cell r="H3556">
            <v>311</v>
          </cell>
          <cell r="I3556">
            <v>2210</v>
          </cell>
          <cell r="J3556">
            <v>2220</v>
          </cell>
          <cell r="K3556" t="str">
            <v>VC01</v>
          </cell>
        </row>
        <row r="3557">
          <cell r="A3557" t="str">
            <v>PNLB2704ZA-YY</v>
          </cell>
          <cell r="B3557" t="str">
            <v>SMT</v>
          </cell>
          <cell r="C3557">
            <v>1</v>
          </cell>
          <cell r="D3557" t="e">
            <v>#N/A</v>
          </cell>
        </row>
        <row r="3558">
          <cell r="A3558" t="str">
            <v>1RE1LPNS720BX2ZA</v>
          </cell>
          <cell r="B3558" t="str">
            <v>SMT</v>
          </cell>
          <cell r="C3558">
            <v>1</v>
          </cell>
          <cell r="D3558">
            <v>68</v>
          </cell>
        </row>
        <row r="3559">
          <cell r="A3559" t="str">
            <v>1RE2LPNS720BX2ZA</v>
          </cell>
          <cell r="B3559" t="str">
            <v>SMT</v>
          </cell>
          <cell r="C3559">
            <v>1</v>
          </cell>
          <cell r="D3559">
            <v>274</v>
          </cell>
          <cell r="E3559">
            <v>2210</v>
          </cell>
          <cell r="F3559" t="str">
            <v>VC01</v>
          </cell>
          <cell r="G3559" t="str">
            <v>Auto</v>
          </cell>
          <cell r="H3559">
            <v>311</v>
          </cell>
          <cell r="I3559">
            <v>2210</v>
          </cell>
          <cell r="J3559">
            <v>2220</v>
          </cell>
          <cell r="K3559" t="str">
            <v>VC01</v>
          </cell>
        </row>
        <row r="3560">
          <cell r="A3560" t="str">
            <v>1AP1LPNS720BX2ZA</v>
          </cell>
          <cell r="B3560" t="str">
            <v>DIP</v>
          </cell>
          <cell r="C3560">
            <v>1</v>
          </cell>
          <cell r="D3560" t="e">
            <v>#N/A</v>
          </cell>
          <cell r="E3560">
            <v>2210</v>
          </cell>
          <cell r="F3560" t="str">
            <v>VC01</v>
          </cell>
          <cell r="G3560" t="str">
            <v>Auto</v>
          </cell>
          <cell r="H3560">
            <v>311</v>
          </cell>
          <cell r="I3560">
            <v>2210</v>
          </cell>
          <cell r="J3560">
            <v>2220</v>
          </cell>
          <cell r="K3560" t="str">
            <v>VC01</v>
          </cell>
        </row>
        <row r="3561">
          <cell r="A3561" t="str">
            <v>1RE1LPNS700M2ZA</v>
          </cell>
          <cell r="B3561" t="str">
            <v>SMT</v>
          </cell>
          <cell r="C3561">
            <v>1</v>
          </cell>
          <cell r="D3561">
            <v>168</v>
          </cell>
        </row>
        <row r="3562">
          <cell r="A3562" t="str">
            <v>1RE2LPNS700M2ZA</v>
          </cell>
          <cell r="B3562" t="str">
            <v>SMT</v>
          </cell>
          <cell r="C3562">
            <v>1</v>
          </cell>
          <cell r="D3562">
            <v>518</v>
          </cell>
        </row>
        <row r="3563">
          <cell r="A3563" t="str">
            <v>1RH1LPNS700M2ZA</v>
          </cell>
          <cell r="B3563" t="str">
            <v>SMT</v>
          </cell>
          <cell r="C3563">
            <v>1</v>
          </cell>
          <cell r="D3563">
            <v>8</v>
          </cell>
          <cell r="E3563">
            <v>2210</v>
          </cell>
          <cell r="F3563" t="str">
            <v>VC01</v>
          </cell>
          <cell r="G3563" t="str">
            <v>Auto</v>
          </cell>
          <cell r="H3563">
            <v>311</v>
          </cell>
          <cell r="I3563">
            <v>2210</v>
          </cell>
          <cell r="J3563">
            <v>2220</v>
          </cell>
          <cell r="K3563" t="str">
            <v>VC01</v>
          </cell>
        </row>
        <row r="3564">
          <cell r="A3564" t="str">
            <v>1AP1LPNS700M2ZA</v>
          </cell>
          <cell r="B3564" t="str">
            <v>DIP</v>
          </cell>
          <cell r="C3564">
            <v>1</v>
          </cell>
          <cell r="D3564" t="e">
            <v>#N/A</v>
          </cell>
          <cell r="E3564">
            <v>2210</v>
          </cell>
          <cell r="F3564" t="str">
            <v>VC01</v>
          </cell>
          <cell r="G3564" t="str">
            <v>Auto</v>
          </cell>
          <cell r="H3564">
            <v>311</v>
          </cell>
          <cell r="I3564">
            <v>2210</v>
          </cell>
          <cell r="J3564">
            <v>2220</v>
          </cell>
          <cell r="K3564" t="str">
            <v>VC01</v>
          </cell>
        </row>
        <row r="3565">
          <cell r="A3565" t="str">
            <v>PNLB2260WA-YY</v>
          </cell>
          <cell r="B3565" t="str">
            <v>SMT</v>
          </cell>
          <cell r="C3565">
            <v>1</v>
          </cell>
          <cell r="D3565" t="e">
            <v>#N/A</v>
          </cell>
        </row>
        <row r="3566">
          <cell r="A3566" t="str">
            <v>1RE1LPNS700CPUZA</v>
          </cell>
          <cell r="B3566" t="str">
            <v>SMT</v>
          </cell>
          <cell r="C3566">
            <v>1</v>
          </cell>
          <cell r="D3566">
            <v>344</v>
          </cell>
        </row>
        <row r="3567">
          <cell r="A3567" t="str">
            <v>1RE2LPNS700CPUZA</v>
          </cell>
          <cell r="B3567" t="str">
            <v>SMT</v>
          </cell>
          <cell r="C3567">
            <v>1</v>
          </cell>
          <cell r="D3567">
            <v>325</v>
          </cell>
          <cell r="E3567">
            <v>2210</v>
          </cell>
          <cell r="F3567" t="str">
            <v>VC01</v>
          </cell>
          <cell r="G3567" t="str">
            <v>Auto</v>
          </cell>
          <cell r="H3567">
            <v>311</v>
          </cell>
          <cell r="I3567">
            <v>2210</v>
          </cell>
          <cell r="J3567">
            <v>2220</v>
          </cell>
          <cell r="K3567" t="str">
            <v>VC01</v>
          </cell>
        </row>
        <row r="3568">
          <cell r="A3568" t="str">
            <v>1AP1LPNS700CPUZA</v>
          </cell>
          <cell r="B3568" t="str">
            <v>DIP</v>
          </cell>
          <cell r="C3568">
            <v>1</v>
          </cell>
          <cell r="D3568" t="e">
            <v>#N/A</v>
          </cell>
          <cell r="E3568">
            <v>2210</v>
          </cell>
          <cell r="F3568" t="str">
            <v>VC01</v>
          </cell>
          <cell r="G3568" t="str">
            <v>Auto</v>
          </cell>
          <cell r="H3568">
            <v>311</v>
          </cell>
          <cell r="I3568">
            <v>2210</v>
          </cell>
          <cell r="J3568">
            <v>2220</v>
          </cell>
          <cell r="K3568" t="str">
            <v>VC01</v>
          </cell>
        </row>
        <row r="3569">
          <cell r="A3569" t="str">
            <v>1RE1LPNS700BX2ZA</v>
          </cell>
          <cell r="B3569" t="str">
            <v>SMT</v>
          </cell>
          <cell r="C3569">
            <v>1</v>
          </cell>
          <cell r="D3569">
            <v>165</v>
          </cell>
        </row>
        <row r="3570">
          <cell r="A3570" t="str">
            <v>1RE2LPNS700BX2ZA</v>
          </cell>
          <cell r="B3570" t="str">
            <v>SMT</v>
          </cell>
          <cell r="C3570">
            <v>1</v>
          </cell>
          <cell r="D3570">
            <v>518</v>
          </cell>
        </row>
        <row r="3571">
          <cell r="A3571" t="str">
            <v>1RH1LPNS700BX2ZA</v>
          </cell>
          <cell r="B3571" t="str">
            <v>SMT</v>
          </cell>
          <cell r="C3571">
            <v>1</v>
          </cell>
          <cell r="D3571">
            <v>8</v>
          </cell>
          <cell r="E3571">
            <v>2210</v>
          </cell>
          <cell r="F3571" t="str">
            <v>VC01</v>
          </cell>
          <cell r="G3571" t="str">
            <v>Auto</v>
          </cell>
          <cell r="H3571">
            <v>311</v>
          </cell>
          <cell r="I3571">
            <v>2210</v>
          </cell>
          <cell r="J3571">
            <v>2220</v>
          </cell>
          <cell r="K3571" t="str">
            <v>VC01</v>
          </cell>
        </row>
        <row r="3572">
          <cell r="A3572" t="str">
            <v>1AP1LPNS700BX2ZA</v>
          </cell>
          <cell r="B3572" t="str">
            <v>DIP</v>
          </cell>
          <cell r="C3572">
            <v>1</v>
          </cell>
          <cell r="D3572" t="e">
            <v>#N/A</v>
          </cell>
          <cell r="E3572">
            <v>2210</v>
          </cell>
          <cell r="F3572" t="str">
            <v>VC01</v>
          </cell>
          <cell r="G3572" t="str">
            <v>Auto</v>
          </cell>
          <cell r="H3572">
            <v>311</v>
          </cell>
          <cell r="I3572">
            <v>2210</v>
          </cell>
          <cell r="J3572">
            <v>2220</v>
          </cell>
          <cell r="K3572" t="str">
            <v>VC01</v>
          </cell>
        </row>
        <row r="3573">
          <cell r="A3573" t="str">
            <v>1RE1LPNS700AL2ZA</v>
          </cell>
          <cell r="B3573" t="str">
            <v>SMT</v>
          </cell>
          <cell r="C3573">
            <v>1</v>
          </cell>
          <cell r="D3573">
            <v>165</v>
          </cell>
        </row>
        <row r="3574">
          <cell r="A3574" t="str">
            <v>1RE2LPNS700AL2ZA</v>
          </cell>
          <cell r="B3574" t="str">
            <v>SMT</v>
          </cell>
          <cell r="C3574">
            <v>1</v>
          </cell>
          <cell r="D3574">
            <v>518</v>
          </cell>
        </row>
        <row r="3575">
          <cell r="A3575" t="str">
            <v>1RH1LPNS700AL2ZA</v>
          </cell>
          <cell r="B3575" t="str">
            <v>SMT</v>
          </cell>
          <cell r="C3575">
            <v>1</v>
          </cell>
          <cell r="D3575">
            <v>8</v>
          </cell>
          <cell r="E3575">
            <v>2210</v>
          </cell>
          <cell r="F3575" t="str">
            <v>VC01</v>
          </cell>
          <cell r="G3575" t="str">
            <v>Auto</v>
          </cell>
          <cell r="H3575">
            <v>311</v>
          </cell>
          <cell r="I3575">
            <v>2210</v>
          </cell>
          <cell r="J3575">
            <v>2220</v>
          </cell>
          <cell r="K3575" t="str">
            <v>VC01</v>
          </cell>
        </row>
        <row r="3576">
          <cell r="A3576" t="str">
            <v>1AP1LPNS700AL2ZA</v>
          </cell>
          <cell r="B3576" t="str">
            <v>DIP</v>
          </cell>
          <cell r="C3576">
            <v>1</v>
          </cell>
          <cell r="D3576" t="e">
            <v>#N/A</v>
          </cell>
          <cell r="E3576">
            <v>2210</v>
          </cell>
          <cell r="F3576" t="str">
            <v>VC01</v>
          </cell>
          <cell r="G3576" t="str">
            <v>Auto</v>
          </cell>
          <cell r="H3576">
            <v>311</v>
          </cell>
          <cell r="I3576">
            <v>2210</v>
          </cell>
          <cell r="J3576">
            <v>2220</v>
          </cell>
          <cell r="K3576" t="str">
            <v>VC01</v>
          </cell>
        </row>
        <row r="3577">
          <cell r="A3577" t="str">
            <v>PNLB2261WA-YY</v>
          </cell>
          <cell r="B3577" t="str">
            <v>SMT</v>
          </cell>
          <cell r="C3577">
            <v>1</v>
          </cell>
          <cell r="D3577" t="e">
            <v>#N/A</v>
          </cell>
        </row>
        <row r="3578">
          <cell r="A3578" t="str">
            <v>1RE1LPNS520CPUZA</v>
          </cell>
          <cell r="B3578" t="str">
            <v>SMT</v>
          </cell>
          <cell r="C3578">
            <v>1</v>
          </cell>
          <cell r="D3578">
            <v>319</v>
          </cell>
        </row>
        <row r="3579">
          <cell r="A3579" t="str">
            <v>1RE2LPNS520CPUZA</v>
          </cell>
          <cell r="B3579" t="str">
            <v>SMT</v>
          </cell>
          <cell r="C3579">
            <v>1</v>
          </cell>
          <cell r="D3579">
            <v>223</v>
          </cell>
          <cell r="E3579">
            <v>2210</v>
          </cell>
          <cell r="F3579" t="str">
            <v>VC01</v>
          </cell>
          <cell r="G3579" t="str">
            <v>Auto</v>
          </cell>
          <cell r="H3579">
            <v>311</v>
          </cell>
          <cell r="I3579">
            <v>2210</v>
          </cell>
          <cell r="J3579">
            <v>2220</v>
          </cell>
          <cell r="K3579" t="str">
            <v>VC01</v>
          </cell>
        </row>
        <row r="3580">
          <cell r="A3580" t="str">
            <v>1AP1LPNS520CPUYA</v>
          </cell>
          <cell r="B3580" t="str">
            <v>DIP</v>
          </cell>
          <cell r="C3580">
            <v>1</v>
          </cell>
          <cell r="D3580" t="e">
            <v>#N/A</v>
          </cell>
          <cell r="E3580">
            <v>2210</v>
          </cell>
          <cell r="F3580" t="str">
            <v>VC01</v>
          </cell>
          <cell r="G3580" t="str">
            <v>Auto</v>
          </cell>
          <cell r="H3580">
            <v>311</v>
          </cell>
          <cell r="I3580">
            <v>2210</v>
          </cell>
          <cell r="J3580">
            <v>2220</v>
          </cell>
          <cell r="K3580" t="str">
            <v>VC01</v>
          </cell>
        </row>
        <row r="3581">
          <cell r="A3581" t="str">
            <v>PNLB2262VA-YY</v>
          </cell>
          <cell r="B3581" t="str">
            <v>SMT</v>
          </cell>
          <cell r="C3581">
            <v>1</v>
          </cell>
          <cell r="D3581" t="e">
            <v>#N/A</v>
          </cell>
        </row>
        <row r="3582">
          <cell r="A3582" t="str">
            <v>1RE1LPNS520BX2YA</v>
          </cell>
          <cell r="B3582" t="str">
            <v>SMT</v>
          </cell>
          <cell r="C3582">
            <v>1</v>
          </cell>
          <cell r="D3582">
            <v>344</v>
          </cell>
        </row>
        <row r="3583">
          <cell r="A3583" t="str">
            <v>1RE2LPNS520BX2YA</v>
          </cell>
          <cell r="B3583" t="str">
            <v>SMT</v>
          </cell>
          <cell r="C3583">
            <v>1</v>
          </cell>
          <cell r="D3583">
            <v>564</v>
          </cell>
        </row>
        <row r="3584">
          <cell r="A3584" t="str">
            <v>1RH1LPNS520BX2YA</v>
          </cell>
          <cell r="B3584" t="str">
            <v>SMT</v>
          </cell>
          <cell r="C3584">
            <v>1</v>
          </cell>
          <cell r="D3584">
            <v>10</v>
          </cell>
          <cell r="E3584">
            <v>2210</v>
          </cell>
          <cell r="F3584" t="str">
            <v>VC01</v>
          </cell>
          <cell r="G3584" t="str">
            <v>Auto</v>
          </cell>
          <cell r="H3584">
            <v>311</v>
          </cell>
          <cell r="I3584">
            <v>2210</v>
          </cell>
          <cell r="J3584">
            <v>2220</v>
          </cell>
          <cell r="K3584" t="str">
            <v>VC01</v>
          </cell>
        </row>
        <row r="3585">
          <cell r="A3585" t="str">
            <v>1AP1LPNS520BX2YA</v>
          </cell>
          <cell r="B3585" t="str">
            <v>DIP</v>
          </cell>
          <cell r="C3585">
            <v>1</v>
          </cell>
          <cell r="D3585" t="e">
            <v>#N/A</v>
          </cell>
          <cell r="E3585">
            <v>2210</v>
          </cell>
          <cell r="F3585" t="str">
            <v>VC01</v>
          </cell>
          <cell r="G3585" t="str">
            <v>Auto</v>
          </cell>
          <cell r="H3585">
            <v>311</v>
          </cell>
          <cell r="I3585">
            <v>2210</v>
          </cell>
          <cell r="J3585">
            <v>2220</v>
          </cell>
          <cell r="K3585" t="str">
            <v>VC01</v>
          </cell>
        </row>
        <row r="3586">
          <cell r="A3586" t="str">
            <v>1VI2LPNS5172XZA</v>
          </cell>
          <cell r="B3586" t="str">
            <v>SMT</v>
          </cell>
          <cell r="C3586">
            <v>1</v>
          </cell>
          <cell r="D3586" t="e">
            <v>#N/A</v>
          </cell>
        </row>
        <row r="3587">
          <cell r="A3587" t="str">
            <v>1VI1LPNS5172XZA</v>
          </cell>
          <cell r="B3587" t="str">
            <v>SMT</v>
          </cell>
          <cell r="C3587">
            <v>1</v>
          </cell>
          <cell r="D3587" t="e">
            <v>#N/A</v>
          </cell>
        </row>
        <row r="3588">
          <cell r="A3588" t="str">
            <v>1RE1LPNS5172XZA</v>
          </cell>
          <cell r="B3588" t="str">
            <v>SMT</v>
          </cell>
          <cell r="C3588">
            <v>1</v>
          </cell>
          <cell r="D3588">
            <v>537</v>
          </cell>
        </row>
        <row r="3589">
          <cell r="A3589" t="str">
            <v>1RE2LPNS5172XZA</v>
          </cell>
          <cell r="B3589" t="str">
            <v>SMT</v>
          </cell>
          <cell r="C3589">
            <v>1</v>
          </cell>
          <cell r="D3589">
            <v>375</v>
          </cell>
        </row>
        <row r="3590">
          <cell r="A3590" t="str">
            <v>1RH1LPNS5172XZA</v>
          </cell>
          <cell r="B3590" t="str">
            <v>SMT</v>
          </cell>
          <cell r="C3590">
            <v>1</v>
          </cell>
          <cell r="D3590">
            <v>32</v>
          </cell>
          <cell r="E3590">
            <v>2210</v>
          </cell>
          <cell r="F3590" t="str">
            <v>VC01</v>
          </cell>
          <cell r="G3590" t="str">
            <v>Auto</v>
          </cell>
          <cell r="H3590">
            <v>311</v>
          </cell>
          <cell r="I3590">
            <v>2210</v>
          </cell>
          <cell r="J3590">
            <v>2220</v>
          </cell>
          <cell r="K3590" t="str">
            <v>VC01</v>
          </cell>
        </row>
        <row r="3591">
          <cell r="A3591" t="str">
            <v>1AP1LPNS5172XZA</v>
          </cell>
          <cell r="B3591" t="str">
            <v>DIP</v>
          </cell>
          <cell r="C3591">
            <v>1</v>
          </cell>
          <cell r="D3591" t="e">
            <v>#N/A</v>
          </cell>
          <cell r="E3591">
            <v>2210</v>
          </cell>
          <cell r="F3591" t="str">
            <v>VC01</v>
          </cell>
          <cell r="G3591" t="str">
            <v>Auto</v>
          </cell>
          <cell r="H3591">
            <v>311</v>
          </cell>
          <cell r="I3591">
            <v>2210</v>
          </cell>
          <cell r="J3591">
            <v>2220</v>
          </cell>
          <cell r="K3591" t="str">
            <v>VC01</v>
          </cell>
        </row>
        <row r="3592">
          <cell r="A3592" t="str">
            <v>1RE1LPNS500SA2YA</v>
          </cell>
          <cell r="B3592" t="str">
            <v>SMT</v>
          </cell>
          <cell r="C3592">
            <v>1</v>
          </cell>
          <cell r="D3592">
            <v>449</v>
          </cell>
        </row>
        <row r="3593">
          <cell r="A3593" t="str">
            <v>1RE2LPNS500SA2YA</v>
          </cell>
          <cell r="B3593" t="str">
            <v>SMT</v>
          </cell>
          <cell r="C3593">
            <v>1</v>
          </cell>
          <cell r="D3593">
            <v>1038</v>
          </cell>
        </row>
        <row r="3594">
          <cell r="A3594" t="str">
            <v>1RH1LPNS500SA2YA</v>
          </cell>
          <cell r="B3594" t="str">
            <v>SMT</v>
          </cell>
          <cell r="C3594">
            <v>1</v>
          </cell>
          <cell r="D3594">
            <v>17</v>
          </cell>
          <cell r="E3594">
            <v>2210</v>
          </cell>
          <cell r="F3594" t="str">
            <v>VC01</v>
          </cell>
          <cell r="G3594" t="str">
            <v>Auto</v>
          </cell>
          <cell r="H3594">
            <v>311</v>
          </cell>
          <cell r="I3594">
            <v>2210</v>
          </cell>
          <cell r="J3594">
            <v>2220</v>
          </cell>
          <cell r="K3594" t="str">
            <v>VC01</v>
          </cell>
        </row>
        <row r="3595">
          <cell r="A3595" t="str">
            <v>1AP1LPNS500SA2YA</v>
          </cell>
          <cell r="B3595" t="str">
            <v>DIP</v>
          </cell>
          <cell r="C3595">
            <v>1</v>
          </cell>
          <cell r="D3595" t="e">
            <v>#N/A</v>
          </cell>
          <cell r="E3595">
            <v>2210</v>
          </cell>
          <cell r="F3595" t="str">
            <v>VC01</v>
          </cell>
          <cell r="G3595" t="str">
            <v>Auto</v>
          </cell>
          <cell r="H3595">
            <v>311</v>
          </cell>
          <cell r="I3595">
            <v>2210</v>
          </cell>
          <cell r="J3595">
            <v>2220</v>
          </cell>
          <cell r="K3595" t="str">
            <v>VC01</v>
          </cell>
        </row>
        <row r="3596">
          <cell r="A3596" t="str">
            <v>1RE1LPNS500CPUZA</v>
          </cell>
          <cell r="B3596" t="str">
            <v>SMT</v>
          </cell>
          <cell r="C3596">
            <v>1</v>
          </cell>
          <cell r="D3596">
            <v>344</v>
          </cell>
        </row>
        <row r="3597">
          <cell r="A3597" t="str">
            <v>1RE2LPNS500CPUZA</v>
          </cell>
          <cell r="B3597" t="str">
            <v>SMT</v>
          </cell>
          <cell r="C3597">
            <v>1</v>
          </cell>
          <cell r="D3597">
            <v>326</v>
          </cell>
          <cell r="E3597">
            <v>2210</v>
          </cell>
          <cell r="F3597" t="str">
            <v>VC01</v>
          </cell>
          <cell r="G3597" t="str">
            <v>Auto</v>
          </cell>
          <cell r="H3597">
            <v>311</v>
          </cell>
          <cell r="I3597">
            <v>2210</v>
          </cell>
          <cell r="J3597">
            <v>2220</v>
          </cell>
          <cell r="K3597" t="str">
            <v>VC01</v>
          </cell>
        </row>
        <row r="3598">
          <cell r="A3598" t="str">
            <v>1AP1LPNS500CPUYA</v>
          </cell>
          <cell r="B3598" t="str">
            <v>DIP</v>
          </cell>
          <cell r="C3598">
            <v>1</v>
          </cell>
          <cell r="D3598" t="e">
            <v>#N/A</v>
          </cell>
          <cell r="E3598">
            <v>2210</v>
          </cell>
          <cell r="F3598" t="str">
            <v>VC01</v>
          </cell>
          <cell r="G3598" t="str">
            <v>Auto</v>
          </cell>
          <cell r="H3598">
            <v>311</v>
          </cell>
          <cell r="I3598">
            <v>2210</v>
          </cell>
          <cell r="J3598">
            <v>2220</v>
          </cell>
          <cell r="K3598" t="str">
            <v>VC01</v>
          </cell>
        </row>
        <row r="3599">
          <cell r="A3599" t="str">
            <v>1RE1LPNS500BX2YA</v>
          </cell>
          <cell r="B3599" t="str">
            <v>SMT</v>
          </cell>
          <cell r="C3599">
            <v>1</v>
          </cell>
          <cell r="D3599">
            <v>449</v>
          </cell>
        </row>
        <row r="3600">
          <cell r="A3600" t="str">
            <v>1RE2LPNS500BX2YA</v>
          </cell>
          <cell r="B3600" t="str">
            <v>SMT</v>
          </cell>
          <cell r="C3600">
            <v>1</v>
          </cell>
          <cell r="D3600">
            <v>1038</v>
          </cell>
        </row>
        <row r="3601">
          <cell r="A3601" t="str">
            <v>1RH1LPNS500BX2YA</v>
          </cell>
          <cell r="B3601" t="str">
            <v>SMT</v>
          </cell>
          <cell r="C3601">
            <v>1</v>
          </cell>
          <cell r="D3601">
            <v>17</v>
          </cell>
          <cell r="E3601">
            <v>2210</v>
          </cell>
          <cell r="F3601" t="str">
            <v>VC01</v>
          </cell>
          <cell r="G3601" t="str">
            <v>Auto</v>
          </cell>
          <cell r="H3601">
            <v>311</v>
          </cell>
          <cell r="I3601">
            <v>2210</v>
          </cell>
          <cell r="J3601">
            <v>2220</v>
          </cell>
          <cell r="K3601" t="str">
            <v>VC01</v>
          </cell>
        </row>
        <row r="3602">
          <cell r="A3602" t="str">
            <v>1AP1LPNS500BX2YA</v>
          </cell>
          <cell r="B3602" t="str">
            <v>DIP</v>
          </cell>
          <cell r="C3602">
            <v>1</v>
          </cell>
          <cell r="D3602" t="e">
            <v>#N/A</v>
          </cell>
          <cell r="E3602">
            <v>2210</v>
          </cell>
          <cell r="F3602" t="str">
            <v>VC01</v>
          </cell>
          <cell r="G3602" t="str">
            <v>Auto</v>
          </cell>
          <cell r="H3602">
            <v>311</v>
          </cell>
          <cell r="I3602">
            <v>2210</v>
          </cell>
          <cell r="J3602">
            <v>2220</v>
          </cell>
          <cell r="K3602" t="str">
            <v>VC01</v>
          </cell>
        </row>
        <row r="3603">
          <cell r="A3603" t="str">
            <v>1RE1LPNS500BR2YA</v>
          </cell>
          <cell r="B3603" t="str">
            <v>SMT</v>
          </cell>
          <cell r="C3603">
            <v>1</v>
          </cell>
          <cell r="D3603">
            <v>449</v>
          </cell>
        </row>
        <row r="3604">
          <cell r="A3604" t="str">
            <v>1RE2LPNS500BR2YA</v>
          </cell>
          <cell r="B3604" t="str">
            <v>SMT</v>
          </cell>
          <cell r="C3604">
            <v>1</v>
          </cell>
          <cell r="D3604">
            <v>1014</v>
          </cell>
        </row>
        <row r="3605">
          <cell r="A3605" t="str">
            <v>1RH1LPNS500BR2YA</v>
          </cell>
          <cell r="B3605" t="str">
            <v>SMT</v>
          </cell>
          <cell r="C3605">
            <v>1</v>
          </cell>
          <cell r="D3605">
            <v>23</v>
          </cell>
          <cell r="E3605">
            <v>2210</v>
          </cell>
          <cell r="F3605" t="str">
            <v>VC01</v>
          </cell>
          <cell r="G3605" t="str">
            <v>Auto</v>
          </cell>
          <cell r="H3605">
            <v>311</v>
          </cell>
          <cell r="I3605">
            <v>2210</v>
          </cell>
          <cell r="J3605">
            <v>2220</v>
          </cell>
          <cell r="K3605" t="str">
            <v>VC01</v>
          </cell>
        </row>
        <row r="3606">
          <cell r="A3606" t="str">
            <v>1AP1LPNS500BR2YA</v>
          </cell>
          <cell r="B3606" t="str">
            <v>DIP</v>
          </cell>
          <cell r="C3606">
            <v>1</v>
          </cell>
          <cell r="D3606" t="e">
            <v>#N/A</v>
          </cell>
          <cell r="E3606">
            <v>2210</v>
          </cell>
          <cell r="F3606" t="str">
            <v>VC01</v>
          </cell>
          <cell r="G3606" t="str">
            <v>Auto</v>
          </cell>
          <cell r="H3606">
            <v>311</v>
          </cell>
          <cell r="I3606">
            <v>2210</v>
          </cell>
          <cell r="J3606">
            <v>2220</v>
          </cell>
          <cell r="K3606" t="str">
            <v>VC01</v>
          </cell>
        </row>
        <row r="3607">
          <cell r="A3607" t="str">
            <v>1RE1LPNS500AG2ZA</v>
          </cell>
          <cell r="B3607" t="str">
            <v>SMT</v>
          </cell>
          <cell r="C3607">
            <v>1</v>
          </cell>
          <cell r="D3607">
            <v>449</v>
          </cell>
        </row>
        <row r="3608">
          <cell r="A3608" t="str">
            <v>1RE2LPNS500AG2ZA</v>
          </cell>
          <cell r="B3608" t="str">
            <v>SMT</v>
          </cell>
          <cell r="C3608">
            <v>1</v>
          </cell>
          <cell r="D3608">
            <v>1038</v>
          </cell>
        </row>
        <row r="3609">
          <cell r="A3609" t="str">
            <v>1RH1LPNS500AG2ZA</v>
          </cell>
          <cell r="B3609" t="str">
            <v>SMT</v>
          </cell>
          <cell r="C3609">
            <v>1</v>
          </cell>
          <cell r="D3609">
            <v>17</v>
          </cell>
          <cell r="E3609">
            <v>2210</v>
          </cell>
          <cell r="F3609" t="str">
            <v>VC01</v>
          </cell>
          <cell r="G3609" t="str">
            <v>Auto</v>
          </cell>
          <cell r="H3609">
            <v>311</v>
          </cell>
          <cell r="I3609">
            <v>2210</v>
          </cell>
          <cell r="J3609">
            <v>2220</v>
          </cell>
          <cell r="K3609" t="str">
            <v>VC01</v>
          </cell>
        </row>
        <row r="3610">
          <cell r="A3610" t="str">
            <v>1AP1LPNS500AG2ZA</v>
          </cell>
          <cell r="B3610" t="str">
            <v>DIP</v>
          </cell>
          <cell r="C3610">
            <v>1</v>
          </cell>
          <cell r="D3610" t="e">
            <v>#N/A</v>
          </cell>
          <cell r="E3610">
            <v>2210</v>
          </cell>
          <cell r="F3610" t="str">
            <v>VC01</v>
          </cell>
          <cell r="G3610" t="str">
            <v>Auto</v>
          </cell>
          <cell r="H3610">
            <v>311</v>
          </cell>
          <cell r="I3610">
            <v>2210</v>
          </cell>
          <cell r="J3610">
            <v>2220</v>
          </cell>
          <cell r="K3610" t="str">
            <v>VC01</v>
          </cell>
        </row>
        <row r="3611">
          <cell r="A3611" t="str">
            <v>1RE1LPNS320CPUZA</v>
          </cell>
          <cell r="B3611" t="str">
            <v>SMT</v>
          </cell>
          <cell r="C3611">
            <v>1</v>
          </cell>
          <cell r="D3611">
            <v>319</v>
          </cell>
        </row>
        <row r="3612">
          <cell r="A3612" t="str">
            <v>1RE2LPNS320CPUZA</v>
          </cell>
          <cell r="B3612" t="str">
            <v>SMT</v>
          </cell>
          <cell r="C3612">
            <v>1</v>
          </cell>
          <cell r="D3612">
            <v>223</v>
          </cell>
          <cell r="E3612">
            <v>2210</v>
          </cell>
          <cell r="F3612" t="str">
            <v>VC01</v>
          </cell>
          <cell r="G3612" t="str">
            <v>Auto</v>
          </cell>
          <cell r="H3612">
            <v>311</v>
          </cell>
          <cell r="I3612">
            <v>2210</v>
          </cell>
          <cell r="J3612">
            <v>2220</v>
          </cell>
          <cell r="K3612" t="str">
            <v>VC01</v>
          </cell>
        </row>
        <row r="3613">
          <cell r="A3613" t="str">
            <v>1AP1LPNS320CPUYA</v>
          </cell>
          <cell r="B3613" t="str">
            <v>DIP</v>
          </cell>
          <cell r="C3613">
            <v>1</v>
          </cell>
          <cell r="D3613" t="e">
            <v>#N/A</v>
          </cell>
          <cell r="E3613">
            <v>2210</v>
          </cell>
          <cell r="F3613" t="str">
            <v>VC01</v>
          </cell>
          <cell r="G3613" t="str">
            <v>Auto</v>
          </cell>
          <cell r="H3613">
            <v>311</v>
          </cell>
          <cell r="I3613">
            <v>2210</v>
          </cell>
          <cell r="J3613">
            <v>2220</v>
          </cell>
          <cell r="K3613" t="str">
            <v>VC01</v>
          </cell>
        </row>
        <row r="3614">
          <cell r="A3614" t="str">
            <v>1RE1LPNS320BX2YA</v>
          </cell>
          <cell r="B3614" t="str">
            <v>SMT</v>
          </cell>
          <cell r="C3614">
            <v>1</v>
          </cell>
          <cell r="D3614">
            <v>344</v>
          </cell>
        </row>
        <row r="3615">
          <cell r="A3615" t="str">
            <v>1RE2LPNS320BX2YA</v>
          </cell>
          <cell r="B3615" t="str">
            <v>SMT</v>
          </cell>
          <cell r="C3615">
            <v>1</v>
          </cell>
          <cell r="D3615">
            <v>564</v>
          </cell>
        </row>
        <row r="3616">
          <cell r="A3616" t="str">
            <v>1RH1LPNS320BX2YA</v>
          </cell>
          <cell r="B3616" t="str">
            <v>SMT</v>
          </cell>
          <cell r="C3616">
            <v>1</v>
          </cell>
          <cell r="D3616">
            <v>10</v>
          </cell>
          <cell r="E3616">
            <v>2210</v>
          </cell>
          <cell r="F3616" t="str">
            <v>VC01</v>
          </cell>
          <cell r="G3616" t="str">
            <v>Auto</v>
          </cell>
          <cell r="H3616">
            <v>311</v>
          </cell>
          <cell r="I3616">
            <v>2210</v>
          </cell>
          <cell r="J3616">
            <v>2220</v>
          </cell>
          <cell r="K3616" t="str">
            <v>VC01</v>
          </cell>
        </row>
        <row r="3617">
          <cell r="A3617" t="str">
            <v>1AP1LPNS320BX2YA</v>
          </cell>
          <cell r="B3617" t="str">
            <v>DIP</v>
          </cell>
          <cell r="C3617">
            <v>1</v>
          </cell>
          <cell r="D3617" t="e">
            <v>#N/A</v>
          </cell>
          <cell r="E3617">
            <v>2210</v>
          </cell>
          <cell r="F3617" t="str">
            <v>VC01</v>
          </cell>
          <cell r="G3617" t="str">
            <v>Auto</v>
          </cell>
          <cell r="H3617">
            <v>311</v>
          </cell>
          <cell r="I3617">
            <v>2210</v>
          </cell>
          <cell r="J3617">
            <v>2220</v>
          </cell>
          <cell r="K3617" t="str">
            <v>VC01</v>
          </cell>
        </row>
        <row r="3618">
          <cell r="A3618" t="str">
            <v>1RE1LPNS300CPUZA</v>
          </cell>
          <cell r="B3618" t="str">
            <v>SMT</v>
          </cell>
          <cell r="C3618">
            <v>1</v>
          </cell>
          <cell r="D3618">
            <v>345</v>
          </cell>
        </row>
        <row r="3619">
          <cell r="A3619" t="str">
            <v>1RE2LPNS300CPUZA</v>
          </cell>
          <cell r="B3619" t="str">
            <v>SMT</v>
          </cell>
          <cell r="C3619">
            <v>1</v>
          </cell>
          <cell r="D3619">
            <v>325</v>
          </cell>
          <cell r="E3619">
            <v>2210</v>
          </cell>
          <cell r="F3619" t="str">
            <v>VC01</v>
          </cell>
          <cell r="G3619" t="str">
            <v>Auto</v>
          </cell>
          <cell r="H3619">
            <v>311</v>
          </cell>
          <cell r="I3619">
            <v>2210</v>
          </cell>
          <cell r="J3619">
            <v>2220</v>
          </cell>
          <cell r="K3619" t="str">
            <v>VC01</v>
          </cell>
        </row>
        <row r="3620">
          <cell r="A3620" t="str">
            <v>1AP1LPNS300CPUYA</v>
          </cell>
          <cell r="B3620" t="str">
            <v>DIP</v>
          </cell>
          <cell r="C3620">
            <v>1</v>
          </cell>
          <cell r="D3620" t="e">
            <v>#N/A</v>
          </cell>
          <cell r="E3620">
            <v>2210</v>
          </cell>
          <cell r="F3620" t="str">
            <v>VC01</v>
          </cell>
          <cell r="G3620" t="str">
            <v>Auto</v>
          </cell>
          <cell r="H3620">
            <v>311</v>
          </cell>
          <cell r="I3620">
            <v>2210</v>
          </cell>
          <cell r="J3620">
            <v>2220</v>
          </cell>
          <cell r="K3620" t="str">
            <v>VC01</v>
          </cell>
        </row>
        <row r="3621">
          <cell r="A3621" t="str">
            <v>1RE1LPNS300BX2YA</v>
          </cell>
          <cell r="B3621" t="str">
            <v>SMT</v>
          </cell>
          <cell r="C3621">
            <v>1</v>
          </cell>
          <cell r="D3621">
            <v>449</v>
          </cell>
        </row>
        <row r="3622">
          <cell r="A3622" t="str">
            <v>1RE2LPNS300BX2YA</v>
          </cell>
          <cell r="B3622" t="str">
            <v>SMT</v>
          </cell>
          <cell r="C3622">
            <v>1</v>
          </cell>
          <cell r="D3622">
            <v>1038</v>
          </cell>
        </row>
        <row r="3623">
          <cell r="A3623" t="str">
            <v>1RH1LPNS300BX2YA</v>
          </cell>
          <cell r="B3623" t="str">
            <v>SMT</v>
          </cell>
          <cell r="C3623">
            <v>1</v>
          </cell>
          <cell r="D3623">
            <v>17</v>
          </cell>
          <cell r="E3623">
            <v>2210</v>
          </cell>
          <cell r="F3623" t="str">
            <v>VC01</v>
          </cell>
          <cell r="G3623" t="str">
            <v>Auto</v>
          </cell>
          <cell r="H3623">
            <v>311</v>
          </cell>
          <cell r="I3623">
            <v>2210</v>
          </cell>
          <cell r="J3623">
            <v>2220</v>
          </cell>
          <cell r="K3623" t="str">
            <v>VC01</v>
          </cell>
        </row>
        <row r="3624">
          <cell r="A3624" t="str">
            <v>1AP1LPNS300BX2YA</v>
          </cell>
          <cell r="B3624" t="str">
            <v>DIP</v>
          </cell>
          <cell r="C3624">
            <v>1</v>
          </cell>
          <cell r="D3624" t="e">
            <v>#N/A</v>
          </cell>
          <cell r="E3624">
            <v>2210</v>
          </cell>
          <cell r="F3624" t="str">
            <v>VC01</v>
          </cell>
          <cell r="G3624" t="str">
            <v>Auto</v>
          </cell>
          <cell r="H3624">
            <v>311</v>
          </cell>
          <cell r="I3624">
            <v>2210</v>
          </cell>
          <cell r="J3624">
            <v>2220</v>
          </cell>
          <cell r="K3624" t="str">
            <v>VC01</v>
          </cell>
        </row>
        <row r="3625">
          <cell r="A3625" t="str">
            <v>1VJ1LPNS1KXG1ZA</v>
          </cell>
          <cell r="B3625" t="str">
            <v>SMT</v>
          </cell>
          <cell r="C3625">
            <v>1</v>
          </cell>
          <cell r="D3625" t="e">
            <v>#N/A</v>
          </cell>
        </row>
        <row r="3626">
          <cell r="A3626" t="str">
            <v>1RE1LPNS1KXG1ZA</v>
          </cell>
          <cell r="B3626" t="str">
            <v>SMT</v>
          </cell>
          <cell r="C3626">
            <v>1</v>
          </cell>
          <cell r="D3626">
            <v>491</v>
          </cell>
        </row>
        <row r="3627">
          <cell r="A3627" t="str">
            <v>1RE2LPNS1KXG1ZA</v>
          </cell>
          <cell r="B3627" t="str">
            <v>SMT</v>
          </cell>
          <cell r="C3627">
            <v>1</v>
          </cell>
          <cell r="D3627">
            <v>660</v>
          </cell>
          <cell r="E3627">
            <v>2210</v>
          </cell>
          <cell r="F3627" t="str">
            <v>VC01</v>
          </cell>
          <cell r="G3627" t="str">
            <v>Auto</v>
          </cell>
          <cell r="H3627">
            <v>311</v>
          </cell>
          <cell r="I3627">
            <v>2210</v>
          </cell>
          <cell r="J3627">
            <v>2220</v>
          </cell>
          <cell r="K3627" t="str">
            <v>VC01</v>
          </cell>
        </row>
        <row r="3628">
          <cell r="A3628" t="str">
            <v>1AP1LPNS1KXG1ZA</v>
          </cell>
          <cell r="B3628" t="str">
            <v>DIP</v>
          </cell>
          <cell r="C3628">
            <v>1</v>
          </cell>
          <cell r="D3628" t="e">
            <v>#N/A</v>
          </cell>
          <cell r="E3628">
            <v>2210</v>
          </cell>
          <cell r="F3628" t="str">
            <v>VC01</v>
          </cell>
          <cell r="G3628" t="str">
            <v>Auto</v>
          </cell>
          <cell r="H3628">
            <v>311</v>
          </cell>
          <cell r="I3628">
            <v>2210</v>
          </cell>
          <cell r="J3628">
            <v>2220</v>
          </cell>
          <cell r="K3628" t="str">
            <v>VC01</v>
          </cell>
        </row>
        <row r="3629">
          <cell r="A3629" t="str">
            <v>1VJ1LPNS0130XZA</v>
          </cell>
          <cell r="B3629" t="str">
            <v>SMT</v>
          </cell>
          <cell r="C3629">
            <v>1</v>
          </cell>
          <cell r="D3629" t="e">
            <v>#N/A</v>
          </cell>
        </row>
        <row r="3630">
          <cell r="A3630" t="str">
            <v>1RE1LPNS0130XZA</v>
          </cell>
          <cell r="B3630" t="str">
            <v>SMT</v>
          </cell>
          <cell r="C3630">
            <v>1</v>
          </cell>
          <cell r="D3630">
            <v>51</v>
          </cell>
        </row>
        <row r="3631">
          <cell r="A3631" t="str">
            <v>1RE2LPNS0130XZA</v>
          </cell>
          <cell r="B3631" t="str">
            <v>SMT</v>
          </cell>
          <cell r="C3631">
            <v>1</v>
          </cell>
          <cell r="D3631">
            <v>511</v>
          </cell>
          <cell r="E3631">
            <v>2210</v>
          </cell>
          <cell r="F3631" t="str">
            <v>VC01</v>
          </cell>
          <cell r="G3631" t="str">
            <v>Auto</v>
          </cell>
          <cell r="H3631">
            <v>311</v>
          </cell>
          <cell r="I3631">
            <v>2210</v>
          </cell>
          <cell r="J3631">
            <v>2310</v>
          </cell>
          <cell r="K3631" t="str">
            <v>VC01</v>
          </cell>
        </row>
        <row r="3632">
          <cell r="A3632" t="str">
            <v>1AP1LPNS0130XZA</v>
          </cell>
          <cell r="B3632" t="str">
            <v>DIP</v>
          </cell>
          <cell r="C3632">
            <v>1</v>
          </cell>
          <cell r="D3632" t="e">
            <v>#N/A</v>
          </cell>
          <cell r="E3632">
            <v>2210</v>
          </cell>
          <cell r="F3632" t="str">
            <v>VC01</v>
          </cell>
          <cell r="G3632" t="str">
            <v>Auto</v>
          </cell>
          <cell r="H3632">
            <v>311</v>
          </cell>
          <cell r="I3632">
            <v>2210</v>
          </cell>
          <cell r="J3632">
            <v>2310</v>
          </cell>
          <cell r="K3632" t="str">
            <v>VC01</v>
          </cell>
        </row>
        <row r="3633">
          <cell r="A3633" t="str">
            <v>1VI2LP2597ZA</v>
          </cell>
          <cell r="B3633" t="str">
            <v>SMT</v>
          </cell>
          <cell r="C3633">
            <v>1</v>
          </cell>
          <cell r="D3633" t="e">
            <v>#N/A</v>
          </cell>
        </row>
        <row r="3634">
          <cell r="A3634" t="str">
            <v>1VI1LP2597ZA</v>
          </cell>
          <cell r="B3634" t="str">
            <v>SMT</v>
          </cell>
          <cell r="C3634">
            <v>1</v>
          </cell>
          <cell r="D3634" t="e">
            <v>#N/A</v>
          </cell>
        </row>
        <row r="3635">
          <cell r="A3635" t="str">
            <v>1RE1LP2597ZA</v>
          </cell>
          <cell r="B3635" t="str">
            <v>SMT</v>
          </cell>
          <cell r="C3635">
            <v>1</v>
          </cell>
          <cell r="D3635">
            <v>685</v>
          </cell>
          <cell r="E3635">
            <v>2210</v>
          </cell>
          <cell r="F3635" t="str">
            <v>VC01</v>
          </cell>
          <cell r="G3635" t="str">
            <v>Auto</v>
          </cell>
          <cell r="H3635">
            <v>311</v>
          </cell>
          <cell r="I3635">
            <v>2210</v>
          </cell>
          <cell r="J3635">
            <v>2220</v>
          </cell>
          <cell r="K3635" t="str">
            <v>VC01</v>
          </cell>
        </row>
        <row r="3636">
          <cell r="A3636" t="str">
            <v>1AP1LP2597ZA</v>
          </cell>
          <cell r="B3636" t="str">
            <v>DIP</v>
          </cell>
          <cell r="C3636">
            <v>1</v>
          </cell>
          <cell r="D3636" t="e">
            <v>#N/A</v>
          </cell>
          <cell r="E3636">
            <v>2210</v>
          </cell>
          <cell r="F3636" t="str">
            <v>VC01</v>
          </cell>
          <cell r="G3636" t="str">
            <v>Auto</v>
          </cell>
          <cell r="H3636">
            <v>311</v>
          </cell>
          <cell r="I3636">
            <v>2210</v>
          </cell>
          <cell r="J3636">
            <v>2220</v>
          </cell>
          <cell r="K3636" t="str">
            <v>VC01</v>
          </cell>
        </row>
        <row r="3637">
          <cell r="A3637" t="str">
            <v>1VJ1LP2562ZA</v>
          </cell>
          <cell r="B3637" t="str">
            <v>SMT</v>
          </cell>
          <cell r="C3637">
            <v>1</v>
          </cell>
          <cell r="D3637" t="e">
            <v>#N/A</v>
          </cell>
        </row>
        <row r="3638">
          <cell r="A3638" t="str">
            <v>1RE1LP2562ZA</v>
          </cell>
          <cell r="B3638" t="str">
            <v>SMT</v>
          </cell>
          <cell r="C3638">
            <v>1</v>
          </cell>
          <cell r="D3638">
            <v>491</v>
          </cell>
        </row>
        <row r="3639">
          <cell r="A3639" t="str">
            <v>1RE2LP2562ZA</v>
          </cell>
          <cell r="B3639" t="str">
            <v>SMT</v>
          </cell>
          <cell r="C3639">
            <v>1</v>
          </cell>
          <cell r="D3639">
            <v>660</v>
          </cell>
          <cell r="E3639">
            <v>2210</v>
          </cell>
          <cell r="F3639" t="str">
            <v>VC01</v>
          </cell>
          <cell r="G3639" t="str">
            <v>Auto</v>
          </cell>
          <cell r="H3639">
            <v>311</v>
          </cell>
          <cell r="I3639">
            <v>2210</v>
          </cell>
          <cell r="J3639">
            <v>2220</v>
          </cell>
          <cell r="K3639" t="str">
            <v>VC01</v>
          </cell>
        </row>
        <row r="3640">
          <cell r="A3640" t="str">
            <v>1AP1LP2562ZA</v>
          </cell>
          <cell r="B3640" t="str">
            <v>DIP</v>
          </cell>
          <cell r="C3640">
            <v>1</v>
          </cell>
          <cell r="D3640" t="e">
            <v>#N/A</v>
          </cell>
          <cell r="E3640">
            <v>2210</v>
          </cell>
          <cell r="F3640" t="str">
            <v>VC01</v>
          </cell>
          <cell r="G3640" t="str">
            <v>Auto</v>
          </cell>
          <cell r="H3640">
            <v>311</v>
          </cell>
          <cell r="I3640">
            <v>2210</v>
          </cell>
          <cell r="J3640">
            <v>2220</v>
          </cell>
          <cell r="K3640" t="str">
            <v>VC01</v>
          </cell>
        </row>
        <row r="3641">
          <cell r="A3641" t="str">
            <v>1VJ1LP2528ZA</v>
          </cell>
          <cell r="B3641" t="str">
            <v>SMT</v>
          </cell>
          <cell r="C3641">
            <v>1</v>
          </cell>
          <cell r="D3641" t="e">
            <v>#N/A</v>
          </cell>
        </row>
        <row r="3642">
          <cell r="A3642" t="str">
            <v>1RE1LP2528ZA</v>
          </cell>
          <cell r="B3642" t="str">
            <v>SMT</v>
          </cell>
          <cell r="C3642">
            <v>1</v>
          </cell>
          <cell r="D3642">
            <v>491</v>
          </cell>
        </row>
        <row r="3643">
          <cell r="A3643" t="str">
            <v>1RE2LP2528ZA</v>
          </cell>
          <cell r="B3643" t="str">
            <v>SMT</v>
          </cell>
          <cell r="C3643">
            <v>1</v>
          </cell>
          <cell r="D3643">
            <v>660</v>
          </cell>
          <cell r="E3643">
            <v>2210</v>
          </cell>
          <cell r="F3643" t="str">
            <v>VC01</v>
          </cell>
          <cell r="G3643" t="str">
            <v>Auto</v>
          </cell>
          <cell r="H3643">
            <v>311</v>
          </cell>
          <cell r="I3643">
            <v>2210</v>
          </cell>
          <cell r="J3643">
            <v>2220</v>
          </cell>
          <cell r="K3643" t="str">
            <v>VC01</v>
          </cell>
        </row>
        <row r="3644">
          <cell r="A3644" t="str">
            <v>1AP1LP2528ZA</v>
          </cell>
          <cell r="B3644" t="str">
            <v>DIP</v>
          </cell>
          <cell r="C3644">
            <v>1</v>
          </cell>
          <cell r="D3644" t="e">
            <v>#N/A</v>
          </cell>
          <cell r="E3644">
            <v>2210</v>
          </cell>
          <cell r="F3644" t="str">
            <v>VC01</v>
          </cell>
          <cell r="G3644" t="str">
            <v>Auto</v>
          </cell>
          <cell r="H3644">
            <v>311</v>
          </cell>
          <cell r="I3644">
            <v>2210</v>
          </cell>
          <cell r="J3644">
            <v>2220</v>
          </cell>
          <cell r="K3644" t="str">
            <v>VC01</v>
          </cell>
        </row>
        <row r="3645">
          <cell r="A3645" t="str">
            <v>1VI1LPFG810REMWA</v>
          </cell>
          <cell r="B3645" t="str">
            <v>SMT</v>
          </cell>
          <cell r="C3645">
            <v>1</v>
          </cell>
          <cell r="D3645" t="e">
            <v>#N/A</v>
          </cell>
        </row>
        <row r="3646">
          <cell r="A3646" t="str">
            <v>1RE1LPFG810REMWA</v>
          </cell>
          <cell r="B3646" t="str">
            <v>SMT</v>
          </cell>
          <cell r="C3646">
            <v>1</v>
          </cell>
          <cell r="D3646">
            <v>220</v>
          </cell>
        </row>
        <row r="3647">
          <cell r="A3647" t="str">
            <v>1RE2LPFG810REMWA</v>
          </cell>
          <cell r="B3647" t="str">
            <v>SMT</v>
          </cell>
          <cell r="C3647">
            <v>1</v>
          </cell>
          <cell r="D3647">
            <v>255</v>
          </cell>
        </row>
        <row r="3648">
          <cell r="A3648" t="str">
            <v>1RH1LPFG810REMWA</v>
          </cell>
          <cell r="B3648" t="str">
            <v>SMT</v>
          </cell>
          <cell r="C3648">
            <v>1</v>
          </cell>
          <cell r="D3648">
            <v>9</v>
          </cell>
        </row>
        <row r="3649">
          <cell r="A3649" t="str">
            <v>1AP1LPFG810REMWA</v>
          </cell>
          <cell r="B3649" t="str">
            <v>DIP</v>
          </cell>
          <cell r="C3649">
            <v>1</v>
          </cell>
          <cell r="D3649" t="e">
            <v>#N/A</v>
          </cell>
          <cell r="E3649">
            <v>2210</v>
          </cell>
        </row>
        <row r="3650">
          <cell r="A3650" t="str">
            <v>1VI1LPFG810RDMWA</v>
          </cell>
          <cell r="B3650" t="str">
            <v>SMT</v>
          </cell>
          <cell r="C3650">
            <v>1</v>
          </cell>
          <cell r="D3650" t="e">
            <v>#N/A</v>
          </cell>
        </row>
        <row r="3651">
          <cell r="A3651" t="str">
            <v>1RE1LPFG810RDMWA</v>
          </cell>
          <cell r="B3651" t="str">
            <v>SMT</v>
          </cell>
          <cell r="C3651">
            <v>1</v>
          </cell>
          <cell r="D3651">
            <v>220</v>
          </cell>
        </row>
        <row r="3652">
          <cell r="A3652" t="str">
            <v>1RE2LPFG810RDMWA</v>
          </cell>
          <cell r="B3652" t="str">
            <v>SMT</v>
          </cell>
          <cell r="C3652">
            <v>1</v>
          </cell>
          <cell r="D3652">
            <v>257</v>
          </cell>
        </row>
        <row r="3653">
          <cell r="A3653" t="str">
            <v>1RH1LPFG810RDMWA</v>
          </cell>
          <cell r="B3653" t="str">
            <v>SMT</v>
          </cell>
          <cell r="C3653">
            <v>1</v>
          </cell>
          <cell r="D3653">
            <v>10</v>
          </cell>
        </row>
        <row r="3654">
          <cell r="A3654" t="str">
            <v>1AP1LPFG810RDMWA</v>
          </cell>
          <cell r="B3654" t="str">
            <v>DIP</v>
          </cell>
          <cell r="C3654">
            <v>1</v>
          </cell>
          <cell r="D3654" t="e">
            <v>#N/A</v>
          </cell>
          <cell r="E3654">
            <v>2210</v>
          </cell>
        </row>
        <row r="3655">
          <cell r="A3655" t="str">
            <v>1VI1LPFG810RAMWA</v>
          </cell>
          <cell r="B3655" t="str">
            <v>SMT</v>
          </cell>
          <cell r="C3655">
            <v>1</v>
          </cell>
          <cell r="D3655" t="e">
            <v>#N/A</v>
          </cell>
        </row>
        <row r="3656">
          <cell r="A3656" t="str">
            <v>1RE1LPFG810RAMWA</v>
          </cell>
          <cell r="B3656" t="str">
            <v>SMT</v>
          </cell>
          <cell r="C3656">
            <v>1</v>
          </cell>
          <cell r="D3656">
            <v>222</v>
          </cell>
        </row>
        <row r="3657">
          <cell r="A3657" t="str">
            <v>1RE2LPFG810RAMWA</v>
          </cell>
          <cell r="B3657" t="str">
            <v>SMT</v>
          </cell>
          <cell r="C3657">
            <v>1</v>
          </cell>
          <cell r="D3657">
            <v>302</v>
          </cell>
        </row>
        <row r="3658">
          <cell r="A3658" t="str">
            <v>1RH1LPFG810RAMWA</v>
          </cell>
          <cell r="B3658" t="str">
            <v>SMT</v>
          </cell>
          <cell r="C3658">
            <v>1</v>
          </cell>
          <cell r="D3658">
            <v>12</v>
          </cell>
        </row>
        <row r="3659">
          <cell r="A3659" t="str">
            <v>1AP1LPFG810RAMWA</v>
          </cell>
          <cell r="B3659" t="str">
            <v>DIP</v>
          </cell>
          <cell r="C3659">
            <v>1</v>
          </cell>
          <cell r="D3659" t="e">
            <v>#N/A</v>
          </cell>
          <cell r="E3659">
            <v>2210</v>
          </cell>
        </row>
        <row r="3660">
          <cell r="A3660" t="str">
            <v>1RE1PSLP1521ZA</v>
          </cell>
          <cell r="B3660" t="str">
            <v>SMT</v>
          </cell>
          <cell r="C3660">
            <v>1</v>
          </cell>
          <cell r="D3660">
            <v>44</v>
          </cell>
        </row>
        <row r="3661">
          <cell r="A3661" t="str">
            <v>1RE2PSLP1521ZA</v>
          </cell>
          <cell r="B3661" t="str">
            <v>SMT</v>
          </cell>
          <cell r="C3661">
            <v>1</v>
          </cell>
          <cell r="D3661">
            <v>55</v>
          </cell>
          <cell r="E3661">
            <v>2210</v>
          </cell>
          <cell r="F3661" t="str">
            <v>VC01</v>
          </cell>
          <cell r="G3661" t="str">
            <v>Auto</v>
          </cell>
          <cell r="H3661">
            <v>311</v>
          </cell>
          <cell r="I3661">
            <v>2210</v>
          </cell>
          <cell r="J3661">
            <v>2310</v>
          </cell>
          <cell r="K3661" t="str">
            <v>VC01</v>
          </cell>
        </row>
        <row r="3662">
          <cell r="A3662" t="str">
            <v>1RE1LPTDA6381SX2ZA</v>
          </cell>
          <cell r="B3662" t="str">
            <v>SMT</v>
          </cell>
          <cell r="C3662">
            <v>1</v>
          </cell>
          <cell r="D3662">
            <v>304</v>
          </cell>
        </row>
        <row r="3663">
          <cell r="A3663" t="str">
            <v>1RE2LPTDA6381SX2ZA</v>
          </cell>
          <cell r="B3663" t="str">
            <v>SMT</v>
          </cell>
          <cell r="C3663">
            <v>1</v>
          </cell>
          <cell r="D3663">
            <v>218</v>
          </cell>
          <cell r="E3663">
            <v>2210</v>
          </cell>
          <cell r="F3663" t="str">
            <v>VC01</v>
          </cell>
          <cell r="G3663" t="str">
            <v>Auto</v>
          </cell>
          <cell r="H3663">
            <v>311</v>
          </cell>
          <cell r="I3663">
            <v>2210</v>
          </cell>
          <cell r="J3663">
            <v>2310</v>
          </cell>
          <cell r="K3663" t="str">
            <v>VC01</v>
          </cell>
        </row>
        <row r="3664">
          <cell r="A3664" t="str">
            <v>1AP1LPTDA6381SX2ZA</v>
          </cell>
          <cell r="B3664" t="str">
            <v>DIP</v>
          </cell>
          <cell r="C3664">
            <v>1</v>
          </cell>
          <cell r="D3664" t="e">
            <v>#N/A</v>
          </cell>
          <cell r="E3664">
            <v>2210</v>
          </cell>
          <cell r="F3664" t="str">
            <v>VC01</v>
          </cell>
          <cell r="G3664" t="str">
            <v>Auto</v>
          </cell>
          <cell r="H3664">
            <v>311</v>
          </cell>
          <cell r="I3664">
            <v>2210</v>
          </cell>
          <cell r="J3664">
            <v>2310</v>
          </cell>
          <cell r="K3664" t="str">
            <v>VC01</v>
          </cell>
        </row>
        <row r="3665">
          <cell r="A3665" t="str">
            <v>1VJ1LPTDA6381SX1ZA</v>
          </cell>
          <cell r="B3665" t="str">
            <v>SMT</v>
          </cell>
          <cell r="C3665">
            <v>1</v>
          </cell>
          <cell r="D3665" t="e">
            <v>#N/A</v>
          </cell>
        </row>
        <row r="3666">
          <cell r="A3666" t="str">
            <v>1RE1LPTDA6381SX1ZA</v>
          </cell>
          <cell r="B3666" t="str">
            <v>SMT</v>
          </cell>
          <cell r="C3666">
            <v>1</v>
          </cell>
          <cell r="D3666">
            <v>302</v>
          </cell>
        </row>
        <row r="3667">
          <cell r="A3667" t="str">
            <v>1RE2LPTDA6381SX1ZA</v>
          </cell>
          <cell r="B3667" t="str">
            <v>SMT</v>
          </cell>
          <cell r="C3667">
            <v>1</v>
          </cell>
          <cell r="D3667">
            <v>488</v>
          </cell>
        </row>
        <row r="3668">
          <cell r="A3668" t="str">
            <v>1RH1LPTDA6381SX1ZA</v>
          </cell>
          <cell r="B3668" t="str">
            <v>SMT</v>
          </cell>
          <cell r="C3668">
            <v>1</v>
          </cell>
          <cell r="D3668">
            <v>25</v>
          </cell>
          <cell r="E3668">
            <v>2210</v>
          </cell>
          <cell r="F3668" t="str">
            <v>VC01</v>
          </cell>
          <cell r="G3668" t="str">
            <v>Auto</v>
          </cell>
          <cell r="H3668">
            <v>311</v>
          </cell>
          <cell r="I3668">
            <v>2210</v>
          </cell>
          <cell r="J3668">
            <v>2310</v>
          </cell>
          <cell r="K3668" t="str">
            <v>VC01</v>
          </cell>
        </row>
        <row r="3669">
          <cell r="A3669" t="str">
            <v>1AP1LPTDA6381SX1ZA</v>
          </cell>
          <cell r="B3669" t="str">
            <v>DIP</v>
          </cell>
          <cell r="C3669">
            <v>1</v>
          </cell>
          <cell r="D3669" t="e">
            <v>#N/A</v>
          </cell>
          <cell r="E3669">
            <v>2210</v>
          </cell>
          <cell r="F3669" t="str">
            <v>VC01</v>
          </cell>
          <cell r="G3669" t="str">
            <v>Auto</v>
          </cell>
          <cell r="H3669">
            <v>311</v>
          </cell>
          <cell r="I3669">
            <v>2210</v>
          </cell>
          <cell r="J3669">
            <v>2310</v>
          </cell>
          <cell r="K3669" t="str">
            <v>VC01</v>
          </cell>
        </row>
        <row r="3670">
          <cell r="A3670" t="str">
            <v>PNLB1798XA-LV</v>
          </cell>
          <cell r="B3670" t="str">
            <v>SMT</v>
          </cell>
          <cell r="C3670">
            <v>1</v>
          </cell>
          <cell r="D3670" t="e">
            <v>#N/A</v>
          </cell>
        </row>
        <row r="3671">
          <cell r="A3671" t="str">
            <v>1RE1LPTDA1180SXZA</v>
          </cell>
          <cell r="B3671" t="str">
            <v>SMT</v>
          </cell>
          <cell r="C3671">
            <v>1</v>
          </cell>
          <cell r="D3671">
            <v>298</v>
          </cell>
        </row>
        <row r="3672">
          <cell r="A3672" t="str">
            <v>1RE2LPTDA1180SXZA</v>
          </cell>
          <cell r="B3672" t="str">
            <v>SMT</v>
          </cell>
          <cell r="C3672">
            <v>1</v>
          </cell>
          <cell r="D3672">
            <v>538</v>
          </cell>
        </row>
        <row r="3673">
          <cell r="A3673" t="str">
            <v>1RH1LPTDA1180SXZA</v>
          </cell>
          <cell r="B3673" t="str">
            <v>SMT</v>
          </cell>
          <cell r="C3673">
            <v>1</v>
          </cell>
          <cell r="D3673">
            <v>17</v>
          </cell>
          <cell r="E3673">
            <v>2210</v>
          </cell>
          <cell r="F3673" t="str">
            <v>VC01</v>
          </cell>
          <cell r="G3673" t="str">
            <v>Auto</v>
          </cell>
          <cell r="H3673">
            <v>311</v>
          </cell>
          <cell r="I3673">
            <v>2210</v>
          </cell>
          <cell r="J3673">
            <v>2220</v>
          </cell>
          <cell r="K3673" t="str">
            <v>VC01</v>
          </cell>
        </row>
        <row r="3674">
          <cell r="A3674" t="str">
            <v>1AP1LPTDA1180SXZA</v>
          </cell>
          <cell r="B3674" t="str">
            <v>DIP</v>
          </cell>
          <cell r="C3674">
            <v>1</v>
          </cell>
          <cell r="D3674" t="e">
            <v>#N/A</v>
          </cell>
          <cell r="E3674">
            <v>2210</v>
          </cell>
          <cell r="F3674" t="str">
            <v>VC01</v>
          </cell>
          <cell r="G3674" t="str">
            <v>Auto</v>
          </cell>
          <cell r="H3674">
            <v>311</v>
          </cell>
          <cell r="I3674">
            <v>2210</v>
          </cell>
          <cell r="J3674">
            <v>2220</v>
          </cell>
          <cell r="K3674" t="str">
            <v>VC01</v>
          </cell>
        </row>
        <row r="3675">
          <cell r="A3675" t="str">
            <v>1RE1LPNS300SX2ZA</v>
          </cell>
          <cell r="B3675" t="str">
            <v>SMT</v>
          </cell>
          <cell r="C3675">
            <v>1</v>
          </cell>
          <cell r="D3675">
            <v>449</v>
          </cell>
        </row>
        <row r="3676">
          <cell r="A3676" t="str">
            <v>1RE2LPNS300SX2ZA</v>
          </cell>
          <cell r="B3676" t="str">
            <v>SMT</v>
          </cell>
          <cell r="C3676">
            <v>1</v>
          </cell>
          <cell r="D3676">
            <v>1038</v>
          </cell>
        </row>
        <row r="3677">
          <cell r="A3677" t="str">
            <v>1RH1LPNS300SX2ZA</v>
          </cell>
          <cell r="B3677" t="str">
            <v>SMT</v>
          </cell>
          <cell r="C3677">
            <v>1</v>
          </cell>
          <cell r="D3677">
            <v>17</v>
          </cell>
          <cell r="E3677">
            <v>2210</v>
          </cell>
          <cell r="F3677" t="str">
            <v>VC01</v>
          </cell>
          <cell r="G3677" t="str">
            <v>Auto</v>
          </cell>
          <cell r="H3677">
            <v>311</v>
          </cell>
          <cell r="I3677">
            <v>2210</v>
          </cell>
          <cell r="J3677">
            <v>2220</v>
          </cell>
          <cell r="K3677" t="str">
            <v>VC01</v>
          </cell>
        </row>
        <row r="3678">
          <cell r="A3678" t="str">
            <v>1AP1LPNS300SX2ZA</v>
          </cell>
          <cell r="B3678" t="str">
            <v>DIP</v>
          </cell>
          <cell r="C3678">
            <v>1</v>
          </cell>
          <cell r="D3678" t="e">
            <v>#N/A</v>
          </cell>
          <cell r="E3678">
            <v>2210</v>
          </cell>
          <cell r="F3678" t="str">
            <v>VC01</v>
          </cell>
          <cell r="G3678" t="str">
            <v>Auto</v>
          </cell>
          <cell r="H3678">
            <v>311</v>
          </cell>
          <cell r="I3678">
            <v>2210</v>
          </cell>
          <cell r="J3678">
            <v>2220</v>
          </cell>
          <cell r="K3678" t="str">
            <v>VC01</v>
          </cell>
        </row>
        <row r="3679">
          <cell r="A3679" t="str">
            <v>1RE1LPHT82480SXZA</v>
          </cell>
          <cell r="B3679" t="str">
            <v>SMT</v>
          </cell>
          <cell r="C3679">
            <v>1</v>
          </cell>
          <cell r="D3679">
            <v>181</v>
          </cell>
        </row>
        <row r="3680">
          <cell r="A3680" t="str">
            <v>1RE2LPHT82480SXZA</v>
          </cell>
          <cell r="B3680" t="str">
            <v>SMT</v>
          </cell>
          <cell r="C3680">
            <v>1</v>
          </cell>
          <cell r="D3680">
            <v>249</v>
          </cell>
        </row>
        <row r="3681">
          <cell r="A3681" t="str">
            <v>1RH1LPHT82480SXZA</v>
          </cell>
          <cell r="B3681" t="str">
            <v>SMT</v>
          </cell>
          <cell r="C3681">
            <v>1</v>
          </cell>
          <cell r="D3681">
            <v>5</v>
          </cell>
          <cell r="E3681">
            <v>2210</v>
          </cell>
          <cell r="F3681" t="str">
            <v>VC01</v>
          </cell>
          <cell r="G3681" t="str">
            <v>Auto</v>
          </cell>
          <cell r="H3681">
            <v>311</v>
          </cell>
          <cell r="I3681">
            <v>2210</v>
          </cell>
          <cell r="J3681" t="e">
            <v>#N/A</v>
          </cell>
          <cell r="K3681" t="str">
            <v>VC01</v>
          </cell>
        </row>
        <row r="3682">
          <cell r="A3682" t="str">
            <v>1AP1LPHT82480SXZA</v>
          </cell>
          <cell r="B3682" t="str">
            <v>DIP</v>
          </cell>
          <cell r="C3682">
            <v>1</v>
          </cell>
          <cell r="D3682" t="e">
            <v>#N/A</v>
          </cell>
          <cell r="E3682">
            <v>2210</v>
          </cell>
        </row>
        <row r="3683">
          <cell r="A3683" t="str">
            <v>1RE1LPHTS32SX2ZA</v>
          </cell>
          <cell r="B3683" t="str">
            <v>SMT</v>
          </cell>
          <cell r="C3683">
            <v>1</v>
          </cell>
          <cell r="D3683">
            <v>707</v>
          </cell>
        </row>
        <row r="3684">
          <cell r="A3684" t="str">
            <v>1RE2LPHTS32SX2ZA</v>
          </cell>
          <cell r="B3684" t="str">
            <v>SMT</v>
          </cell>
          <cell r="C3684">
            <v>1</v>
          </cell>
          <cell r="D3684">
            <v>679</v>
          </cell>
        </row>
        <row r="3685">
          <cell r="A3685" t="str">
            <v>1RH1LPHTS32SX2ZA</v>
          </cell>
          <cell r="B3685" t="str">
            <v>SMT</v>
          </cell>
          <cell r="C3685">
            <v>1</v>
          </cell>
          <cell r="D3685">
            <v>5</v>
          </cell>
          <cell r="E3685">
            <v>2210</v>
          </cell>
          <cell r="F3685" t="str">
            <v>VC01</v>
          </cell>
          <cell r="G3685" t="str">
            <v>Auto</v>
          </cell>
          <cell r="H3685">
            <v>311</v>
          </cell>
          <cell r="I3685">
            <v>2210</v>
          </cell>
          <cell r="J3685">
            <v>2220</v>
          </cell>
          <cell r="K3685" t="str">
            <v>VC01</v>
          </cell>
        </row>
        <row r="3686">
          <cell r="A3686" t="str">
            <v>1AP1LPHTS32SX2ZA</v>
          </cell>
          <cell r="B3686" t="str">
            <v>DIP</v>
          </cell>
          <cell r="C3686">
            <v>1</v>
          </cell>
          <cell r="D3686" t="e">
            <v>#N/A</v>
          </cell>
          <cell r="E3686">
            <v>2210</v>
          </cell>
          <cell r="F3686" t="str">
            <v>VC01</v>
          </cell>
          <cell r="G3686" t="str">
            <v>Auto</v>
          </cell>
          <cell r="H3686">
            <v>311</v>
          </cell>
          <cell r="I3686">
            <v>2210</v>
          </cell>
          <cell r="J3686">
            <v>2220</v>
          </cell>
          <cell r="K3686" t="str">
            <v>VC01</v>
          </cell>
        </row>
        <row r="3687">
          <cell r="A3687" t="str">
            <v>1VI1PSLP1515ZA</v>
          </cell>
          <cell r="B3687" t="str">
            <v>SMT</v>
          </cell>
          <cell r="C3687">
            <v>1</v>
          </cell>
          <cell r="D3687" t="e">
            <v>#N/A</v>
          </cell>
        </row>
        <row r="3688">
          <cell r="A3688" t="str">
            <v>1RE1PSLP1515ZA</v>
          </cell>
          <cell r="B3688" t="str">
            <v>SMT</v>
          </cell>
          <cell r="C3688">
            <v>1</v>
          </cell>
          <cell r="D3688">
            <v>47</v>
          </cell>
        </row>
        <row r="3689">
          <cell r="A3689" t="str">
            <v>1RE2PSLP1515ZA</v>
          </cell>
          <cell r="B3689" t="str">
            <v>SMT</v>
          </cell>
          <cell r="C3689">
            <v>1</v>
          </cell>
          <cell r="D3689">
            <v>475</v>
          </cell>
          <cell r="E3689">
            <v>2210</v>
          </cell>
          <cell r="F3689" t="str">
            <v>VC01</v>
          </cell>
          <cell r="G3689" t="str">
            <v>Auto</v>
          </cell>
          <cell r="H3689">
            <v>311</v>
          </cell>
          <cell r="I3689">
            <v>2210</v>
          </cell>
          <cell r="J3689">
            <v>2220</v>
          </cell>
          <cell r="K3689" t="str">
            <v>VC01</v>
          </cell>
        </row>
        <row r="3690">
          <cell r="A3690" t="str">
            <v>1RE1LPTDA6382SX2ZA</v>
          </cell>
          <cell r="B3690" t="str">
            <v>SMT</v>
          </cell>
          <cell r="C3690">
            <v>1</v>
          </cell>
          <cell r="D3690">
            <v>461</v>
          </cell>
        </row>
        <row r="3691">
          <cell r="A3691" t="str">
            <v>1RE2LPTDA6382SX2ZA</v>
          </cell>
          <cell r="B3691" t="str">
            <v>SMT</v>
          </cell>
          <cell r="C3691">
            <v>1</v>
          </cell>
          <cell r="D3691">
            <v>243</v>
          </cell>
          <cell r="E3691">
            <v>2210</v>
          </cell>
          <cell r="F3691" t="str">
            <v>VC01</v>
          </cell>
          <cell r="G3691" t="str">
            <v>Auto</v>
          </cell>
          <cell r="H3691">
            <v>311</v>
          </cell>
          <cell r="I3691">
            <v>2210</v>
          </cell>
          <cell r="J3691">
            <v>2310</v>
          </cell>
          <cell r="K3691" t="str">
            <v>VC01</v>
          </cell>
        </row>
        <row r="3692">
          <cell r="A3692" t="str">
            <v>1AP1LPTDA6382SX2ZA</v>
          </cell>
          <cell r="B3692" t="str">
            <v>DIP</v>
          </cell>
          <cell r="C3692">
            <v>1</v>
          </cell>
          <cell r="D3692" t="e">
            <v>#N/A</v>
          </cell>
          <cell r="E3692">
            <v>2210</v>
          </cell>
          <cell r="F3692" t="str">
            <v>VC01</v>
          </cell>
          <cell r="G3692" t="str">
            <v>Auto</v>
          </cell>
          <cell r="H3692">
            <v>311</v>
          </cell>
          <cell r="I3692">
            <v>2210</v>
          </cell>
          <cell r="J3692">
            <v>2310</v>
          </cell>
          <cell r="K3692" t="str">
            <v>VC01</v>
          </cell>
        </row>
        <row r="3693">
          <cell r="A3693" t="str">
            <v>1VJ1LPTDA6382SX1ZA</v>
          </cell>
          <cell r="B3693" t="str">
            <v>SMT</v>
          </cell>
          <cell r="C3693">
            <v>1</v>
          </cell>
          <cell r="D3693" t="e">
            <v>#N/A</v>
          </cell>
        </row>
        <row r="3694">
          <cell r="A3694" t="str">
            <v>1RE1LPTDA6382SX1ZA</v>
          </cell>
          <cell r="B3694" t="str">
            <v>SMT</v>
          </cell>
          <cell r="C3694">
            <v>1</v>
          </cell>
          <cell r="D3694">
            <v>362</v>
          </cell>
        </row>
        <row r="3695">
          <cell r="A3695" t="str">
            <v>1RE2LPTDA6382SX1ZA</v>
          </cell>
          <cell r="B3695" t="str">
            <v>SMT</v>
          </cell>
          <cell r="C3695">
            <v>1</v>
          </cell>
          <cell r="D3695">
            <v>606</v>
          </cell>
        </row>
        <row r="3696">
          <cell r="A3696" t="str">
            <v>1RH1LPTDA6382SX1ZA</v>
          </cell>
          <cell r="B3696" t="str">
            <v>SMT</v>
          </cell>
          <cell r="C3696">
            <v>1</v>
          </cell>
          <cell r="D3696">
            <v>25</v>
          </cell>
          <cell r="E3696">
            <v>2210</v>
          </cell>
          <cell r="F3696" t="str">
            <v>VC01</v>
          </cell>
          <cell r="G3696" t="str">
            <v>Auto</v>
          </cell>
          <cell r="H3696">
            <v>311</v>
          </cell>
          <cell r="I3696">
            <v>2210</v>
          </cell>
          <cell r="J3696">
            <v>2310</v>
          </cell>
          <cell r="K3696" t="str">
            <v>VC01</v>
          </cell>
        </row>
        <row r="3697">
          <cell r="A3697" t="str">
            <v>1AP1LPTDA6382SX1ZA</v>
          </cell>
          <cell r="B3697" t="str">
            <v>DIP</v>
          </cell>
          <cell r="C3697">
            <v>1</v>
          </cell>
          <cell r="D3697" t="e">
            <v>#N/A</v>
          </cell>
          <cell r="E3697">
            <v>2210</v>
          </cell>
          <cell r="F3697" t="str">
            <v>VC01</v>
          </cell>
          <cell r="G3697" t="str">
            <v>Auto</v>
          </cell>
          <cell r="H3697">
            <v>311</v>
          </cell>
          <cell r="I3697">
            <v>2210</v>
          </cell>
          <cell r="J3697">
            <v>2310</v>
          </cell>
          <cell r="K3697" t="str">
            <v>VC01</v>
          </cell>
        </row>
        <row r="3698">
          <cell r="A3698" t="str">
            <v>1AP1LPTGP700CE1-S2</v>
          </cell>
          <cell r="B3698" t="str">
            <v>DIP</v>
          </cell>
          <cell r="C3698">
            <v>1</v>
          </cell>
          <cell r="D3698" t="e">
            <v>#N/A</v>
          </cell>
          <cell r="E3698">
            <v>2210</v>
          </cell>
        </row>
        <row r="3699">
          <cell r="A3699" t="str">
            <v>1RE2LPTGP700CE1-S2</v>
          </cell>
          <cell r="B3699" t="str">
            <v>SMT</v>
          </cell>
          <cell r="C3699">
            <v>1</v>
          </cell>
          <cell r="D3699">
            <v>471</v>
          </cell>
        </row>
        <row r="3700">
          <cell r="A3700" t="str">
            <v>1RE1LPTGP700CE1-S2</v>
          </cell>
          <cell r="B3700" t="str">
            <v>SMT</v>
          </cell>
          <cell r="C3700">
            <v>1</v>
          </cell>
          <cell r="D3700">
            <v>274</v>
          </cell>
        </row>
        <row r="3701">
          <cell r="A3701" t="str">
            <v>1VI1LPTGP700CE1-S2</v>
          </cell>
          <cell r="B3701" t="str">
            <v>SMT</v>
          </cell>
          <cell r="C3701">
            <v>1</v>
          </cell>
          <cell r="D3701" t="e">
            <v>#N/A</v>
          </cell>
        </row>
        <row r="3702">
          <cell r="A3702" t="str">
            <v>1VJ1LPTGP700CE1-S2</v>
          </cell>
          <cell r="B3702" t="str">
            <v>SMT</v>
          </cell>
          <cell r="C3702">
            <v>1</v>
          </cell>
          <cell r="D3702" t="e">
            <v>#N/A</v>
          </cell>
        </row>
        <row r="3703">
          <cell r="A3703" t="str">
            <v>1VJ2LPTGP700CE1-S2</v>
          </cell>
          <cell r="B3703" t="str">
            <v>SMT</v>
          </cell>
          <cell r="C3703">
            <v>1</v>
          </cell>
          <cell r="D3703" t="e">
            <v>#N/A</v>
          </cell>
        </row>
        <row r="3704">
          <cell r="A3704" t="str">
            <v>1AP1LPTGP700M1-S2</v>
          </cell>
          <cell r="B3704" t="str">
            <v>DIP</v>
          </cell>
          <cell r="C3704">
            <v>1</v>
          </cell>
          <cell r="D3704" t="e">
            <v>#N/A</v>
          </cell>
          <cell r="E3704">
            <v>2210</v>
          </cell>
        </row>
        <row r="3705">
          <cell r="A3705" t="str">
            <v>1RE2LPTGP700M1-S2</v>
          </cell>
          <cell r="B3705" t="str">
            <v>SMT</v>
          </cell>
          <cell r="C3705">
            <v>1</v>
          </cell>
          <cell r="D3705">
            <v>471</v>
          </cell>
        </row>
        <row r="3706">
          <cell r="A3706" t="str">
            <v>1RE1LPTGP700M1-S2</v>
          </cell>
          <cell r="B3706" t="str">
            <v>SMT</v>
          </cell>
          <cell r="C3706">
            <v>1</v>
          </cell>
          <cell r="D3706">
            <v>274</v>
          </cell>
        </row>
        <row r="3707">
          <cell r="A3707" t="str">
            <v>1VI1LPTGP700M1-S2</v>
          </cell>
          <cell r="B3707" t="str">
            <v>SMT</v>
          </cell>
          <cell r="C3707">
            <v>1</v>
          </cell>
          <cell r="D3707" t="e">
            <v>#N/A</v>
          </cell>
        </row>
        <row r="3708">
          <cell r="A3708" t="str">
            <v>1VJ1LPTGP700M1-S2</v>
          </cell>
          <cell r="B3708" t="str">
            <v>SMT</v>
          </cell>
          <cell r="C3708">
            <v>1</v>
          </cell>
          <cell r="D3708" t="e">
            <v>#N/A</v>
          </cell>
        </row>
        <row r="3709">
          <cell r="A3709" t="str">
            <v>1VJ2LPTGP700M1-S2</v>
          </cell>
          <cell r="B3709" t="str">
            <v>SMT</v>
          </cell>
          <cell r="C3709">
            <v>1</v>
          </cell>
          <cell r="D3709" t="e">
            <v>#N/A</v>
          </cell>
        </row>
        <row r="3710">
          <cell r="A3710" t="str">
            <v>1AP1LPTPA70M1-S2</v>
          </cell>
          <cell r="B3710" t="str">
            <v>DIP</v>
          </cell>
          <cell r="C3710">
            <v>1</v>
          </cell>
          <cell r="D3710" t="e">
            <v>#N/A</v>
          </cell>
          <cell r="E3710">
            <v>2210</v>
          </cell>
        </row>
        <row r="3711">
          <cell r="A3711" t="str">
            <v>1RE2LPTPA70M1-S2</v>
          </cell>
          <cell r="B3711" t="str">
            <v>SMT</v>
          </cell>
          <cell r="C3711">
            <v>1</v>
          </cell>
          <cell r="D3711">
            <v>203</v>
          </cell>
        </row>
        <row r="3712">
          <cell r="A3712" t="str">
            <v>1RE1LPTPA70M1-S2</v>
          </cell>
          <cell r="B3712" t="str">
            <v>SMT</v>
          </cell>
          <cell r="C3712">
            <v>1</v>
          </cell>
          <cell r="D3712">
            <v>58</v>
          </cell>
        </row>
        <row r="3713">
          <cell r="A3713" t="str">
            <v>1VJ1LPTPA70M1-S2</v>
          </cell>
          <cell r="B3713" t="str">
            <v>SMT</v>
          </cell>
          <cell r="C3713">
            <v>1</v>
          </cell>
          <cell r="D3713" t="e">
            <v>#N/A</v>
          </cell>
        </row>
        <row r="3714">
          <cell r="A3714" t="str">
            <v>1AP1LPTPA70CE1-S2</v>
          </cell>
          <cell r="B3714" t="str">
            <v>DIP</v>
          </cell>
          <cell r="C3714">
            <v>1</v>
          </cell>
          <cell r="D3714" t="e">
            <v>#N/A</v>
          </cell>
          <cell r="E3714">
            <v>2210</v>
          </cell>
        </row>
        <row r="3715">
          <cell r="A3715" t="str">
            <v>1RE2LPTPA70CE1-S2</v>
          </cell>
          <cell r="B3715" t="str">
            <v>SMT</v>
          </cell>
          <cell r="C3715">
            <v>1</v>
          </cell>
          <cell r="D3715">
            <v>203</v>
          </cell>
        </row>
        <row r="3716">
          <cell r="A3716" t="str">
            <v>1RE1LPTPA70CE1-S2</v>
          </cell>
          <cell r="B3716" t="str">
            <v>SMT</v>
          </cell>
          <cell r="C3716">
            <v>1</v>
          </cell>
          <cell r="D3716">
            <v>58</v>
          </cell>
        </row>
        <row r="3717">
          <cell r="A3717" t="str">
            <v>1VJ1LPTPA70CE1-S2</v>
          </cell>
          <cell r="B3717" t="str">
            <v>SMT</v>
          </cell>
          <cell r="C3717">
            <v>1</v>
          </cell>
          <cell r="D3717" t="e">
            <v>#N/A</v>
          </cell>
        </row>
        <row r="3718">
          <cell r="A3718" t="str">
            <v>1AP1LPTPA73M1-S2</v>
          </cell>
          <cell r="B3718" t="str">
            <v>DIP</v>
          </cell>
          <cell r="C3718">
            <v>1</v>
          </cell>
          <cell r="D3718" t="e">
            <v>#N/A</v>
          </cell>
          <cell r="E3718">
            <v>2210</v>
          </cell>
        </row>
        <row r="3719">
          <cell r="A3719" t="str">
            <v>1RE2LPTPA73M1-S2</v>
          </cell>
          <cell r="B3719" t="str">
            <v>SMT</v>
          </cell>
          <cell r="C3719">
            <v>1</v>
          </cell>
          <cell r="D3719">
            <v>275</v>
          </cell>
        </row>
        <row r="3720">
          <cell r="A3720" t="str">
            <v>1RE1LPTPA73M1-S2</v>
          </cell>
          <cell r="B3720" t="str">
            <v>SMT</v>
          </cell>
          <cell r="C3720">
            <v>1</v>
          </cell>
          <cell r="D3720">
            <v>35</v>
          </cell>
        </row>
        <row r="3721">
          <cell r="A3721" t="str">
            <v>1VJ1LPTPA73M1-S2</v>
          </cell>
          <cell r="B3721" t="str">
            <v>SMT</v>
          </cell>
          <cell r="C3721">
            <v>1</v>
          </cell>
          <cell r="D3721" t="e">
            <v>#N/A</v>
          </cell>
        </row>
        <row r="3722">
          <cell r="A3722" t="str">
            <v>1AP1LPTPA73CE1-S2</v>
          </cell>
          <cell r="B3722" t="str">
            <v>DIP</v>
          </cell>
          <cell r="C3722">
            <v>1</v>
          </cell>
          <cell r="D3722" t="e">
            <v>#N/A</v>
          </cell>
          <cell r="E3722">
            <v>2210</v>
          </cell>
        </row>
        <row r="3723">
          <cell r="A3723" t="str">
            <v>1RE2LPTPA73CE1-S2</v>
          </cell>
          <cell r="B3723" t="str">
            <v>SMT</v>
          </cell>
          <cell r="C3723">
            <v>1</v>
          </cell>
          <cell r="D3723">
            <v>275</v>
          </cell>
        </row>
        <row r="3724">
          <cell r="A3724" t="str">
            <v>1RE1LPTPA73CE1-S2</v>
          </cell>
          <cell r="B3724" t="str">
            <v>SMT</v>
          </cell>
          <cell r="C3724">
            <v>1</v>
          </cell>
          <cell r="D3724">
            <v>35</v>
          </cell>
        </row>
        <row r="3725">
          <cell r="A3725" t="str">
            <v>1VJ1LPTPA73CE1-S2</v>
          </cell>
          <cell r="B3725" t="str">
            <v>SMT</v>
          </cell>
          <cell r="C3725">
            <v>1</v>
          </cell>
          <cell r="D3725" t="e">
            <v>#N/A</v>
          </cell>
        </row>
        <row r="3726">
          <cell r="A3726" t="str">
            <v>1AP1LPA407M1-G3</v>
          </cell>
          <cell r="B3726" t="str">
            <v>DIP</v>
          </cell>
          <cell r="C3726">
            <v>1</v>
          </cell>
          <cell r="D3726" t="e">
            <v>#N/A</v>
          </cell>
          <cell r="E3726">
            <v>2210</v>
          </cell>
        </row>
        <row r="3727">
          <cell r="A3727" t="str">
            <v>1RE2LPA407M1-G3</v>
          </cell>
          <cell r="B3727" t="str">
            <v>SMT</v>
          </cell>
          <cell r="C3727">
            <v>1</v>
          </cell>
          <cell r="D3727">
            <v>244</v>
          </cell>
        </row>
        <row r="3728">
          <cell r="A3728" t="str">
            <v>1RE1LPA407M1-G3</v>
          </cell>
          <cell r="B3728" t="str">
            <v>SMT</v>
          </cell>
          <cell r="C3728">
            <v>1</v>
          </cell>
          <cell r="D3728">
            <v>172</v>
          </cell>
        </row>
        <row r="3729">
          <cell r="A3729" t="str">
            <v>1RE1XA1005UA/AS-S2</v>
          </cell>
          <cell r="B3729" t="str">
            <v>SMT</v>
          </cell>
          <cell r="C3729">
            <v>1</v>
          </cell>
          <cell r="D3729">
            <v>30</v>
          </cell>
        </row>
        <row r="3730">
          <cell r="A3730" t="str">
            <v>PNXA1005UA/AS-S2</v>
          </cell>
          <cell r="B3730" t="str">
            <v>SMT</v>
          </cell>
          <cell r="C3730">
            <v>1</v>
          </cell>
          <cell r="D3730">
            <v>0</v>
          </cell>
        </row>
        <row r="3731">
          <cell r="A3731" t="str">
            <v>1VJ2LPTPA65LCRZA</v>
          </cell>
          <cell r="B3731" t="str">
            <v>SMT</v>
          </cell>
          <cell r="C3731">
            <v>1</v>
          </cell>
          <cell r="D3731" t="e">
            <v>#N/A</v>
          </cell>
        </row>
        <row r="3732">
          <cell r="A3732" t="str">
            <v>1VJ1LPTPA65LCRZA</v>
          </cell>
          <cell r="B3732" t="str">
            <v>SMT</v>
          </cell>
          <cell r="C3732">
            <v>1</v>
          </cell>
          <cell r="D3732" t="e">
            <v>#N/A</v>
          </cell>
        </row>
        <row r="3733">
          <cell r="A3733" t="str">
            <v>1RE1LPTPA65LCRZA</v>
          </cell>
          <cell r="B3733" t="str">
            <v>SMT</v>
          </cell>
          <cell r="C3733">
            <v>1</v>
          </cell>
          <cell r="D3733">
            <v>45</v>
          </cell>
        </row>
        <row r="3734">
          <cell r="A3734" t="str">
            <v>1RE2LPTPA65LCRZA</v>
          </cell>
          <cell r="B3734" t="str">
            <v>SMT</v>
          </cell>
          <cell r="C3734">
            <v>1</v>
          </cell>
          <cell r="D3734">
            <v>221</v>
          </cell>
          <cell r="E3734">
            <v>2210</v>
          </cell>
          <cell r="F3734" t="str">
            <v>VC01</v>
          </cell>
          <cell r="G3734" t="str">
            <v>Auto</v>
          </cell>
          <cell r="H3734">
            <v>311</v>
          </cell>
          <cell r="I3734">
            <v>2210</v>
          </cell>
          <cell r="J3734">
            <v>2220</v>
          </cell>
          <cell r="K3734" t="str">
            <v>VC01</v>
          </cell>
        </row>
        <row r="3735">
          <cell r="A3735" t="str">
            <v>1RE1TE82492XV4</v>
          </cell>
          <cell r="B3735" t="str">
            <v>SMT</v>
          </cell>
          <cell r="C3735">
            <v>1</v>
          </cell>
          <cell r="D3735">
            <v>99</v>
          </cell>
        </row>
        <row r="3736">
          <cell r="A3736" t="str">
            <v>1RE2TE82492XV4</v>
          </cell>
          <cell r="B3736" t="str">
            <v>SMT</v>
          </cell>
          <cell r="C3736">
            <v>1</v>
          </cell>
          <cell r="D3736">
            <v>56</v>
          </cell>
          <cell r="E3736">
            <v>2210</v>
          </cell>
          <cell r="F3736" t="str">
            <v>VC01</v>
          </cell>
          <cell r="G3736" t="str">
            <v>Auto</v>
          </cell>
          <cell r="H3736">
            <v>311</v>
          </cell>
          <cell r="I3736">
            <v>2210</v>
          </cell>
          <cell r="J3736">
            <v>2310</v>
          </cell>
          <cell r="K3736" t="str">
            <v>VC01</v>
          </cell>
        </row>
        <row r="3737">
          <cell r="A3737" t="str">
            <v>1RE1LC1090ZAS3</v>
          </cell>
          <cell r="B3737" t="str">
            <v>SMT</v>
          </cell>
          <cell r="C3737">
            <v>1</v>
          </cell>
          <cell r="D3737">
            <v>3</v>
          </cell>
        </row>
        <row r="3738">
          <cell r="A3738" t="str">
            <v>1AP1LC1090ZAS3</v>
          </cell>
          <cell r="B3738" t="str">
            <v>DIP</v>
          </cell>
          <cell r="C3738">
            <v>1</v>
          </cell>
          <cell r="D3738" t="e">
            <v>#N/A</v>
          </cell>
          <cell r="E3738">
            <v>2210</v>
          </cell>
        </row>
        <row r="3739">
          <cell r="A3739" t="str">
            <v>1AP1TDA1180SX</v>
          </cell>
          <cell r="B3739" t="str">
            <v>DIP</v>
          </cell>
          <cell r="C3739">
            <v>1</v>
          </cell>
          <cell r="D3739" t="e">
            <v>#N/A</v>
          </cell>
          <cell r="E3739">
            <v>2210</v>
          </cell>
          <cell r="F3739" t="str">
            <v>VC01</v>
          </cell>
          <cell r="G3739" t="str">
            <v>Auto</v>
          </cell>
          <cell r="H3739">
            <v>311</v>
          </cell>
          <cell r="I3739">
            <v>2210</v>
          </cell>
          <cell r="J3739">
            <v>2310</v>
          </cell>
          <cell r="K3739" t="str">
            <v>VC01</v>
          </cell>
        </row>
        <row r="3740">
          <cell r="A3740" t="str">
            <v>1RH1TDA1180SX</v>
          </cell>
          <cell r="B3740" t="str">
            <v>SMT</v>
          </cell>
          <cell r="C3740">
            <v>1</v>
          </cell>
          <cell r="D3740">
            <v>17</v>
          </cell>
          <cell r="E3740">
            <v>2210</v>
          </cell>
          <cell r="F3740" t="str">
            <v>VC01</v>
          </cell>
          <cell r="G3740" t="str">
            <v>Auto</v>
          </cell>
          <cell r="H3740">
            <v>311</v>
          </cell>
          <cell r="I3740">
            <v>2210</v>
          </cell>
          <cell r="J3740">
            <v>2310</v>
          </cell>
          <cell r="K3740" t="str">
            <v>VC01</v>
          </cell>
        </row>
        <row r="3741">
          <cell r="A3741" t="str">
            <v>1RE2TDA1180SX</v>
          </cell>
          <cell r="B3741" t="str">
            <v>SMT</v>
          </cell>
          <cell r="C3741">
            <v>1</v>
          </cell>
          <cell r="D3741">
            <v>538</v>
          </cell>
        </row>
        <row r="3742">
          <cell r="A3742" t="str">
            <v>1RE1TDA1180SX</v>
          </cell>
          <cell r="B3742" t="str">
            <v>SMT</v>
          </cell>
          <cell r="C3742">
            <v>1</v>
          </cell>
          <cell r="D3742">
            <v>290</v>
          </cell>
        </row>
        <row r="3743">
          <cell r="A3743" t="str">
            <v>1RE2LPA407M1-S1</v>
          </cell>
          <cell r="B3743" t="str">
            <v>SMT</v>
          </cell>
          <cell r="C3743">
            <v>1</v>
          </cell>
          <cell r="D3743">
            <v>242</v>
          </cell>
        </row>
        <row r="3744">
          <cell r="A3744" t="str">
            <v>1VI1LPA407M1-S1</v>
          </cell>
          <cell r="B3744" t="str">
            <v>SMT</v>
          </cell>
          <cell r="C3744">
            <v>1</v>
          </cell>
          <cell r="D3744" t="e">
            <v>#N/A</v>
          </cell>
        </row>
        <row r="3745">
          <cell r="A3745" t="str">
            <v>1VJ2LPA407M1-S1</v>
          </cell>
          <cell r="B3745" t="str">
            <v>SMT</v>
          </cell>
          <cell r="C3745">
            <v>1</v>
          </cell>
          <cell r="D3745" t="e">
            <v>#N/A</v>
          </cell>
        </row>
        <row r="3746">
          <cell r="A3746" t="str">
            <v>1RE1LPA407M1-S1</v>
          </cell>
          <cell r="B3746" t="str">
            <v>SMT</v>
          </cell>
          <cell r="C3746">
            <v>1</v>
          </cell>
          <cell r="D3746">
            <v>172</v>
          </cell>
        </row>
        <row r="3747">
          <cell r="A3747" t="str">
            <v>PNLB2816ZA-YY-S2</v>
          </cell>
          <cell r="B3747" t="str">
            <v>SMT</v>
          </cell>
          <cell r="C3747">
            <v>1</v>
          </cell>
          <cell r="D3747" t="e">
            <v>#N/A</v>
          </cell>
        </row>
        <row r="3748">
          <cell r="A3748" t="str">
            <v>1RE2LPA407CE1-S1</v>
          </cell>
          <cell r="B3748" t="str">
            <v>SMT</v>
          </cell>
          <cell r="C3748">
            <v>1</v>
          </cell>
          <cell r="D3748">
            <v>241</v>
          </cell>
        </row>
        <row r="3749">
          <cell r="A3749" t="str">
            <v>1VI1LPA407CE1-S1</v>
          </cell>
          <cell r="B3749" t="str">
            <v>SMT</v>
          </cell>
          <cell r="C3749">
            <v>1</v>
          </cell>
          <cell r="D3749" t="e">
            <v>#N/A</v>
          </cell>
        </row>
        <row r="3750">
          <cell r="A3750" t="str">
            <v>1VJ2LPA407CE1-S1</v>
          </cell>
          <cell r="B3750" t="str">
            <v>SMT</v>
          </cell>
          <cell r="C3750">
            <v>1</v>
          </cell>
          <cell r="D3750" t="e">
            <v>#N/A</v>
          </cell>
        </row>
        <row r="3751">
          <cell r="A3751" t="str">
            <v>1RE1LPA407CE1-S1</v>
          </cell>
          <cell r="B3751" t="str">
            <v>SMT</v>
          </cell>
          <cell r="C3751">
            <v>1</v>
          </cell>
          <cell r="D3751">
            <v>171</v>
          </cell>
        </row>
        <row r="3752">
          <cell r="A3752" t="str">
            <v>1VJ2LPTPA68A03R-R1</v>
          </cell>
          <cell r="B3752" t="str">
            <v>SMT</v>
          </cell>
          <cell r="C3752">
            <v>1</v>
          </cell>
          <cell r="D3752" t="e">
            <v>#N/A</v>
          </cell>
        </row>
        <row r="3753">
          <cell r="A3753" t="str">
            <v>1VJ1LPTPA68A03R-R1</v>
          </cell>
          <cell r="B3753" t="str">
            <v>SMT</v>
          </cell>
          <cell r="C3753">
            <v>1</v>
          </cell>
          <cell r="D3753" t="e">
            <v>#N/A</v>
          </cell>
        </row>
        <row r="3754">
          <cell r="A3754" t="str">
            <v>1RE1LPTPA68A03R-R1</v>
          </cell>
          <cell r="B3754" t="str">
            <v>SMT</v>
          </cell>
          <cell r="C3754">
            <v>1</v>
          </cell>
          <cell r="D3754">
            <v>118</v>
          </cell>
        </row>
        <row r="3755">
          <cell r="A3755" t="str">
            <v>1RE2LPTPA68A03R-R1</v>
          </cell>
          <cell r="B3755" t="str">
            <v>SMT</v>
          </cell>
          <cell r="C3755">
            <v>1</v>
          </cell>
          <cell r="D3755">
            <v>484</v>
          </cell>
        </row>
        <row r="3756">
          <cell r="A3756" t="str">
            <v>1VJ2LPTPA68A03RZA</v>
          </cell>
          <cell r="B3756" t="str">
            <v>SMT</v>
          </cell>
          <cell r="C3756">
            <v>1</v>
          </cell>
          <cell r="D3756" t="e">
            <v>#N/A</v>
          </cell>
        </row>
        <row r="3757">
          <cell r="A3757" t="str">
            <v>1VJ1LPTPA68A03RZA</v>
          </cell>
          <cell r="B3757" t="str">
            <v>SMT</v>
          </cell>
          <cell r="C3757">
            <v>1</v>
          </cell>
          <cell r="D3757" t="e">
            <v>#N/A</v>
          </cell>
        </row>
        <row r="3758">
          <cell r="A3758" t="str">
            <v>1RE1LPTPA68A03RZA</v>
          </cell>
          <cell r="B3758" t="str">
            <v>SMT</v>
          </cell>
          <cell r="C3758">
            <v>1</v>
          </cell>
          <cell r="D3758">
            <v>118</v>
          </cell>
        </row>
        <row r="3759">
          <cell r="A3759" t="str">
            <v>1RE2LPTPA68A03RZA</v>
          </cell>
          <cell r="B3759" t="str">
            <v>SMT</v>
          </cell>
          <cell r="C3759">
            <v>1</v>
          </cell>
          <cell r="D3759">
            <v>482</v>
          </cell>
          <cell r="E3759">
            <v>2210</v>
          </cell>
          <cell r="F3759" t="str">
            <v>VC01</v>
          </cell>
          <cell r="G3759" t="str">
            <v>Auto</v>
          </cell>
          <cell r="H3759">
            <v>311</v>
          </cell>
          <cell r="I3759">
            <v>2210</v>
          </cell>
          <cell r="J3759">
            <v>2220</v>
          </cell>
          <cell r="K3759" t="str">
            <v>VC01</v>
          </cell>
        </row>
        <row r="3760">
          <cell r="A3760" t="str">
            <v>PNLB2887ZA-YY-G1</v>
          </cell>
          <cell r="B3760" t="str">
            <v>SMT</v>
          </cell>
          <cell r="C3760">
            <v>1</v>
          </cell>
          <cell r="D3760" t="e">
            <v>#N/A</v>
          </cell>
        </row>
        <row r="3761">
          <cell r="A3761" t="str">
            <v>1RE1LPDT680CE1-G1</v>
          </cell>
          <cell r="B3761" t="str">
            <v>SMT</v>
          </cell>
          <cell r="C3761">
            <v>1</v>
          </cell>
          <cell r="D3761">
            <v>263</v>
          </cell>
        </row>
        <row r="3762">
          <cell r="A3762" t="str">
            <v>1RE2LPDT680CE1-G1</v>
          </cell>
          <cell r="B3762" t="str">
            <v>SMT</v>
          </cell>
          <cell r="C3762">
            <v>1</v>
          </cell>
          <cell r="D3762">
            <v>409</v>
          </cell>
        </row>
        <row r="3763">
          <cell r="A3763" t="str">
            <v>1VJ1DPLB1160</v>
          </cell>
          <cell r="B3763" t="str">
            <v>SMT</v>
          </cell>
          <cell r="C3763">
            <v>1</v>
          </cell>
          <cell r="D3763" t="e">
            <v>#N/A</v>
          </cell>
        </row>
        <row r="3764">
          <cell r="A3764" t="str">
            <v>1VJ2DPLB1160</v>
          </cell>
          <cell r="B3764" t="str">
            <v>SMT</v>
          </cell>
          <cell r="C3764">
            <v>1</v>
          </cell>
          <cell r="D3764" t="e">
            <v>#N/A</v>
          </cell>
        </row>
        <row r="3765">
          <cell r="A3765" t="str">
            <v>DPLB1160ZB/X1</v>
          </cell>
          <cell r="B3765" t="str">
            <v>SMT</v>
          </cell>
          <cell r="C3765">
            <v>1</v>
          </cell>
          <cell r="D3765" t="e">
            <v>#N/A</v>
          </cell>
        </row>
        <row r="3766">
          <cell r="A3766" t="str">
            <v>1RE1DPLB1160</v>
          </cell>
          <cell r="B3766" t="str">
            <v>SMT</v>
          </cell>
          <cell r="C3766">
            <v>1</v>
          </cell>
          <cell r="D3766" t="e">
            <v>#N/A</v>
          </cell>
        </row>
        <row r="3767">
          <cell r="A3767" t="str">
            <v>3RE1DPLB1163</v>
          </cell>
          <cell r="B3767" t="str">
            <v>SMT</v>
          </cell>
          <cell r="C3767">
            <v>1</v>
          </cell>
          <cell r="D3767" t="e">
            <v>#N/A</v>
          </cell>
        </row>
        <row r="3768">
          <cell r="A3768" t="str">
            <v>DPLB1163ZA/X1</v>
          </cell>
          <cell r="B3768" t="str">
            <v>SMT</v>
          </cell>
          <cell r="C3768">
            <v>1</v>
          </cell>
          <cell r="D3768" t="e">
            <v>#N/A</v>
          </cell>
        </row>
        <row r="3769">
          <cell r="A3769" t="str">
            <v>2VJ1DPLB1162</v>
          </cell>
          <cell r="B3769" t="str">
            <v>SMT</v>
          </cell>
          <cell r="C3769">
            <v>1</v>
          </cell>
          <cell r="D3769" t="e">
            <v>#N/A</v>
          </cell>
        </row>
        <row r="3770">
          <cell r="A3770" t="str">
            <v>2VJ2DPLB1162</v>
          </cell>
          <cell r="B3770" t="str">
            <v>SMT</v>
          </cell>
          <cell r="C3770">
            <v>1</v>
          </cell>
          <cell r="D3770" t="e">
            <v>#N/A</v>
          </cell>
        </row>
        <row r="3771">
          <cell r="A3771" t="str">
            <v>DPLB1162ZB/X1</v>
          </cell>
          <cell r="B3771" t="str">
            <v>SMT</v>
          </cell>
          <cell r="C3771">
            <v>1</v>
          </cell>
          <cell r="D3771" t="e">
            <v>#N/A</v>
          </cell>
        </row>
        <row r="3772">
          <cell r="A3772" t="str">
            <v>2RE1DPLB1162</v>
          </cell>
          <cell r="B3772" t="str">
            <v>SMT</v>
          </cell>
          <cell r="C3772">
            <v>1</v>
          </cell>
          <cell r="D3772" t="e">
            <v>#N/A</v>
          </cell>
        </row>
        <row r="3773">
          <cell r="A3773" t="str">
            <v>HRH1DPLB1177</v>
          </cell>
          <cell r="B3773" t="str">
            <v>SMT</v>
          </cell>
          <cell r="C3773">
            <v>1</v>
          </cell>
          <cell r="D3773" t="e">
            <v>#N/A</v>
          </cell>
        </row>
        <row r="3774">
          <cell r="A3774" t="str">
            <v>DPLB1177ZB/X1</v>
          </cell>
          <cell r="B3774" t="str">
            <v>SMT</v>
          </cell>
          <cell r="C3774">
            <v>1</v>
          </cell>
          <cell r="D3774" t="e">
            <v>#N/A</v>
          </cell>
        </row>
        <row r="3775">
          <cell r="A3775" t="str">
            <v>FVJ1DPLB1175</v>
          </cell>
          <cell r="B3775" t="str">
            <v>SMT</v>
          </cell>
          <cell r="C3775">
            <v>1</v>
          </cell>
          <cell r="D3775" t="e">
            <v>#N/A</v>
          </cell>
        </row>
        <row r="3776">
          <cell r="A3776" t="str">
            <v>DPLB1175ZA/X1</v>
          </cell>
          <cell r="B3776" t="str">
            <v>SMT</v>
          </cell>
          <cell r="C3776">
            <v>1</v>
          </cell>
          <cell r="D3776" t="e">
            <v>#N/A</v>
          </cell>
        </row>
        <row r="3777">
          <cell r="A3777" t="str">
            <v>FRE1DPLB1175</v>
          </cell>
          <cell r="B3777" t="str">
            <v>SMT</v>
          </cell>
          <cell r="C3777">
            <v>1</v>
          </cell>
          <cell r="D3777" t="e">
            <v>#N/A</v>
          </cell>
        </row>
        <row r="3778">
          <cell r="A3778" t="str">
            <v>JAE1DPLB1179-7</v>
          </cell>
          <cell r="B3778" t="str">
            <v>SMT</v>
          </cell>
          <cell r="C3778">
            <v>1</v>
          </cell>
          <cell r="D3778">
            <v>0</v>
          </cell>
        </row>
        <row r="3779">
          <cell r="A3779" t="str">
            <v>9VI1DPLB1261</v>
          </cell>
          <cell r="B3779" t="str">
            <v>SMT</v>
          </cell>
          <cell r="C3779">
            <v>1</v>
          </cell>
          <cell r="D3779" t="e">
            <v>#N/A</v>
          </cell>
        </row>
        <row r="3780">
          <cell r="A3780" t="str">
            <v>DPLB1261ZA/X1</v>
          </cell>
          <cell r="B3780" t="str">
            <v>SMT</v>
          </cell>
          <cell r="C3780">
            <v>1</v>
          </cell>
          <cell r="D3780" t="e">
            <v>#N/A</v>
          </cell>
        </row>
        <row r="3781">
          <cell r="A3781" t="str">
            <v>9RE1DPLB1261</v>
          </cell>
          <cell r="B3781" t="str">
            <v>SMT</v>
          </cell>
          <cell r="C3781">
            <v>1</v>
          </cell>
          <cell r="D3781" t="e">
            <v>#N/A</v>
          </cell>
        </row>
        <row r="3782">
          <cell r="A3782" t="str">
            <v>ARH1DPLB1262</v>
          </cell>
          <cell r="B3782" t="str">
            <v>SMT</v>
          </cell>
          <cell r="C3782">
            <v>1</v>
          </cell>
          <cell r="D3782" t="e">
            <v>#N/A</v>
          </cell>
        </row>
        <row r="3783">
          <cell r="A3783" t="str">
            <v>DPLB1262ZA/X1</v>
          </cell>
          <cell r="B3783" t="str">
            <v>SMT</v>
          </cell>
          <cell r="C3783">
            <v>1</v>
          </cell>
          <cell r="D3783" t="e">
            <v>#N/A</v>
          </cell>
        </row>
        <row r="3784">
          <cell r="A3784" t="str">
            <v>1VI1DPLB1251AB</v>
          </cell>
          <cell r="B3784" t="str">
            <v>SMT</v>
          </cell>
          <cell r="C3784">
            <v>1</v>
          </cell>
          <cell r="D3784" t="e">
            <v>#N/A</v>
          </cell>
        </row>
        <row r="3785">
          <cell r="A3785" t="str">
            <v>1VI2DPLB1251AB</v>
          </cell>
          <cell r="B3785" t="str">
            <v>SMT</v>
          </cell>
          <cell r="C3785">
            <v>1</v>
          </cell>
          <cell r="D3785" t="e">
            <v>#N/A</v>
          </cell>
        </row>
        <row r="3786">
          <cell r="A3786" t="str">
            <v>1VJ3DPLB1251AB</v>
          </cell>
          <cell r="B3786" t="str">
            <v>SMT</v>
          </cell>
          <cell r="C3786">
            <v>1</v>
          </cell>
          <cell r="D3786" t="e">
            <v>#N/A</v>
          </cell>
        </row>
        <row r="3787">
          <cell r="A3787" t="str">
            <v>DPLB1251ZA/X1</v>
          </cell>
          <cell r="B3787" t="str">
            <v>SMT</v>
          </cell>
          <cell r="C3787">
            <v>1</v>
          </cell>
          <cell r="D3787" t="e">
            <v>#N/A</v>
          </cell>
        </row>
        <row r="3788">
          <cell r="A3788" t="str">
            <v>1RE1DPLB1251AB</v>
          </cell>
          <cell r="B3788" t="str">
            <v>SMT</v>
          </cell>
          <cell r="C3788">
            <v>1</v>
          </cell>
          <cell r="D3788" t="e">
            <v>#N/A</v>
          </cell>
        </row>
        <row r="3789">
          <cell r="A3789" t="str">
            <v>2RE1DPLB1253</v>
          </cell>
          <cell r="B3789" t="str">
            <v>SMT</v>
          </cell>
          <cell r="C3789">
            <v>1</v>
          </cell>
          <cell r="D3789" t="e">
            <v>#N/A</v>
          </cell>
        </row>
        <row r="3790">
          <cell r="A3790" t="str">
            <v>DPLB1253ZA/X1</v>
          </cell>
          <cell r="B3790" t="str">
            <v>SMT</v>
          </cell>
          <cell r="C3790">
            <v>1</v>
          </cell>
          <cell r="D3790" t="e">
            <v>#N/A</v>
          </cell>
        </row>
        <row r="3791">
          <cell r="A3791" t="str">
            <v>1RE1DPLB1161</v>
          </cell>
          <cell r="B3791" t="str">
            <v>SMT</v>
          </cell>
          <cell r="C3791">
            <v>1</v>
          </cell>
          <cell r="D3791" t="e">
            <v>#N/A</v>
          </cell>
        </row>
        <row r="3792">
          <cell r="A3792" t="str">
            <v>1VJ1DPLB1161</v>
          </cell>
          <cell r="B3792" t="str">
            <v>SMT</v>
          </cell>
          <cell r="C3792">
            <v>1</v>
          </cell>
          <cell r="D3792" t="e">
            <v>#N/A</v>
          </cell>
        </row>
        <row r="3793">
          <cell r="A3793" t="str">
            <v>1VJ2DPLB1161</v>
          </cell>
          <cell r="B3793" t="str">
            <v>SMT</v>
          </cell>
          <cell r="C3793">
            <v>1</v>
          </cell>
          <cell r="D3793" t="e">
            <v>#N/A</v>
          </cell>
        </row>
        <row r="3794">
          <cell r="A3794" t="str">
            <v>DPLB1161ZB/X1</v>
          </cell>
          <cell r="B3794" t="str">
            <v>SMT</v>
          </cell>
          <cell r="C3794">
            <v>1</v>
          </cell>
          <cell r="D3794" t="e">
            <v>#N/A</v>
          </cell>
        </row>
        <row r="3795">
          <cell r="A3795" t="str">
            <v>1RE1DPLB1161AB</v>
          </cell>
          <cell r="B3795" t="str">
            <v>SMT</v>
          </cell>
          <cell r="C3795">
            <v>1</v>
          </cell>
          <cell r="D3795" t="e">
            <v>#N/A</v>
          </cell>
        </row>
        <row r="3796">
          <cell r="A3796" t="str">
            <v>1VJ1DPLB1161AB</v>
          </cell>
          <cell r="B3796" t="str">
            <v>SMT</v>
          </cell>
          <cell r="C3796">
            <v>1</v>
          </cell>
          <cell r="D3796" t="e">
            <v>#N/A</v>
          </cell>
        </row>
        <row r="3797">
          <cell r="A3797" t="str">
            <v>1VJ2DPLB1161AB</v>
          </cell>
          <cell r="B3797" t="str">
            <v>SMT</v>
          </cell>
          <cell r="C3797">
            <v>1</v>
          </cell>
          <cell r="D3797" t="e">
            <v>#N/A</v>
          </cell>
        </row>
        <row r="3798">
          <cell r="A3798" t="str">
            <v>1RE1DPLB1214</v>
          </cell>
          <cell r="B3798" t="str">
            <v>SMT</v>
          </cell>
          <cell r="C3798">
            <v>1</v>
          </cell>
          <cell r="D3798" t="e">
            <v>#N/A</v>
          </cell>
        </row>
        <row r="3799">
          <cell r="A3799" t="str">
            <v>1VJ1DPLB1214</v>
          </cell>
          <cell r="B3799" t="str">
            <v>SMT</v>
          </cell>
          <cell r="C3799">
            <v>1</v>
          </cell>
          <cell r="D3799" t="e">
            <v>#N/A</v>
          </cell>
        </row>
        <row r="3800">
          <cell r="A3800" t="str">
            <v>DPLB1214ZA/X1</v>
          </cell>
          <cell r="B3800" t="str">
            <v>SMT</v>
          </cell>
          <cell r="C3800">
            <v>1</v>
          </cell>
          <cell r="D3800" t="e">
            <v>#N/A</v>
          </cell>
        </row>
        <row r="3801">
          <cell r="A3801" t="str">
            <v>1RE1DPLB1215</v>
          </cell>
          <cell r="B3801" t="str">
            <v>SMT</v>
          </cell>
          <cell r="C3801">
            <v>1</v>
          </cell>
          <cell r="D3801" t="e">
            <v>#N/A</v>
          </cell>
        </row>
        <row r="3802">
          <cell r="A3802" t="str">
            <v>1VI1DPLB1215</v>
          </cell>
          <cell r="B3802" t="str">
            <v>SMT</v>
          </cell>
          <cell r="C3802">
            <v>1</v>
          </cell>
          <cell r="D3802" t="e">
            <v>#N/A</v>
          </cell>
        </row>
        <row r="3803">
          <cell r="A3803" t="str">
            <v>1VI2DPLB1215</v>
          </cell>
          <cell r="B3803" t="str">
            <v>SMT</v>
          </cell>
          <cell r="C3803">
            <v>1</v>
          </cell>
          <cell r="D3803" t="e">
            <v>#N/A</v>
          </cell>
        </row>
        <row r="3804">
          <cell r="A3804" t="str">
            <v>DPLB1215ZA/X1</v>
          </cell>
          <cell r="B3804" t="str">
            <v>SMT</v>
          </cell>
          <cell r="C3804">
            <v>1</v>
          </cell>
          <cell r="D3804" t="e">
            <v>#N/A</v>
          </cell>
        </row>
        <row r="3805">
          <cell r="A3805" t="str">
            <v>1RE1DPLB1251</v>
          </cell>
          <cell r="B3805" t="str">
            <v>SMT</v>
          </cell>
          <cell r="C3805">
            <v>1</v>
          </cell>
          <cell r="D3805" t="e">
            <v>#N/A</v>
          </cell>
        </row>
        <row r="3806">
          <cell r="A3806" t="str">
            <v>1VI1DPLB1251</v>
          </cell>
          <cell r="B3806" t="str">
            <v>SMT</v>
          </cell>
          <cell r="C3806">
            <v>1</v>
          </cell>
          <cell r="D3806" t="e">
            <v>#N/A</v>
          </cell>
        </row>
        <row r="3807">
          <cell r="A3807" t="str">
            <v>1VI2DPLB1251</v>
          </cell>
          <cell r="B3807" t="str">
            <v>SMT</v>
          </cell>
          <cell r="C3807">
            <v>1</v>
          </cell>
          <cell r="D3807" t="e">
            <v>#N/A</v>
          </cell>
        </row>
        <row r="3808">
          <cell r="A3808" t="str">
            <v>1VJ3DPLB1251</v>
          </cell>
          <cell r="B3808" t="str">
            <v>SMT</v>
          </cell>
          <cell r="C3808">
            <v>1</v>
          </cell>
          <cell r="D3808" t="e">
            <v>#N/A</v>
          </cell>
        </row>
        <row r="3809">
          <cell r="A3809" t="str">
            <v>1RE1DPLB1251AC</v>
          </cell>
          <cell r="B3809" t="str">
            <v>SMT</v>
          </cell>
          <cell r="C3809">
            <v>1</v>
          </cell>
          <cell r="D3809" t="e">
            <v>#N/A</v>
          </cell>
        </row>
        <row r="3810">
          <cell r="A3810" t="str">
            <v>1VI1DPLB1251AC</v>
          </cell>
          <cell r="B3810" t="str">
            <v>SMT</v>
          </cell>
          <cell r="C3810">
            <v>1</v>
          </cell>
          <cell r="D3810" t="e">
            <v>#N/A</v>
          </cell>
        </row>
        <row r="3811">
          <cell r="A3811" t="str">
            <v>1VI2DPLB1251AC</v>
          </cell>
          <cell r="B3811" t="str">
            <v>SMT</v>
          </cell>
          <cell r="C3811">
            <v>1</v>
          </cell>
          <cell r="D3811" t="e">
            <v>#N/A</v>
          </cell>
        </row>
        <row r="3812">
          <cell r="A3812" t="str">
            <v>1RE1DPLB1252AB</v>
          </cell>
          <cell r="B3812" t="str">
            <v>SMT</v>
          </cell>
          <cell r="C3812">
            <v>1</v>
          </cell>
          <cell r="D3812" t="e">
            <v>#N/A</v>
          </cell>
        </row>
        <row r="3813">
          <cell r="A3813" t="str">
            <v>1VI1DPLB1252AB</v>
          </cell>
          <cell r="B3813" t="str">
            <v>SMT</v>
          </cell>
          <cell r="C3813">
            <v>1</v>
          </cell>
          <cell r="D3813" t="e">
            <v>#N/A</v>
          </cell>
        </row>
        <row r="3814">
          <cell r="A3814" t="str">
            <v>1VI2DPLB1252AB</v>
          </cell>
          <cell r="B3814" t="str">
            <v>SMT</v>
          </cell>
          <cell r="C3814">
            <v>1</v>
          </cell>
          <cell r="D3814" t="e">
            <v>#N/A</v>
          </cell>
        </row>
        <row r="3815">
          <cell r="A3815" t="str">
            <v>1VJ3DPLB1252AB</v>
          </cell>
          <cell r="B3815" t="str">
            <v>SMT</v>
          </cell>
          <cell r="C3815">
            <v>1</v>
          </cell>
          <cell r="D3815" t="e">
            <v>#N/A</v>
          </cell>
        </row>
        <row r="3816">
          <cell r="A3816" t="str">
            <v>DPLB1252ZA/X1</v>
          </cell>
          <cell r="B3816" t="str">
            <v>SMT</v>
          </cell>
          <cell r="C3816">
            <v>1</v>
          </cell>
          <cell r="D3816" t="e">
            <v>#N/A</v>
          </cell>
        </row>
        <row r="3817">
          <cell r="A3817" t="str">
            <v>1RE1PTRZ570WU</v>
          </cell>
          <cell r="B3817" t="str">
            <v>SMT</v>
          </cell>
          <cell r="C3817">
            <v>1</v>
          </cell>
          <cell r="D3817" t="e">
            <v>#N/A</v>
          </cell>
        </row>
        <row r="3818">
          <cell r="A3818" t="str">
            <v>1VI1PTRZ570WU</v>
          </cell>
          <cell r="B3818" t="str">
            <v>SMT</v>
          </cell>
          <cell r="C3818">
            <v>1</v>
          </cell>
          <cell r="D3818" t="e">
            <v>#N/A</v>
          </cell>
        </row>
        <row r="3819">
          <cell r="A3819" t="str">
            <v>1VJ1PTRZ570WU</v>
          </cell>
          <cell r="B3819" t="str">
            <v>SMT</v>
          </cell>
          <cell r="C3819">
            <v>1</v>
          </cell>
          <cell r="D3819" t="e">
            <v>#N/A</v>
          </cell>
        </row>
        <row r="3820">
          <cell r="A3820" t="str">
            <v>1VJ2PTRZ570WU</v>
          </cell>
          <cell r="B3820" t="str">
            <v>SMT</v>
          </cell>
          <cell r="C3820">
            <v>1</v>
          </cell>
          <cell r="D3820" t="e">
            <v>#N/A</v>
          </cell>
        </row>
        <row r="3821">
          <cell r="A3821" t="str">
            <v>1VJ3PTRZ570WU</v>
          </cell>
          <cell r="B3821" t="str">
            <v>SMT</v>
          </cell>
          <cell r="C3821">
            <v>1</v>
          </cell>
          <cell r="D3821" t="e">
            <v>#N/A</v>
          </cell>
        </row>
        <row r="3822">
          <cell r="A3822" t="str">
            <v>DPLB1027ZA/X1</v>
          </cell>
          <cell r="B3822" t="str">
            <v>SMT</v>
          </cell>
          <cell r="C3822">
            <v>1</v>
          </cell>
          <cell r="D3822" t="e">
            <v>#N/A</v>
          </cell>
        </row>
        <row r="3823">
          <cell r="A3823" t="str">
            <v>2RE1DPLB1162AB</v>
          </cell>
          <cell r="B3823" t="str">
            <v>SMT</v>
          </cell>
          <cell r="C3823">
            <v>1</v>
          </cell>
          <cell r="D3823" t="e">
            <v>#N/A</v>
          </cell>
        </row>
        <row r="3824">
          <cell r="A3824" t="str">
            <v>2VJ1DPLB1162AB</v>
          </cell>
          <cell r="B3824" t="str">
            <v>SMT</v>
          </cell>
          <cell r="C3824">
            <v>1</v>
          </cell>
          <cell r="D3824" t="e">
            <v>#N/A</v>
          </cell>
        </row>
        <row r="3825">
          <cell r="A3825" t="str">
            <v>2VJ2DPLB1162AB</v>
          </cell>
          <cell r="B3825" t="str">
            <v>SMT</v>
          </cell>
          <cell r="C3825">
            <v>1</v>
          </cell>
          <cell r="D3825" t="e">
            <v>#N/A</v>
          </cell>
        </row>
        <row r="3826">
          <cell r="A3826" t="str">
            <v>2RE2DPLB1081</v>
          </cell>
          <cell r="B3826" t="str">
            <v>SMT</v>
          </cell>
          <cell r="C3826">
            <v>1</v>
          </cell>
          <cell r="D3826" t="e">
            <v>#N/A</v>
          </cell>
        </row>
        <row r="3827">
          <cell r="A3827" t="str">
            <v>2RE1DPLB1081</v>
          </cell>
          <cell r="B3827" t="str">
            <v>SMT</v>
          </cell>
          <cell r="C3827">
            <v>1</v>
          </cell>
          <cell r="D3827" t="e">
            <v>#N/A</v>
          </cell>
        </row>
        <row r="3828">
          <cell r="A3828" t="str">
            <v>DPLB1081ZA/X1</v>
          </cell>
          <cell r="B3828" t="str">
            <v>SMT</v>
          </cell>
          <cell r="C3828">
            <v>1</v>
          </cell>
          <cell r="D3828" t="e">
            <v>#N/A</v>
          </cell>
        </row>
        <row r="3829">
          <cell r="A3829" t="str">
            <v>3RE1DPLB1237</v>
          </cell>
          <cell r="B3829" t="str">
            <v>SMT</v>
          </cell>
          <cell r="C3829">
            <v>1</v>
          </cell>
          <cell r="D3829" t="e">
            <v>#N/A</v>
          </cell>
        </row>
        <row r="3830">
          <cell r="A3830" t="str">
            <v>DPLB1237ZA/X1</v>
          </cell>
          <cell r="B3830" t="str">
            <v>SMT</v>
          </cell>
          <cell r="C3830">
            <v>1</v>
          </cell>
          <cell r="D3830" t="e">
            <v>#N/A</v>
          </cell>
        </row>
        <row r="3831">
          <cell r="A3831" t="str">
            <v>3RE1PTRZ570WU</v>
          </cell>
          <cell r="B3831" t="str">
            <v>SMT</v>
          </cell>
          <cell r="C3831">
            <v>1</v>
          </cell>
          <cell r="D3831" t="e">
            <v>#N/A</v>
          </cell>
        </row>
        <row r="3832">
          <cell r="A3832" t="str">
            <v>DPLB1029ZA/X1</v>
          </cell>
          <cell r="B3832" t="str">
            <v>SMT</v>
          </cell>
          <cell r="C3832">
            <v>1</v>
          </cell>
          <cell r="D3832" t="e">
            <v>#N/A</v>
          </cell>
        </row>
        <row r="3833">
          <cell r="A3833" t="str">
            <v>CRH1DPLB1090</v>
          </cell>
          <cell r="B3833" t="str">
            <v>SMT</v>
          </cell>
          <cell r="C3833">
            <v>1</v>
          </cell>
          <cell r="D3833" t="e">
            <v>#N/A</v>
          </cell>
        </row>
        <row r="3834">
          <cell r="A3834" t="str">
            <v>CRE1DPLB1090</v>
          </cell>
          <cell r="B3834" t="str">
            <v>SMT</v>
          </cell>
          <cell r="C3834">
            <v>1</v>
          </cell>
          <cell r="D3834" t="e">
            <v>#N/A</v>
          </cell>
        </row>
        <row r="3835">
          <cell r="A3835" t="str">
            <v>CVI1DPLB1090</v>
          </cell>
          <cell r="B3835" t="str">
            <v>SMT</v>
          </cell>
          <cell r="C3835">
            <v>1</v>
          </cell>
          <cell r="D3835" t="e">
            <v>#N/A</v>
          </cell>
        </row>
        <row r="3836">
          <cell r="A3836" t="str">
            <v>DPLB1090ZB/X1</v>
          </cell>
          <cell r="B3836" t="str">
            <v>SMT</v>
          </cell>
          <cell r="C3836">
            <v>1</v>
          </cell>
          <cell r="D3836" t="e">
            <v>#N/A</v>
          </cell>
        </row>
        <row r="3837">
          <cell r="A3837" t="str">
            <v>ERH1DPLB1092</v>
          </cell>
          <cell r="B3837" t="str">
            <v>SMT</v>
          </cell>
          <cell r="C3837">
            <v>1</v>
          </cell>
          <cell r="D3837" t="e">
            <v>#N/A</v>
          </cell>
        </row>
        <row r="3838">
          <cell r="A3838" t="str">
            <v>ERE1DPLB1092</v>
          </cell>
          <cell r="B3838" t="str">
            <v>SMT</v>
          </cell>
          <cell r="C3838">
            <v>1</v>
          </cell>
          <cell r="D3838" t="e">
            <v>#N/A</v>
          </cell>
        </row>
        <row r="3839">
          <cell r="A3839" t="str">
            <v>DPLB1092ZB/X1</v>
          </cell>
          <cell r="B3839" t="str">
            <v>SMT</v>
          </cell>
          <cell r="C3839">
            <v>1</v>
          </cell>
          <cell r="D3839" t="e">
            <v>#N/A</v>
          </cell>
        </row>
        <row r="3840">
          <cell r="A3840" t="str">
            <v>ERH1PTRZ570WU</v>
          </cell>
          <cell r="B3840" t="str">
            <v>SMT</v>
          </cell>
          <cell r="C3840">
            <v>1</v>
          </cell>
          <cell r="D3840" t="e">
            <v>#N/A</v>
          </cell>
        </row>
        <row r="3841">
          <cell r="A3841" t="str">
            <v>DPLB1039ZB/X1</v>
          </cell>
          <cell r="B3841" t="str">
            <v>SMT</v>
          </cell>
          <cell r="C3841">
            <v>1</v>
          </cell>
          <cell r="D3841" t="e">
            <v>#N/A</v>
          </cell>
        </row>
        <row r="3842">
          <cell r="A3842" t="str">
            <v>FRE1DPLB1175AB</v>
          </cell>
          <cell r="B3842" t="str">
            <v>SMT</v>
          </cell>
          <cell r="C3842">
            <v>1</v>
          </cell>
          <cell r="D3842" t="e">
            <v>#N/A</v>
          </cell>
        </row>
        <row r="3843">
          <cell r="A3843" t="str">
            <v>FVJ1DPLB1175AB</v>
          </cell>
          <cell r="B3843" t="str">
            <v>SMT</v>
          </cell>
          <cell r="C3843">
            <v>1</v>
          </cell>
          <cell r="D3843" t="e">
            <v>#N/A</v>
          </cell>
        </row>
        <row r="3844">
          <cell r="A3844" t="str">
            <v>HRE1PTRZ570WU-1</v>
          </cell>
          <cell r="B3844" t="str">
            <v>SMT</v>
          </cell>
          <cell r="C3844">
            <v>1</v>
          </cell>
          <cell r="D3844" t="e">
            <v>#N/A</v>
          </cell>
        </row>
        <row r="3845">
          <cell r="A3845" t="str">
            <v>HVJ1PTRZ570WU-1</v>
          </cell>
          <cell r="B3845" t="str">
            <v>SMT</v>
          </cell>
          <cell r="C3845">
            <v>1</v>
          </cell>
          <cell r="D3845" t="e">
            <v>#N/A</v>
          </cell>
        </row>
        <row r="3846">
          <cell r="A3846" t="str">
            <v>DPLB1042ZB/X1</v>
          </cell>
          <cell r="B3846" t="str">
            <v>SMT</v>
          </cell>
          <cell r="C3846">
            <v>1</v>
          </cell>
          <cell r="D3846" t="e">
            <v>#N/A</v>
          </cell>
        </row>
        <row r="3847">
          <cell r="A3847" t="str">
            <v>TP8NH1098AN</v>
          </cell>
          <cell r="B3847" t="str">
            <v>SMT</v>
          </cell>
          <cell r="C3847">
            <v>1</v>
          </cell>
          <cell r="D3847" t="e">
            <v>#N/A</v>
          </cell>
        </row>
        <row r="3848">
          <cell r="A3848" t="str">
            <v>1VI1TNPH1098AN</v>
          </cell>
          <cell r="B3848" t="str">
            <v>SMT</v>
          </cell>
          <cell r="C3848">
            <v>1</v>
          </cell>
          <cell r="D3848" t="e">
            <v>#N/A</v>
          </cell>
        </row>
        <row r="3849">
          <cell r="A3849" t="str">
            <v>TVRT699AA</v>
          </cell>
          <cell r="B3849" t="str">
            <v>SMT</v>
          </cell>
          <cell r="C3849">
            <v>1</v>
          </cell>
          <cell r="D3849" t="e">
            <v>#N/A</v>
          </cell>
        </row>
        <row r="3850">
          <cell r="A3850" t="str">
            <v>TNPH1098-1</v>
          </cell>
          <cell r="B3850" t="str">
            <v>SMT</v>
          </cell>
          <cell r="C3850">
            <v>1</v>
          </cell>
          <cell r="D3850" t="e">
            <v>#N/A</v>
          </cell>
        </row>
        <row r="3851">
          <cell r="A3851" t="str">
            <v>1RE2LPDT635CE1-G1</v>
          </cell>
          <cell r="B3851" t="str">
            <v>SMT</v>
          </cell>
          <cell r="C3851">
            <v>1</v>
          </cell>
          <cell r="D3851">
            <v>433</v>
          </cell>
          <cell r="E3851">
            <v>2210</v>
          </cell>
          <cell r="F3851" t="str">
            <v>VC01</v>
          </cell>
          <cell r="G3851" t="str">
            <v>Auto</v>
          </cell>
          <cell r="H3851">
            <v>311</v>
          </cell>
          <cell r="I3851">
            <v>2210</v>
          </cell>
          <cell r="J3851">
            <v>2220</v>
          </cell>
          <cell r="K3851" t="str">
            <v>VC01</v>
          </cell>
        </row>
        <row r="3852">
          <cell r="A3852" t="str">
            <v>1RE1LPDT635CE1-G1</v>
          </cell>
          <cell r="B3852" t="str">
            <v>SMT</v>
          </cell>
          <cell r="C3852">
            <v>1</v>
          </cell>
          <cell r="D3852">
            <v>82</v>
          </cell>
        </row>
        <row r="3853">
          <cell r="A3853" t="str">
            <v>PNLB2886ZA-YY-G1</v>
          </cell>
          <cell r="B3853" t="str">
            <v>SMT</v>
          </cell>
          <cell r="C3853">
            <v>1</v>
          </cell>
          <cell r="D3853" t="e">
            <v>#N/A</v>
          </cell>
        </row>
        <row r="3854">
          <cell r="A3854" t="str">
            <v>1AP1LPFG810RAMVA</v>
          </cell>
          <cell r="B3854" t="str">
            <v>DIP</v>
          </cell>
          <cell r="C3854">
            <v>1</v>
          </cell>
          <cell r="D3854" t="e">
            <v>#N/A</v>
          </cell>
          <cell r="E3854">
            <v>2210</v>
          </cell>
        </row>
        <row r="3855">
          <cell r="A3855" t="str">
            <v>1RH1LPFG810RAMVA</v>
          </cell>
          <cell r="B3855" t="str">
            <v>SMT</v>
          </cell>
          <cell r="C3855">
            <v>1</v>
          </cell>
          <cell r="D3855">
            <v>12</v>
          </cell>
        </row>
        <row r="3856">
          <cell r="A3856" t="str">
            <v>1RE2LPFG810RAMVA</v>
          </cell>
          <cell r="B3856" t="str">
            <v>SMT</v>
          </cell>
          <cell r="C3856">
            <v>1</v>
          </cell>
          <cell r="D3856">
            <v>302</v>
          </cell>
        </row>
        <row r="3857">
          <cell r="A3857" t="str">
            <v>1RE1LPFG810RAMVA</v>
          </cell>
          <cell r="B3857" t="str">
            <v>SMT</v>
          </cell>
          <cell r="C3857">
            <v>1</v>
          </cell>
          <cell r="D3857">
            <v>222</v>
          </cell>
        </row>
        <row r="3858">
          <cell r="A3858" t="str">
            <v>1VI1LPFG810RAMVA</v>
          </cell>
          <cell r="B3858" t="str">
            <v>SMT</v>
          </cell>
          <cell r="C3858">
            <v>1</v>
          </cell>
          <cell r="D3858" t="e">
            <v>#N/A</v>
          </cell>
        </row>
        <row r="3859">
          <cell r="A3859" t="str">
            <v>1AP1LPFG810RDMVA</v>
          </cell>
          <cell r="B3859" t="str">
            <v>DIP</v>
          </cell>
          <cell r="C3859">
            <v>1</v>
          </cell>
          <cell r="D3859" t="e">
            <v>#N/A</v>
          </cell>
          <cell r="E3859">
            <v>2210</v>
          </cell>
        </row>
        <row r="3860">
          <cell r="A3860" t="str">
            <v>1RH1LPFG810RDMVA</v>
          </cell>
          <cell r="B3860" t="str">
            <v>SMT</v>
          </cell>
          <cell r="C3860">
            <v>1</v>
          </cell>
          <cell r="D3860">
            <v>10</v>
          </cell>
        </row>
        <row r="3861">
          <cell r="A3861" t="str">
            <v>1RE2LPFG810RDMVA</v>
          </cell>
          <cell r="B3861" t="str">
            <v>SMT</v>
          </cell>
          <cell r="C3861">
            <v>1</v>
          </cell>
          <cell r="D3861">
            <v>257</v>
          </cell>
        </row>
        <row r="3862">
          <cell r="A3862" t="str">
            <v>1RE1LPFG810RDMVA</v>
          </cell>
          <cell r="B3862" t="str">
            <v>SMT</v>
          </cell>
          <cell r="C3862">
            <v>1</v>
          </cell>
          <cell r="D3862">
            <v>220</v>
          </cell>
        </row>
        <row r="3863">
          <cell r="A3863" t="str">
            <v>1VI1LPFG810RDMVA</v>
          </cell>
          <cell r="B3863" t="str">
            <v>SMT</v>
          </cell>
          <cell r="C3863">
            <v>1</v>
          </cell>
          <cell r="D3863" t="e">
            <v>#N/A</v>
          </cell>
        </row>
        <row r="3864">
          <cell r="A3864" t="str">
            <v>1AP1LPFG810REMVA</v>
          </cell>
          <cell r="B3864" t="str">
            <v>DIP</v>
          </cell>
          <cell r="C3864">
            <v>1</v>
          </cell>
          <cell r="D3864" t="e">
            <v>#N/A</v>
          </cell>
          <cell r="E3864">
            <v>2210</v>
          </cell>
        </row>
        <row r="3865">
          <cell r="A3865" t="str">
            <v>1RH1LPFG810REMVA</v>
          </cell>
          <cell r="B3865" t="str">
            <v>SMT</v>
          </cell>
          <cell r="C3865">
            <v>1</v>
          </cell>
          <cell r="D3865">
            <v>9</v>
          </cell>
        </row>
        <row r="3866">
          <cell r="A3866" t="str">
            <v>1RE2LPFG810REMVA</v>
          </cell>
          <cell r="B3866" t="str">
            <v>SMT</v>
          </cell>
          <cell r="C3866">
            <v>1</v>
          </cell>
          <cell r="D3866">
            <v>255</v>
          </cell>
        </row>
        <row r="3867">
          <cell r="A3867" t="str">
            <v>1RE1LPFG810REMVA</v>
          </cell>
          <cell r="B3867" t="str">
            <v>SMT</v>
          </cell>
          <cell r="C3867">
            <v>1</v>
          </cell>
          <cell r="D3867">
            <v>220</v>
          </cell>
        </row>
        <row r="3868">
          <cell r="A3868" t="str">
            <v>1VI1LPFG810REMVA</v>
          </cell>
          <cell r="B3868" t="str">
            <v>SMT</v>
          </cell>
          <cell r="C3868">
            <v>1</v>
          </cell>
          <cell r="D3868" t="e">
            <v>#N/A</v>
          </cell>
        </row>
        <row r="3869">
          <cell r="A3869" t="str">
            <v>1RE1DPLB1214AB</v>
          </cell>
          <cell r="B3869" t="str">
            <v>SMT</v>
          </cell>
          <cell r="C3869">
            <v>1</v>
          </cell>
          <cell r="D3869" t="e">
            <v>#N/A</v>
          </cell>
        </row>
        <row r="3870">
          <cell r="A3870" t="str">
            <v>1VI1DPLB1215AD</v>
          </cell>
          <cell r="B3870" t="str">
            <v>SMT</v>
          </cell>
          <cell r="C3870">
            <v>1</v>
          </cell>
          <cell r="D3870" t="e">
            <v>#N/A</v>
          </cell>
        </row>
        <row r="3871">
          <cell r="A3871" t="str">
            <v>1VI2DPLB1215AD</v>
          </cell>
          <cell r="B3871" t="str">
            <v>SMT</v>
          </cell>
          <cell r="C3871">
            <v>1</v>
          </cell>
          <cell r="D3871" t="e">
            <v>#N/A</v>
          </cell>
        </row>
        <row r="3872">
          <cell r="A3872" t="str">
            <v>1RE1DPLB1215AD</v>
          </cell>
          <cell r="B3872" t="str">
            <v>SMT</v>
          </cell>
          <cell r="C3872">
            <v>1</v>
          </cell>
          <cell r="D3872" t="e">
            <v>#N/A</v>
          </cell>
        </row>
        <row r="3873">
          <cell r="A3873" t="str">
            <v>1VI1DPLB1215AH</v>
          </cell>
          <cell r="B3873" t="str">
            <v>SMT</v>
          </cell>
          <cell r="C3873">
            <v>1</v>
          </cell>
          <cell r="D3873" t="e">
            <v>#N/A</v>
          </cell>
        </row>
        <row r="3874">
          <cell r="A3874" t="str">
            <v>1VI2DPLB1215AH</v>
          </cell>
          <cell r="B3874" t="str">
            <v>SMT</v>
          </cell>
          <cell r="C3874">
            <v>1</v>
          </cell>
          <cell r="D3874" t="e">
            <v>#N/A</v>
          </cell>
        </row>
        <row r="3875">
          <cell r="A3875" t="str">
            <v>1RE1DPLB1215AH</v>
          </cell>
          <cell r="B3875" t="str">
            <v>SMT</v>
          </cell>
          <cell r="C3875">
            <v>1</v>
          </cell>
          <cell r="D3875" t="e">
            <v>#N/A</v>
          </cell>
        </row>
        <row r="3876">
          <cell r="A3876" t="str">
            <v>1VJ1DPLB1224</v>
          </cell>
          <cell r="B3876" t="str">
            <v>SMT</v>
          </cell>
          <cell r="C3876">
            <v>1</v>
          </cell>
          <cell r="D3876" t="e">
            <v>#N/A</v>
          </cell>
        </row>
        <row r="3877">
          <cell r="A3877" t="str">
            <v>1VJ2DPLB1224</v>
          </cell>
          <cell r="B3877" t="str">
            <v>SMT</v>
          </cell>
          <cell r="C3877">
            <v>1</v>
          </cell>
          <cell r="D3877" t="e">
            <v>#N/A</v>
          </cell>
        </row>
        <row r="3878">
          <cell r="A3878" t="str">
            <v>DPLB1224ZA/X1</v>
          </cell>
          <cell r="B3878" t="str">
            <v>SMT</v>
          </cell>
          <cell r="C3878">
            <v>1</v>
          </cell>
          <cell r="D3878" t="e">
            <v>#N/A</v>
          </cell>
        </row>
        <row r="3879">
          <cell r="A3879" t="str">
            <v>1RE1DPLB1224</v>
          </cell>
          <cell r="B3879" t="str">
            <v>SMT</v>
          </cell>
          <cell r="C3879">
            <v>1</v>
          </cell>
          <cell r="D3879" t="e">
            <v>#N/A</v>
          </cell>
        </row>
        <row r="3880">
          <cell r="A3880" t="str">
            <v>1VI1DPLB1252</v>
          </cell>
          <cell r="B3880" t="str">
            <v>SMT</v>
          </cell>
          <cell r="C3880">
            <v>1</v>
          </cell>
          <cell r="D3880" t="e">
            <v>#N/A</v>
          </cell>
        </row>
        <row r="3881">
          <cell r="A3881" t="str">
            <v>1VI2DPLB1252</v>
          </cell>
          <cell r="B3881" t="str">
            <v>SMT</v>
          </cell>
          <cell r="C3881">
            <v>1</v>
          </cell>
          <cell r="D3881" t="e">
            <v>#N/A</v>
          </cell>
        </row>
        <row r="3882">
          <cell r="A3882" t="str">
            <v>1VJ3DPLB1252</v>
          </cell>
          <cell r="B3882" t="str">
            <v>SMT</v>
          </cell>
          <cell r="C3882">
            <v>1</v>
          </cell>
          <cell r="D3882" t="e">
            <v>#N/A</v>
          </cell>
        </row>
        <row r="3883">
          <cell r="A3883" t="str">
            <v>1RE1DPLB1252</v>
          </cell>
          <cell r="B3883" t="str">
            <v>SMT</v>
          </cell>
          <cell r="C3883">
            <v>1</v>
          </cell>
          <cell r="D3883" t="e">
            <v>#N/A</v>
          </cell>
        </row>
        <row r="3884">
          <cell r="A3884" t="str">
            <v>CRH1DPLB1090AB</v>
          </cell>
          <cell r="B3884" t="str">
            <v>SMT</v>
          </cell>
          <cell r="C3884">
            <v>1</v>
          </cell>
          <cell r="D3884" t="e">
            <v>#N/A</v>
          </cell>
        </row>
        <row r="3885">
          <cell r="A3885" t="str">
            <v>CVI1DPLB1090AB</v>
          </cell>
          <cell r="B3885" t="str">
            <v>SMT</v>
          </cell>
          <cell r="C3885">
            <v>1</v>
          </cell>
          <cell r="D3885" t="e">
            <v>#N/A</v>
          </cell>
        </row>
        <row r="3886">
          <cell r="A3886" t="str">
            <v>CRE1DPLB1090AB</v>
          </cell>
          <cell r="B3886" t="str">
            <v>SMT</v>
          </cell>
          <cell r="C3886">
            <v>1</v>
          </cell>
          <cell r="D3886" t="e">
            <v>#N/A</v>
          </cell>
        </row>
        <row r="3887">
          <cell r="A3887" t="str">
            <v>1VI1TNPH1098AQ</v>
          </cell>
          <cell r="B3887" t="str">
            <v>SMT</v>
          </cell>
          <cell r="C3887">
            <v>1</v>
          </cell>
          <cell r="D3887" t="e">
            <v>#N/A</v>
          </cell>
        </row>
        <row r="3888">
          <cell r="A3888" t="str">
            <v>TP8NH1098AQ</v>
          </cell>
          <cell r="B3888" t="str">
            <v>SMT</v>
          </cell>
          <cell r="C3888">
            <v>1</v>
          </cell>
          <cell r="D3888" t="e">
            <v>#N/A</v>
          </cell>
        </row>
        <row r="3889">
          <cell r="A3889" t="str">
            <v>1VI1TNPH1098BA</v>
          </cell>
          <cell r="B3889" t="str">
            <v>SMT</v>
          </cell>
          <cell r="C3889">
            <v>1</v>
          </cell>
          <cell r="D3889" t="e">
            <v>#N/A</v>
          </cell>
        </row>
        <row r="3890">
          <cell r="A3890" t="str">
            <v>TP8NH1098BA</v>
          </cell>
          <cell r="B3890" t="str">
            <v>SMT</v>
          </cell>
          <cell r="C3890">
            <v>1</v>
          </cell>
          <cell r="D3890" t="e">
            <v>#N/A</v>
          </cell>
        </row>
        <row r="3891">
          <cell r="A3891" t="str">
            <v>1AP1NS0290CESX</v>
          </cell>
          <cell r="B3891" t="str">
            <v>DIP</v>
          </cell>
          <cell r="C3891">
            <v>1</v>
          </cell>
          <cell r="D3891" t="e">
            <v>#N/A</v>
          </cell>
          <cell r="E3891">
            <v>2210</v>
          </cell>
          <cell r="F3891" t="str">
            <v>VC01</v>
          </cell>
          <cell r="G3891" t="str">
            <v>Auto</v>
          </cell>
          <cell r="H3891">
            <v>311</v>
          </cell>
          <cell r="I3891">
            <v>2210</v>
          </cell>
          <cell r="J3891">
            <v>2310</v>
          </cell>
          <cell r="K3891" t="str">
            <v>VC01</v>
          </cell>
        </row>
        <row r="3892">
          <cell r="A3892" t="str">
            <v>1RH1NS0290CESX</v>
          </cell>
          <cell r="B3892" t="str">
            <v>SMT</v>
          </cell>
          <cell r="C3892">
            <v>1</v>
          </cell>
          <cell r="D3892">
            <v>16</v>
          </cell>
          <cell r="E3892">
            <v>2210</v>
          </cell>
          <cell r="F3892" t="str">
            <v>VC01</v>
          </cell>
          <cell r="G3892" t="str">
            <v>Auto</v>
          </cell>
          <cell r="H3892">
            <v>311</v>
          </cell>
          <cell r="I3892">
            <v>2210</v>
          </cell>
          <cell r="J3892">
            <v>2310</v>
          </cell>
          <cell r="K3892" t="str">
            <v>VC01</v>
          </cell>
        </row>
        <row r="3893">
          <cell r="A3893" t="str">
            <v>1RE2NS0290CESX</v>
          </cell>
          <cell r="B3893" t="str">
            <v>SMT</v>
          </cell>
          <cell r="C3893">
            <v>1</v>
          </cell>
          <cell r="D3893">
            <v>242</v>
          </cell>
        </row>
        <row r="3894">
          <cell r="A3894" t="str">
            <v>1RE1NS0290CESX</v>
          </cell>
          <cell r="B3894" t="str">
            <v>SMT</v>
          </cell>
          <cell r="C3894">
            <v>1</v>
          </cell>
          <cell r="D3894">
            <v>46</v>
          </cell>
        </row>
        <row r="3895">
          <cell r="A3895" t="str">
            <v>1RE1TE82491NEV4</v>
          </cell>
          <cell r="B3895" t="str">
            <v>SMT</v>
          </cell>
          <cell r="C3895">
            <v>1</v>
          </cell>
          <cell r="D3895">
            <v>25</v>
          </cell>
          <cell r="E3895">
            <v>2210</v>
          </cell>
          <cell r="F3895" t="str">
            <v>VC01</v>
          </cell>
          <cell r="G3895" t="str">
            <v>Auto</v>
          </cell>
          <cell r="H3895">
            <v>311</v>
          </cell>
          <cell r="I3895">
            <v>2210</v>
          </cell>
          <cell r="J3895">
            <v>2310</v>
          </cell>
          <cell r="K3895" t="str">
            <v>VC01</v>
          </cell>
        </row>
        <row r="3896">
          <cell r="A3896" t="str">
            <v>1AP1LC1090ZAR1</v>
          </cell>
          <cell r="B3896" t="str">
            <v>DIP</v>
          </cell>
          <cell r="C3896">
            <v>1</v>
          </cell>
          <cell r="D3896" t="e">
            <v>#N/A</v>
          </cell>
          <cell r="E3896">
            <v>2210</v>
          </cell>
          <cell r="F3896" t="str">
            <v>VC01</v>
          </cell>
          <cell r="G3896" t="str">
            <v>Auto</v>
          </cell>
          <cell r="H3896">
            <v>311</v>
          </cell>
          <cell r="I3896">
            <v>2210</v>
          </cell>
          <cell r="J3896">
            <v>2220</v>
          </cell>
          <cell r="K3896" t="str">
            <v>VC01</v>
          </cell>
        </row>
        <row r="3897">
          <cell r="A3897" t="str">
            <v>1RE1LC1090ZAR1</v>
          </cell>
          <cell r="B3897" t="str">
            <v>SMT</v>
          </cell>
          <cell r="C3897">
            <v>1</v>
          </cell>
          <cell r="D3897">
            <v>4</v>
          </cell>
          <cell r="E3897">
            <v>2210</v>
          </cell>
          <cell r="F3897" t="str">
            <v>VC01</v>
          </cell>
          <cell r="G3897" t="str">
            <v>Auto</v>
          </cell>
          <cell r="H3897">
            <v>311</v>
          </cell>
          <cell r="I3897">
            <v>2210</v>
          </cell>
          <cell r="J3897">
            <v>2220</v>
          </cell>
          <cell r="K3897" t="str">
            <v>VC01</v>
          </cell>
        </row>
        <row r="3898">
          <cell r="A3898" t="str">
            <v>PNLB2824ZA-PN</v>
          </cell>
          <cell r="B3898" t="str">
            <v>SMT</v>
          </cell>
          <cell r="C3898">
            <v>1</v>
          </cell>
          <cell r="D3898" t="e">
            <v>#N/A</v>
          </cell>
        </row>
        <row r="3899">
          <cell r="A3899" t="str">
            <v>1RE2LPA407AL1-R1</v>
          </cell>
          <cell r="B3899" t="str">
            <v>SMT</v>
          </cell>
          <cell r="C3899">
            <v>1</v>
          </cell>
          <cell r="D3899">
            <v>243</v>
          </cell>
          <cell r="E3899">
            <v>2210</v>
          </cell>
          <cell r="F3899" t="str">
            <v>VC01</v>
          </cell>
          <cell r="G3899" t="str">
            <v>Auto</v>
          </cell>
          <cell r="H3899">
            <v>311</v>
          </cell>
          <cell r="I3899">
            <v>2210</v>
          </cell>
          <cell r="J3899" t="e">
            <v>#N/A</v>
          </cell>
          <cell r="K3899" t="str">
            <v>VC01</v>
          </cell>
        </row>
        <row r="3900">
          <cell r="A3900" t="str">
            <v>1RE1LPA407AL1-R1</v>
          </cell>
          <cell r="B3900" t="str">
            <v>SMT</v>
          </cell>
          <cell r="C3900">
            <v>1</v>
          </cell>
          <cell r="D3900">
            <v>173</v>
          </cell>
        </row>
        <row r="3901">
          <cell r="A3901" t="str">
            <v>1VI1LPA407AL1-R1</v>
          </cell>
          <cell r="B3901" t="str">
            <v>SMT</v>
          </cell>
          <cell r="C3901">
            <v>1</v>
          </cell>
          <cell r="D3901" t="e">
            <v>#N/A</v>
          </cell>
        </row>
        <row r="3902">
          <cell r="A3902" t="str">
            <v>1VJ2LPA407AL1-R1</v>
          </cell>
          <cell r="B3902" t="str">
            <v>SMT</v>
          </cell>
          <cell r="C3902">
            <v>1</v>
          </cell>
          <cell r="D3902" t="e">
            <v>#N/A</v>
          </cell>
        </row>
        <row r="3903">
          <cell r="A3903" t="str">
            <v>PNLB2816ZA-YY</v>
          </cell>
          <cell r="B3903" t="str">
            <v>SMT</v>
          </cell>
          <cell r="C3903">
            <v>1</v>
          </cell>
          <cell r="D3903" t="e">
            <v>#N/A</v>
          </cell>
        </row>
        <row r="3904">
          <cell r="A3904" t="str">
            <v>1RE2LPA407CE1-R1</v>
          </cell>
          <cell r="B3904" t="str">
            <v>SMT</v>
          </cell>
          <cell r="C3904">
            <v>1</v>
          </cell>
          <cell r="D3904">
            <v>243</v>
          </cell>
          <cell r="E3904">
            <v>2210</v>
          </cell>
          <cell r="F3904" t="str">
            <v>VC01</v>
          </cell>
          <cell r="G3904" t="str">
            <v>Auto</v>
          </cell>
          <cell r="H3904">
            <v>311</v>
          </cell>
          <cell r="I3904">
            <v>2210</v>
          </cell>
          <cell r="J3904" t="e">
            <v>#N/A</v>
          </cell>
          <cell r="K3904" t="str">
            <v>VC01</v>
          </cell>
        </row>
        <row r="3905">
          <cell r="A3905" t="str">
            <v>1RE1LPA407CE1-R1</v>
          </cell>
          <cell r="B3905" t="str">
            <v>SMT</v>
          </cell>
          <cell r="C3905">
            <v>1</v>
          </cell>
          <cell r="D3905">
            <v>173</v>
          </cell>
        </row>
        <row r="3906">
          <cell r="A3906" t="str">
            <v>1VI1LPA407CE1-R1</v>
          </cell>
          <cell r="B3906" t="str">
            <v>SMT</v>
          </cell>
          <cell r="C3906">
            <v>1</v>
          </cell>
          <cell r="D3906" t="e">
            <v>#N/A</v>
          </cell>
        </row>
        <row r="3907">
          <cell r="A3907" t="str">
            <v>1VJ2LPA407CE1-R1</v>
          </cell>
          <cell r="B3907" t="str">
            <v>SMT</v>
          </cell>
          <cell r="C3907">
            <v>1</v>
          </cell>
          <cell r="D3907" t="e">
            <v>#N/A</v>
          </cell>
        </row>
        <row r="3908">
          <cell r="A3908" t="str">
            <v>1RE2LPA407M1-R1</v>
          </cell>
          <cell r="B3908" t="str">
            <v>SMT</v>
          </cell>
          <cell r="C3908">
            <v>1</v>
          </cell>
          <cell r="D3908">
            <v>243</v>
          </cell>
          <cell r="E3908">
            <v>2210</v>
          </cell>
          <cell r="F3908" t="str">
            <v>VC01</v>
          </cell>
          <cell r="G3908" t="str">
            <v>Auto</v>
          </cell>
          <cell r="H3908">
            <v>311</v>
          </cell>
          <cell r="I3908">
            <v>2210</v>
          </cell>
          <cell r="J3908" t="e">
            <v>#N/A</v>
          </cell>
          <cell r="K3908" t="str">
            <v>VC01</v>
          </cell>
        </row>
        <row r="3909">
          <cell r="A3909" t="str">
            <v>1RE1LPA407M1-R1</v>
          </cell>
          <cell r="B3909" t="str">
            <v>SMT</v>
          </cell>
          <cell r="C3909">
            <v>1</v>
          </cell>
          <cell r="D3909">
            <v>173</v>
          </cell>
        </row>
        <row r="3910">
          <cell r="A3910" t="str">
            <v>1VI1LPA407M1-R1</v>
          </cell>
          <cell r="B3910" t="str">
            <v>SMT</v>
          </cell>
          <cell r="C3910">
            <v>1</v>
          </cell>
          <cell r="D3910" t="e">
            <v>#N/A</v>
          </cell>
        </row>
        <row r="3911">
          <cell r="A3911" t="str">
            <v>1VJ2LPA407M1-R1</v>
          </cell>
          <cell r="B3911" t="str">
            <v>SMT</v>
          </cell>
          <cell r="C3911">
            <v>1</v>
          </cell>
          <cell r="D3911" t="e">
            <v>#N/A</v>
          </cell>
        </row>
        <row r="3912">
          <cell r="A3912" t="str">
            <v>1RE2LPDT635NE1-S1</v>
          </cell>
          <cell r="B3912" t="str">
            <v>SMT</v>
          </cell>
          <cell r="C3912">
            <v>1</v>
          </cell>
          <cell r="D3912">
            <v>440</v>
          </cell>
        </row>
        <row r="3913">
          <cell r="A3913" t="str">
            <v>1RE1LPDT635NE1-S1</v>
          </cell>
          <cell r="B3913" t="str">
            <v>SMT</v>
          </cell>
          <cell r="C3913">
            <v>1</v>
          </cell>
          <cell r="D3913">
            <v>82</v>
          </cell>
        </row>
        <row r="3914">
          <cell r="A3914" t="str">
            <v>1RE2LPDT680NE1-S1</v>
          </cell>
          <cell r="B3914" t="str">
            <v>SMT</v>
          </cell>
          <cell r="C3914">
            <v>1</v>
          </cell>
          <cell r="D3914">
            <v>597</v>
          </cell>
        </row>
        <row r="3915">
          <cell r="A3915" t="str">
            <v>1RE1LPDT680NE1-S1</v>
          </cell>
          <cell r="B3915" t="str">
            <v>SMT</v>
          </cell>
          <cell r="C3915">
            <v>1</v>
          </cell>
          <cell r="D3915">
            <v>79</v>
          </cell>
        </row>
        <row r="3916">
          <cell r="A3916" t="str">
            <v>1AP1LPTGP700VE-S1</v>
          </cell>
          <cell r="B3916" t="str">
            <v>DIP</v>
          </cell>
          <cell r="C3916">
            <v>1</v>
          </cell>
          <cell r="D3916" t="e">
            <v>#N/A</v>
          </cell>
          <cell r="E3916">
            <v>2210</v>
          </cell>
        </row>
        <row r="3917">
          <cell r="A3917" t="str">
            <v>1RE2LPTGP700VE-S1</v>
          </cell>
          <cell r="B3917" t="str">
            <v>SMT</v>
          </cell>
          <cell r="C3917">
            <v>1</v>
          </cell>
          <cell r="D3917">
            <v>477</v>
          </cell>
        </row>
        <row r="3918">
          <cell r="A3918" t="str">
            <v>1RE1LPTGP700VE-S1</v>
          </cell>
          <cell r="B3918" t="str">
            <v>SMT</v>
          </cell>
          <cell r="C3918">
            <v>1</v>
          </cell>
          <cell r="D3918">
            <v>278</v>
          </cell>
        </row>
        <row r="3919">
          <cell r="A3919" t="str">
            <v>1VI1LPTGP700VE-S1</v>
          </cell>
          <cell r="B3919" t="str">
            <v>SMT</v>
          </cell>
          <cell r="C3919">
            <v>1</v>
          </cell>
          <cell r="D3919" t="e">
            <v>#N/A</v>
          </cell>
        </row>
        <row r="3920">
          <cell r="A3920" t="str">
            <v>1VJ1LPTGP700VE-S1</v>
          </cell>
          <cell r="B3920" t="str">
            <v>SMT</v>
          </cell>
          <cell r="C3920">
            <v>1</v>
          </cell>
          <cell r="D3920" t="e">
            <v>#N/A</v>
          </cell>
        </row>
        <row r="3921">
          <cell r="A3921" t="str">
            <v>1VJ2LPTGP700VE-S1</v>
          </cell>
          <cell r="B3921" t="str">
            <v>SMT</v>
          </cell>
          <cell r="C3921">
            <v>1</v>
          </cell>
          <cell r="D3921" t="e">
            <v>#N/A</v>
          </cell>
        </row>
        <row r="3922">
          <cell r="A3922" t="str">
            <v>PNLB2816ZB-YY-S1</v>
          </cell>
          <cell r="B3922" t="str">
            <v>SMT</v>
          </cell>
          <cell r="C3922">
            <v>1</v>
          </cell>
          <cell r="D3922" t="e">
            <v>#N/A</v>
          </cell>
        </row>
        <row r="3923">
          <cell r="A3923" t="str">
            <v>1AP1LPTPA70AL1-R1</v>
          </cell>
          <cell r="B3923" t="str">
            <v>DIP</v>
          </cell>
          <cell r="C3923">
            <v>1</v>
          </cell>
          <cell r="D3923" t="e">
            <v>#N/A</v>
          </cell>
          <cell r="E3923">
            <v>2210</v>
          </cell>
        </row>
        <row r="3924">
          <cell r="A3924" t="str">
            <v>1RE2LPTPA70AL1-R1</v>
          </cell>
          <cell r="B3924" t="str">
            <v>SMT</v>
          </cell>
          <cell r="C3924">
            <v>1</v>
          </cell>
          <cell r="D3924">
            <v>204</v>
          </cell>
        </row>
        <row r="3925">
          <cell r="A3925" t="str">
            <v>1RE1LPTPA70AL1-R1</v>
          </cell>
          <cell r="B3925" t="str">
            <v>SMT</v>
          </cell>
          <cell r="C3925">
            <v>1</v>
          </cell>
          <cell r="D3925">
            <v>59</v>
          </cell>
        </row>
        <row r="3926">
          <cell r="A3926" t="str">
            <v>1VJ1LPTPA70AL1-R1</v>
          </cell>
          <cell r="B3926" t="str">
            <v>SMT</v>
          </cell>
          <cell r="C3926">
            <v>1</v>
          </cell>
          <cell r="D3926" t="e">
            <v>#N/A</v>
          </cell>
        </row>
        <row r="3927">
          <cell r="A3927" t="str">
            <v>1RE2LPTPA70C1-R1</v>
          </cell>
          <cell r="B3927" t="str">
            <v>SMT</v>
          </cell>
          <cell r="C3927">
            <v>1</v>
          </cell>
          <cell r="D3927">
            <v>204</v>
          </cell>
        </row>
        <row r="3928">
          <cell r="A3928" t="str">
            <v>1RE1LPTPA70C1-R1</v>
          </cell>
          <cell r="B3928" t="str">
            <v>SMT</v>
          </cell>
          <cell r="C3928">
            <v>1</v>
          </cell>
          <cell r="D3928">
            <v>59</v>
          </cell>
        </row>
        <row r="3929">
          <cell r="A3929" t="str">
            <v>1VJ1LPTPA70C1-R1</v>
          </cell>
          <cell r="B3929" t="str">
            <v>SMT</v>
          </cell>
          <cell r="C3929">
            <v>1</v>
          </cell>
          <cell r="D3929" t="e">
            <v>#N/A</v>
          </cell>
        </row>
        <row r="3930">
          <cell r="A3930" t="str">
            <v>PNLB2833ZA-YY</v>
          </cell>
          <cell r="B3930" t="str">
            <v>SMT</v>
          </cell>
          <cell r="C3930">
            <v>1</v>
          </cell>
          <cell r="D3930" t="e">
            <v>#N/A</v>
          </cell>
        </row>
        <row r="3931">
          <cell r="A3931" t="str">
            <v>1RE2LPTPA70CE1-R1</v>
          </cell>
          <cell r="B3931" t="str">
            <v>SMT</v>
          </cell>
          <cell r="C3931">
            <v>1</v>
          </cell>
          <cell r="D3931">
            <v>204</v>
          </cell>
        </row>
        <row r="3932">
          <cell r="A3932" t="str">
            <v>1RE1LPTPA70CE1-R1</v>
          </cell>
          <cell r="B3932" t="str">
            <v>SMT</v>
          </cell>
          <cell r="C3932">
            <v>1</v>
          </cell>
          <cell r="D3932">
            <v>59</v>
          </cell>
        </row>
        <row r="3933">
          <cell r="A3933" t="str">
            <v>1VJ1LPTPA70CE1-R1</v>
          </cell>
          <cell r="B3933" t="str">
            <v>SMT</v>
          </cell>
          <cell r="C3933">
            <v>1</v>
          </cell>
          <cell r="D3933" t="e">
            <v>#N/A</v>
          </cell>
        </row>
        <row r="3934">
          <cell r="A3934" t="str">
            <v>1RE2LPTPA70M1-R1</v>
          </cell>
          <cell r="B3934" t="str">
            <v>SMT</v>
          </cell>
          <cell r="C3934">
            <v>1</v>
          </cell>
          <cell r="D3934">
            <v>204</v>
          </cell>
        </row>
        <row r="3935">
          <cell r="A3935" t="str">
            <v>1RE1LPTPA70M1-R1</v>
          </cell>
          <cell r="B3935" t="str">
            <v>SMT</v>
          </cell>
          <cell r="C3935">
            <v>1</v>
          </cell>
          <cell r="D3935">
            <v>59</v>
          </cell>
        </row>
        <row r="3936">
          <cell r="A3936" t="str">
            <v>1VJ1LPTPA70M1-R1</v>
          </cell>
          <cell r="B3936" t="str">
            <v>SMT</v>
          </cell>
          <cell r="C3936">
            <v>1</v>
          </cell>
          <cell r="D3936" t="e">
            <v>#N/A</v>
          </cell>
        </row>
        <row r="3937">
          <cell r="A3937" t="str">
            <v>1RE2LPTPA73AL1-R1</v>
          </cell>
          <cell r="B3937" t="str">
            <v>SMT</v>
          </cell>
          <cell r="C3937">
            <v>1</v>
          </cell>
          <cell r="D3937">
            <v>276</v>
          </cell>
        </row>
        <row r="3938">
          <cell r="A3938" t="str">
            <v>1RE1LPTPA73AL1-R1</v>
          </cell>
          <cell r="B3938" t="str">
            <v>SMT</v>
          </cell>
          <cell r="C3938">
            <v>1</v>
          </cell>
          <cell r="D3938">
            <v>36</v>
          </cell>
        </row>
        <row r="3939">
          <cell r="A3939" t="str">
            <v>1VJ1LPTPA73AL1-R1</v>
          </cell>
          <cell r="B3939" t="str">
            <v>SMT</v>
          </cell>
          <cell r="C3939">
            <v>1</v>
          </cell>
          <cell r="D3939" t="e">
            <v>#N/A</v>
          </cell>
        </row>
        <row r="3940">
          <cell r="A3940" t="str">
            <v>PNLB2818ZA-YY</v>
          </cell>
          <cell r="B3940" t="str">
            <v>SMT</v>
          </cell>
          <cell r="C3940">
            <v>1</v>
          </cell>
          <cell r="D3940" t="e">
            <v>#N/A</v>
          </cell>
        </row>
        <row r="3941">
          <cell r="A3941" t="str">
            <v>PNXA1005UA/AS-R1</v>
          </cell>
          <cell r="B3941" t="str">
            <v>SMT</v>
          </cell>
          <cell r="C3941">
            <v>1</v>
          </cell>
          <cell r="D3941">
            <v>0</v>
          </cell>
        </row>
        <row r="3942">
          <cell r="A3942" t="str">
            <v>1RE1XA1005UA/AS-R1</v>
          </cell>
          <cell r="B3942" t="str">
            <v>SMT</v>
          </cell>
          <cell r="C3942">
            <v>1</v>
          </cell>
          <cell r="D3942">
            <v>31</v>
          </cell>
        </row>
        <row r="3943">
          <cell r="A3943" t="str">
            <v>1RE2LPTPA73C1-R1</v>
          </cell>
          <cell r="B3943" t="str">
            <v>SMT</v>
          </cell>
          <cell r="C3943">
            <v>1</v>
          </cell>
          <cell r="D3943">
            <v>276</v>
          </cell>
        </row>
        <row r="3944">
          <cell r="A3944" t="str">
            <v>1RE1LPTPA73C1-R1</v>
          </cell>
          <cell r="B3944" t="str">
            <v>SMT</v>
          </cell>
          <cell r="C3944">
            <v>1</v>
          </cell>
          <cell r="D3944">
            <v>36</v>
          </cell>
        </row>
        <row r="3945">
          <cell r="A3945" t="str">
            <v>1VJ1LPTPA73C1-R1</v>
          </cell>
          <cell r="B3945" t="str">
            <v>SMT</v>
          </cell>
          <cell r="C3945">
            <v>1</v>
          </cell>
          <cell r="D3945" t="e">
            <v>#N/A</v>
          </cell>
        </row>
        <row r="3946">
          <cell r="A3946" t="str">
            <v>1RE2LPTPA73CE1-R1</v>
          </cell>
          <cell r="B3946" t="str">
            <v>SMT</v>
          </cell>
          <cell r="C3946">
            <v>1</v>
          </cell>
          <cell r="D3946">
            <v>276</v>
          </cell>
        </row>
        <row r="3947">
          <cell r="A3947" t="str">
            <v>1RE1LPTPA73CE1-R1</v>
          </cell>
          <cell r="B3947" t="str">
            <v>SMT</v>
          </cell>
          <cell r="C3947">
            <v>1</v>
          </cell>
          <cell r="D3947">
            <v>36</v>
          </cell>
        </row>
        <row r="3948">
          <cell r="A3948" t="str">
            <v>1VJ1LPTPA73CE1-R1</v>
          </cell>
          <cell r="B3948" t="str">
            <v>SMT</v>
          </cell>
          <cell r="C3948">
            <v>1</v>
          </cell>
          <cell r="D3948" t="e">
            <v>#N/A</v>
          </cell>
        </row>
        <row r="3949">
          <cell r="A3949" t="str">
            <v>1RE2LPTPA73M1-R1</v>
          </cell>
          <cell r="B3949" t="str">
            <v>SMT</v>
          </cell>
          <cell r="C3949">
            <v>1</v>
          </cell>
          <cell r="D3949">
            <v>276</v>
          </cell>
        </row>
        <row r="3950">
          <cell r="A3950" t="str">
            <v>1RE1LPTPA73M1-R1</v>
          </cell>
          <cell r="B3950" t="str">
            <v>SMT</v>
          </cell>
          <cell r="C3950">
            <v>1</v>
          </cell>
          <cell r="D3950">
            <v>36</v>
          </cell>
        </row>
        <row r="3951">
          <cell r="A3951" t="str">
            <v>1VJ1LPTPA73M1-R1</v>
          </cell>
          <cell r="B3951" t="str">
            <v>SMT</v>
          </cell>
          <cell r="C3951">
            <v>1</v>
          </cell>
          <cell r="D3951" t="e">
            <v>#N/A</v>
          </cell>
        </row>
        <row r="3952">
          <cell r="A3952" t="str">
            <v>1AP1LPTGP700AL1-R1</v>
          </cell>
          <cell r="B3952" t="str">
            <v>DIP</v>
          </cell>
          <cell r="C3952">
            <v>1</v>
          </cell>
          <cell r="D3952" t="e">
            <v>#N/A</v>
          </cell>
          <cell r="E3952">
            <v>2210</v>
          </cell>
        </row>
        <row r="3953">
          <cell r="A3953" t="str">
            <v>1RH1LPTGP700AL1-R1</v>
          </cell>
          <cell r="B3953" t="str">
            <v>SMT</v>
          </cell>
          <cell r="C3953">
            <v>1</v>
          </cell>
          <cell r="D3953">
            <v>3</v>
          </cell>
        </row>
        <row r="3954">
          <cell r="A3954" t="str">
            <v>1RE2LPTGP700AL1-R1</v>
          </cell>
          <cell r="B3954" t="str">
            <v>SMT</v>
          </cell>
          <cell r="C3954">
            <v>1</v>
          </cell>
          <cell r="D3954">
            <v>476</v>
          </cell>
        </row>
        <row r="3955">
          <cell r="A3955" t="str">
            <v>1RE1LPTGP700AL1-R1</v>
          </cell>
          <cell r="B3955" t="str">
            <v>SMT</v>
          </cell>
          <cell r="C3955">
            <v>1</v>
          </cell>
          <cell r="D3955">
            <v>277</v>
          </cell>
        </row>
        <row r="3956">
          <cell r="A3956" t="str">
            <v>1VI1LPTGP700AL1-R1</v>
          </cell>
          <cell r="B3956" t="str">
            <v>SMT</v>
          </cell>
          <cell r="C3956">
            <v>1</v>
          </cell>
          <cell r="D3956" t="e">
            <v>#N/A</v>
          </cell>
        </row>
        <row r="3957">
          <cell r="A3957" t="str">
            <v>1VJ1LPTGP700AL1-R1</v>
          </cell>
          <cell r="B3957" t="str">
            <v>SMT</v>
          </cell>
          <cell r="C3957">
            <v>1</v>
          </cell>
          <cell r="D3957" t="e">
            <v>#N/A</v>
          </cell>
        </row>
        <row r="3958">
          <cell r="A3958" t="str">
            <v>1VJ2LPTGP700AL1-R1</v>
          </cell>
          <cell r="B3958" t="str">
            <v>SMT</v>
          </cell>
          <cell r="C3958">
            <v>1</v>
          </cell>
          <cell r="D3958" t="e">
            <v>#N/A</v>
          </cell>
        </row>
        <row r="3959">
          <cell r="A3959" t="str">
            <v>1AP1LPTGP700CE1-R1</v>
          </cell>
          <cell r="B3959" t="str">
            <v>DIP</v>
          </cell>
          <cell r="C3959">
            <v>1</v>
          </cell>
          <cell r="D3959" t="e">
            <v>#N/A</v>
          </cell>
          <cell r="E3959">
            <v>2210</v>
          </cell>
        </row>
        <row r="3960">
          <cell r="A3960" t="str">
            <v>1RH1LPTGP700CE1-R1</v>
          </cell>
          <cell r="B3960" t="str">
            <v>SMT</v>
          </cell>
          <cell r="C3960">
            <v>1</v>
          </cell>
          <cell r="D3960">
            <v>3</v>
          </cell>
        </row>
        <row r="3961">
          <cell r="A3961" t="str">
            <v>1RE2LPTGP700CE1-R1</v>
          </cell>
          <cell r="B3961" t="str">
            <v>SMT</v>
          </cell>
          <cell r="C3961">
            <v>1</v>
          </cell>
          <cell r="D3961">
            <v>476</v>
          </cell>
        </row>
        <row r="3962">
          <cell r="A3962" t="str">
            <v>1RE1LPTGP700CE1-R1</v>
          </cell>
          <cell r="B3962" t="str">
            <v>SMT</v>
          </cell>
          <cell r="C3962">
            <v>1</v>
          </cell>
          <cell r="D3962">
            <v>277</v>
          </cell>
        </row>
        <row r="3963">
          <cell r="A3963" t="str">
            <v>1VI1LPTGP700CE1-R1</v>
          </cell>
          <cell r="B3963" t="str">
            <v>SMT</v>
          </cell>
          <cell r="C3963">
            <v>1</v>
          </cell>
          <cell r="D3963" t="e">
            <v>#N/A</v>
          </cell>
        </row>
        <row r="3964">
          <cell r="A3964" t="str">
            <v>1VJ1LPTGP700CE1-R1</v>
          </cell>
          <cell r="B3964" t="str">
            <v>SMT</v>
          </cell>
          <cell r="C3964">
            <v>1</v>
          </cell>
          <cell r="D3964" t="e">
            <v>#N/A</v>
          </cell>
        </row>
        <row r="3965">
          <cell r="A3965" t="str">
            <v>1VJ2LPTGP700CE1-R1</v>
          </cell>
          <cell r="B3965" t="str">
            <v>SMT</v>
          </cell>
          <cell r="C3965">
            <v>1</v>
          </cell>
          <cell r="D3965" t="e">
            <v>#N/A</v>
          </cell>
        </row>
        <row r="3966">
          <cell r="A3966" t="str">
            <v>1AP1LPTGP700M1-R1</v>
          </cell>
          <cell r="B3966" t="str">
            <v>DIP</v>
          </cell>
          <cell r="C3966">
            <v>1</v>
          </cell>
          <cell r="D3966" t="e">
            <v>#N/A</v>
          </cell>
          <cell r="E3966">
            <v>2210</v>
          </cell>
        </row>
        <row r="3967">
          <cell r="A3967" t="str">
            <v>1RH1LPTGP700M1-R1</v>
          </cell>
          <cell r="B3967" t="str">
            <v>SMT</v>
          </cell>
          <cell r="C3967">
            <v>1</v>
          </cell>
          <cell r="D3967">
            <v>3</v>
          </cell>
        </row>
        <row r="3968">
          <cell r="A3968" t="str">
            <v>1RE2LPTGP700M1-R1</v>
          </cell>
          <cell r="B3968" t="str">
            <v>SMT</v>
          </cell>
          <cell r="C3968">
            <v>1</v>
          </cell>
          <cell r="D3968">
            <v>475</v>
          </cell>
        </row>
        <row r="3969">
          <cell r="A3969" t="str">
            <v>1RE1LPTGP700M1-R1</v>
          </cell>
          <cell r="B3969" t="str">
            <v>SMT</v>
          </cell>
          <cell r="C3969">
            <v>1</v>
          </cell>
          <cell r="D3969">
            <v>278</v>
          </cell>
        </row>
        <row r="3970">
          <cell r="A3970" t="str">
            <v>1VI1LPTGP700M1-R1</v>
          </cell>
          <cell r="B3970" t="str">
            <v>SMT</v>
          </cell>
          <cell r="C3970">
            <v>1</v>
          </cell>
          <cell r="D3970" t="e">
            <v>#N/A</v>
          </cell>
        </row>
        <row r="3971">
          <cell r="A3971" t="str">
            <v>1VJ1LPTGP700M1-R1</v>
          </cell>
          <cell r="B3971" t="str">
            <v>SMT</v>
          </cell>
          <cell r="C3971">
            <v>1</v>
          </cell>
          <cell r="D3971" t="e">
            <v>#N/A</v>
          </cell>
        </row>
        <row r="3972">
          <cell r="A3972" t="str">
            <v>1VJ2LPTGP700M1-R1</v>
          </cell>
          <cell r="B3972" t="str">
            <v>SMT</v>
          </cell>
          <cell r="C3972">
            <v>1</v>
          </cell>
          <cell r="D3972" t="e">
            <v>#N/A</v>
          </cell>
        </row>
        <row r="3973">
          <cell r="A3973" t="str">
            <v>1CM1DPLB1227</v>
          </cell>
          <cell r="B3973" t="str">
            <v>SMT</v>
          </cell>
          <cell r="C3973">
            <v>1</v>
          </cell>
          <cell r="D3973">
            <v>151</v>
          </cell>
        </row>
        <row r="3974">
          <cell r="A3974" t="str">
            <v>1RH1DPLB1227</v>
          </cell>
          <cell r="B3974" t="str">
            <v>SMT</v>
          </cell>
          <cell r="C3974">
            <v>1</v>
          </cell>
          <cell r="D3974">
            <v>13</v>
          </cell>
        </row>
        <row r="3975">
          <cell r="A3975" t="str">
            <v>1VI1DPLB1227</v>
          </cell>
          <cell r="B3975" t="str">
            <v>SMT</v>
          </cell>
          <cell r="C3975">
            <v>1</v>
          </cell>
          <cell r="D3975" t="e">
            <v>#N/A</v>
          </cell>
        </row>
        <row r="3976">
          <cell r="A3976" t="str">
            <v>1RE1DPLB1227</v>
          </cell>
          <cell r="B3976" t="str">
            <v>SMT</v>
          </cell>
          <cell r="C3976">
            <v>1</v>
          </cell>
          <cell r="D3976">
            <v>199</v>
          </cell>
        </row>
        <row r="3977">
          <cell r="A3977" t="str">
            <v>DPLB1227ZA/X1</v>
          </cell>
          <cell r="B3977" t="str">
            <v>SMT</v>
          </cell>
          <cell r="C3977">
            <v>1</v>
          </cell>
          <cell r="D3977" t="e">
            <v>#N/A</v>
          </cell>
        </row>
        <row r="3978">
          <cell r="A3978" t="str">
            <v>1RH1DPLB1228</v>
          </cell>
          <cell r="B3978" t="str">
            <v>SMT</v>
          </cell>
          <cell r="C3978">
            <v>1</v>
          </cell>
          <cell r="D3978" t="e">
            <v>#N/A</v>
          </cell>
        </row>
        <row r="3979">
          <cell r="A3979" t="str">
            <v>DPLB1228ZA/X1</v>
          </cell>
          <cell r="B3979" t="str">
            <v>SMT</v>
          </cell>
          <cell r="C3979">
            <v>1</v>
          </cell>
          <cell r="D3979" t="e">
            <v>#N/A</v>
          </cell>
        </row>
        <row r="3980">
          <cell r="A3980" t="str">
            <v>1RH1DPLB1269</v>
          </cell>
          <cell r="B3980" t="str">
            <v>SMT</v>
          </cell>
          <cell r="C3980">
            <v>1</v>
          </cell>
          <cell r="D3980" t="e">
            <v>#N/A</v>
          </cell>
        </row>
        <row r="3981">
          <cell r="A3981" t="str">
            <v>1VI1DPLB1269</v>
          </cell>
          <cell r="B3981" t="str">
            <v>SMT</v>
          </cell>
          <cell r="C3981">
            <v>1</v>
          </cell>
          <cell r="D3981" t="e">
            <v>#N/A</v>
          </cell>
        </row>
        <row r="3982">
          <cell r="A3982" t="str">
            <v>1RE1DPLB1269</v>
          </cell>
          <cell r="B3982" t="str">
            <v>SMT</v>
          </cell>
          <cell r="C3982">
            <v>1</v>
          </cell>
          <cell r="D3982" t="e">
            <v>#N/A</v>
          </cell>
        </row>
        <row r="3983">
          <cell r="A3983" t="str">
            <v>DPLB1269ZA/X1</v>
          </cell>
          <cell r="B3983" t="str">
            <v>SMT</v>
          </cell>
          <cell r="C3983">
            <v>1</v>
          </cell>
          <cell r="D3983" t="e">
            <v>#N/A</v>
          </cell>
        </row>
        <row r="3984">
          <cell r="A3984" t="str">
            <v>DPLB1249ZA/X1</v>
          </cell>
          <cell r="B3984" t="str">
            <v>SMT</v>
          </cell>
          <cell r="C3984">
            <v>1</v>
          </cell>
          <cell r="D3984" t="e">
            <v>#N/A</v>
          </cell>
        </row>
        <row r="3985">
          <cell r="A3985" t="str">
            <v>DPLB1332ZA/X1</v>
          </cell>
          <cell r="B3985" t="str">
            <v>SMT</v>
          </cell>
          <cell r="C3985">
            <v>1</v>
          </cell>
          <cell r="D3985" t="e">
            <v>#N/A</v>
          </cell>
        </row>
        <row r="3986">
          <cell r="A3986" t="str">
            <v>1VI1DPLB1226</v>
          </cell>
          <cell r="B3986" t="str">
            <v>SMT</v>
          </cell>
          <cell r="C3986">
            <v>1</v>
          </cell>
          <cell r="D3986" t="e">
            <v>#N/A</v>
          </cell>
        </row>
        <row r="3987">
          <cell r="A3987" t="str">
            <v>1VJ2DPLB1226</v>
          </cell>
          <cell r="B3987" t="str">
            <v>SMT</v>
          </cell>
          <cell r="C3987">
            <v>1</v>
          </cell>
          <cell r="D3987" t="e">
            <v>#N/A</v>
          </cell>
        </row>
        <row r="3988">
          <cell r="A3988" t="str">
            <v>1RE1DPLB1226</v>
          </cell>
          <cell r="B3988" t="str">
            <v>SMT</v>
          </cell>
          <cell r="C3988">
            <v>1</v>
          </cell>
          <cell r="D3988" t="e">
            <v>#N/A</v>
          </cell>
        </row>
        <row r="3989">
          <cell r="A3989" t="str">
            <v>DPLB1226ZA/X1</v>
          </cell>
          <cell r="B3989" t="str">
            <v>SMT</v>
          </cell>
          <cell r="C3989">
            <v>1</v>
          </cell>
          <cell r="D3989" t="e">
            <v>#N/A</v>
          </cell>
        </row>
        <row r="3990">
          <cell r="A3990" t="str">
            <v>1VJ1DPLB1229</v>
          </cell>
          <cell r="B3990" t="str">
            <v>SMT</v>
          </cell>
          <cell r="C3990">
            <v>1</v>
          </cell>
          <cell r="D3990" t="e">
            <v>#N/A</v>
          </cell>
        </row>
        <row r="3991">
          <cell r="A3991" t="str">
            <v>1RE1DPLB1229</v>
          </cell>
          <cell r="B3991" t="str">
            <v>SMT</v>
          </cell>
          <cell r="C3991">
            <v>1</v>
          </cell>
          <cell r="D3991" t="e">
            <v>#N/A</v>
          </cell>
        </row>
        <row r="3992">
          <cell r="A3992" t="str">
            <v>DPLB1229ZA/X1</v>
          </cell>
          <cell r="B3992" t="str">
            <v>SMT</v>
          </cell>
          <cell r="C3992">
            <v>1</v>
          </cell>
          <cell r="D3992" t="e">
            <v>#N/A</v>
          </cell>
        </row>
        <row r="3993">
          <cell r="A3993" t="str">
            <v>1VI1DPLB1233</v>
          </cell>
          <cell r="B3993" t="str">
            <v>SMT</v>
          </cell>
          <cell r="C3993">
            <v>1</v>
          </cell>
          <cell r="D3993" t="e">
            <v>#N/A</v>
          </cell>
        </row>
        <row r="3994">
          <cell r="A3994" t="str">
            <v>1VI2DPLB1233</v>
          </cell>
          <cell r="B3994" t="str">
            <v>SMT</v>
          </cell>
          <cell r="C3994">
            <v>1</v>
          </cell>
          <cell r="D3994" t="e">
            <v>#N/A</v>
          </cell>
        </row>
        <row r="3995">
          <cell r="A3995" t="str">
            <v>1RE1DPLB1233</v>
          </cell>
          <cell r="B3995" t="str">
            <v>SMT</v>
          </cell>
          <cell r="C3995">
            <v>1</v>
          </cell>
          <cell r="D3995" t="e">
            <v>#N/A</v>
          </cell>
        </row>
        <row r="3996">
          <cell r="A3996" t="str">
            <v>DPLB1233ZA/X1</v>
          </cell>
          <cell r="B3996" t="str">
            <v>SMT</v>
          </cell>
          <cell r="C3996">
            <v>1</v>
          </cell>
          <cell r="D3996" t="e">
            <v>#N/A</v>
          </cell>
        </row>
        <row r="3997">
          <cell r="A3997" t="str">
            <v>1VJ1DPLB1267</v>
          </cell>
          <cell r="B3997" t="str">
            <v>SMT</v>
          </cell>
          <cell r="C3997">
            <v>1</v>
          </cell>
          <cell r="D3997" t="e">
            <v>#N/A</v>
          </cell>
        </row>
        <row r="3998">
          <cell r="A3998" t="str">
            <v>1VJ2DPLB1267</v>
          </cell>
          <cell r="B3998" t="str">
            <v>SMT</v>
          </cell>
          <cell r="C3998">
            <v>1</v>
          </cell>
          <cell r="D3998" t="e">
            <v>#N/A</v>
          </cell>
        </row>
        <row r="3999">
          <cell r="A3999" t="str">
            <v>1RE1DPLB1267</v>
          </cell>
          <cell r="B3999" t="str">
            <v>SMT</v>
          </cell>
          <cell r="C3999">
            <v>1</v>
          </cell>
          <cell r="D3999" t="e">
            <v>#N/A</v>
          </cell>
        </row>
        <row r="4000">
          <cell r="A4000" t="str">
            <v>DPLB1267ZA/X1</v>
          </cell>
          <cell r="B4000" t="str">
            <v>SMT</v>
          </cell>
          <cell r="C4000">
            <v>1</v>
          </cell>
          <cell r="D4000" t="e">
            <v>#N/A</v>
          </cell>
        </row>
        <row r="4001">
          <cell r="A4001" t="str">
            <v>1VI1DPLB1268</v>
          </cell>
          <cell r="B4001" t="str">
            <v>SMT</v>
          </cell>
          <cell r="C4001">
            <v>1</v>
          </cell>
          <cell r="D4001" t="e">
            <v>#N/A</v>
          </cell>
        </row>
        <row r="4002">
          <cell r="A4002" t="str">
            <v>1VJ1DPLB1268</v>
          </cell>
          <cell r="B4002" t="str">
            <v>SMT</v>
          </cell>
          <cell r="C4002">
            <v>1</v>
          </cell>
          <cell r="D4002" t="e">
            <v>#N/A</v>
          </cell>
        </row>
        <row r="4003">
          <cell r="A4003" t="str">
            <v>1VJ2DPLB1268</v>
          </cell>
          <cell r="B4003" t="str">
            <v>SMT</v>
          </cell>
          <cell r="C4003">
            <v>1</v>
          </cell>
          <cell r="D4003" t="e">
            <v>#N/A</v>
          </cell>
        </row>
        <row r="4004">
          <cell r="A4004" t="str">
            <v>1VJ3DPLB1268</v>
          </cell>
          <cell r="B4004" t="str">
            <v>SMT</v>
          </cell>
          <cell r="C4004">
            <v>1</v>
          </cell>
          <cell r="D4004" t="e">
            <v>#N/A</v>
          </cell>
        </row>
        <row r="4005">
          <cell r="A4005" t="str">
            <v>1RE1DPLB1268</v>
          </cell>
          <cell r="B4005" t="str">
            <v>SMT</v>
          </cell>
          <cell r="C4005">
            <v>1</v>
          </cell>
          <cell r="D4005" t="e">
            <v>#N/A</v>
          </cell>
        </row>
        <row r="4006">
          <cell r="A4006" t="str">
            <v>DPLB1268ZA/X1</v>
          </cell>
          <cell r="B4006" t="str">
            <v>SMT</v>
          </cell>
          <cell r="C4006">
            <v>1</v>
          </cell>
          <cell r="D4006" t="e">
            <v>#N/A</v>
          </cell>
        </row>
        <row r="4007">
          <cell r="A4007" t="str">
            <v>DPLB1302ZA/X1</v>
          </cell>
          <cell r="B4007" t="str">
            <v>SMT</v>
          </cell>
          <cell r="C4007">
            <v>1</v>
          </cell>
          <cell r="D4007" t="e">
            <v>#N/A</v>
          </cell>
        </row>
        <row r="4008">
          <cell r="A4008" t="str">
            <v>1RE1LC1090ZA</v>
          </cell>
          <cell r="B4008" t="str">
            <v>SMT</v>
          </cell>
          <cell r="C4008">
            <v>1</v>
          </cell>
          <cell r="D4008">
            <v>3</v>
          </cell>
          <cell r="E4008">
            <v>2210</v>
          </cell>
          <cell r="F4008" t="str">
            <v>VC01</v>
          </cell>
          <cell r="G4008" t="str">
            <v>Auto</v>
          </cell>
          <cell r="H4008">
            <v>311</v>
          </cell>
          <cell r="I4008">
            <v>2210</v>
          </cell>
          <cell r="J4008">
            <v>2310</v>
          </cell>
          <cell r="K4008" t="str">
            <v>VC01</v>
          </cell>
        </row>
        <row r="4009">
          <cell r="A4009" t="str">
            <v>1AP1LC1090ZA</v>
          </cell>
          <cell r="B4009" t="str">
            <v>DIP</v>
          </cell>
          <cell r="C4009">
            <v>1</v>
          </cell>
          <cell r="D4009" t="e">
            <v>#N/A</v>
          </cell>
          <cell r="E4009">
            <v>2210</v>
          </cell>
          <cell r="F4009" t="str">
            <v>VC01</v>
          </cell>
          <cell r="G4009" t="str">
            <v>Auto</v>
          </cell>
          <cell r="H4009">
            <v>311</v>
          </cell>
          <cell r="I4009">
            <v>2210</v>
          </cell>
          <cell r="J4009">
            <v>2310</v>
          </cell>
          <cell r="K4009" t="str">
            <v>VC01</v>
          </cell>
        </row>
        <row r="4010">
          <cell r="A4010" t="str">
            <v>1RE1XA1005UA/AS</v>
          </cell>
          <cell r="B4010" t="str">
            <v>SMT</v>
          </cell>
          <cell r="C4010">
            <v>1</v>
          </cell>
          <cell r="D4010">
            <v>30</v>
          </cell>
        </row>
        <row r="4011">
          <cell r="A4011" t="str">
            <v>PNXA1005UA/AS</v>
          </cell>
          <cell r="B4011" t="str">
            <v>SMT</v>
          </cell>
          <cell r="C4011">
            <v>1</v>
          </cell>
          <cell r="D4011">
            <v>0</v>
          </cell>
          <cell r="E4011">
            <v>2210</v>
          </cell>
          <cell r="F4011" t="str">
            <v>VC01</v>
          </cell>
        </row>
        <row r="4012">
          <cell r="A4012" t="str">
            <v>1RE2LPTPA73CE1ZA</v>
          </cell>
          <cell r="B4012" t="str">
            <v>SMT</v>
          </cell>
          <cell r="C4012">
            <v>1</v>
          </cell>
          <cell r="D4012">
            <v>278</v>
          </cell>
          <cell r="E4012">
            <v>2210</v>
          </cell>
          <cell r="F4012" t="str">
            <v>VC01</v>
          </cell>
          <cell r="G4012" t="str">
            <v>Auto</v>
          </cell>
          <cell r="H4012">
            <v>311</v>
          </cell>
          <cell r="I4012">
            <v>2210</v>
          </cell>
          <cell r="J4012">
            <v>2220</v>
          </cell>
          <cell r="K4012" t="str">
            <v>VC01</v>
          </cell>
        </row>
        <row r="4013">
          <cell r="A4013" t="str">
            <v>1VJ1LPTPA73CE1ZA</v>
          </cell>
          <cell r="B4013" t="str">
            <v>SMT</v>
          </cell>
          <cell r="C4013">
            <v>1</v>
          </cell>
          <cell r="D4013" t="e">
            <v>#N/A</v>
          </cell>
        </row>
        <row r="4014">
          <cell r="A4014" t="str">
            <v>1RE1LPTPA73CE1ZA</v>
          </cell>
          <cell r="B4014" t="str">
            <v>SMT</v>
          </cell>
          <cell r="C4014">
            <v>1</v>
          </cell>
          <cell r="D4014">
            <v>35</v>
          </cell>
        </row>
        <row r="4015">
          <cell r="A4015" t="str">
            <v>1RE2LPTPA73C1ZA</v>
          </cell>
          <cell r="B4015" t="str">
            <v>SMT</v>
          </cell>
          <cell r="C4015">
            <v>1</v>
          </cell>
          <cell r="D4015">
            <v>277</v>
          </cell>
          <cell r="E4015">
            <v>2210</v>
          </cell>
          <cell r="F4015" t="str">
            <v>VC01</v>
          </cell>
          <cell r="G4015" t="str">
            <v>Auto</v>
          </cell>
          <cell r="H4015">
            <v>311</v>
          </cell>
          <cell r="I4015">
            <v>2210</v>
          </cell>
          <cell r="J4015">
            <v>2220</v>
          </cell>
          <cell r="K4015" t="str">
            <v>VC01</v>
          </cell>
        </row>
        <row r="4016">
          <cell r="A4016" t="str">
            <v>1VJ1LPTPA73C1ZA</v>
          </cell>
          <cell r="B4016" t="str">
            <v>SMT</v>
          </cell>
          <cell r="C4016">
            <v>1</v>
          </cell>
          <cell r="D4016" t="e">
            <v>#N/A</v>
          </cell>
        </row>
        <row r="4017">
          <cell r="A4017" t="str">
            <v>1RE1LPTPA73C1ZA</v>
          </cell>
          <cell r="B4017" t="str">
            <v>SMT</v>
          </cell>
          <cell r="C4017">
            <v>1</v>
          </cell>
          <cell r="D4017">
            <v>35</v>
          </cell>
        </row>
        <row r="4018">
          <cell r="A4018" t="str">
            <v>1RE2LPTPA73AL1ZA</v>
          </cell>
          <cell r="B4018" t="str">
            <v>SMT</v>
          </cell>
          <cell r="C4018">
            <v>1</v>
          </cell>
          <cell r="D4018">
            <v>278</v>
          </cell>
          <cell r="E4018">
            <v>2210</v>
          </cell>
          <cell r="F4018" t="str">
            <v>VC01</v>
          </cell>
          <cell r="G4018" t="str">
            <v>Auto</v>
          </cell>
          <cell r="H4018">
            <v>311</v>
          </cell>
          <cell r="I4018">
            <v>2210</v>
          </cell>
          <cell r="J4018">
            <v>2220</v>
          </cell>
          <cell r="K4018" t="str">
            <v>VC01</v>
          </cell>
        </row>
        <row r="4019">
          <cell r="A4019" t="str">
            <v>1VJ1LPTPA73AL1ZA</v>
          </cell>
          <cell r="B4019" t="str">
            <v>SMT</v>
          </cell>
          <cell r="C4019">
            <v>1</v>
          </cell>
          <cell r="D4019" t="e">
            <v>#N/A</v>
          </cell>
        </row>
        <row r="4020">
          <cell r="A4020" t="str">
            <v>1RE1LPTPA73AL1ZA</v>
          </cell>
          <cell r="B4020" t="str">
            <v>SMT</v>
          </cell>
          <cell r="C4020">
            <v>1</v>
          </cell>
          <cell r="D4020">
            <v>35</v>
          </cell>
        </row>
        <row r="4021">
          <cell r="A4021" t="str">
            <v>1RE2LPTPA70CE1ZA</v>
          </cell>
          <cell r="B4021" t="str">
            <v>SMT</v>
          </cell>
          <cell r="C4021">
            <v>1</v>
          </cell>
          <cell r="D4021">
            <v>205</v>
          </cell>
          <cell r="E4021">
            <v>2210</v>
          </cell>
          <cell r="F4021" t="str">
            <v>VC01</v>
          </cell>
          <cell r="G4021" t="str">
            <v>Auto</v>
          </cell>
          <cell r="H4021">
            <v>311</v>
          </cell>
          <cell r="I4021">
            <v>2210</v>
          </cell>
          <cell r="J4021">
            <v>2220</v>
          </cell>
          <cell r="K4021" t="str">
            <v>VC01</v>
          </cell>
        </row>
        <row r="4022">
          <cell r="A4022" t="str">
            <v>1VJ1LPTPA70CE1ZA</v>
          </cell>
          <cell r="B4022" t="str">
            <v>SMT</v>
          </cell>
          <cell r="C4022">
            <v>1</v>
          </cell>
          <cell r="D4022" t="e">
            <v>#N/A</v>
          </cell>
        </row>
        <row r="4023">
          <cell r="A4023" t="str">
            <v>1RE1LPTPA70CE1ZA</v>
          </cell>
          <cell r="B4023" t="str">
            <v>SMT</v>
          </cell>
          <cell r="C4023">
            <v>1</v>
          </cell>
          <cell r="D4023">
            <v>58</v>
          </cell>
        </row>
        <row r="4024">
          <cell r="A4024" t="str">
            <v>1RE2LPTPA70C1ZA</v>
          </cell>
          <cell r="B4024" t="str">
            <v>SMT</v>
          </cell>
          <cell r="C4024">
            <v>1</v>
          </cell>
          <cell r="D4024">
            <v>204</v>
          </cell>
          <cell r="E4024">
            <v>2210</v>
          </cell>
          <cell r="F4024" t="str">
            <v>VC01</v>
          </cell>
          <cell r="G4024" t="str">
            <v>Auto</v>
          </cell>
          <cell r="H4024">
            <v>311</v>
          </cell>
          <cell r="I4024">
            <v>2210</v>
          </cell>
          <cell r="J4024" t="e">
            <v>#N/A</v>
          </cell>
          <cell r="K4024" t="str">
            <v>VC01</v>
          </cell>
        </row>
        <row r="4025">
          <cell r="A4025" t="str">
            <v>1VJ1LPTPA70C1ZA</v>
          </cell>
          <cell r="B4025" t="str">
            <v>SMT</v>
          </cell>
          <cell r="C4025">
            <v>1</v>
          </cell>
          <cell r="D4025" t="e">
            <v>#N/A</v>
          </cell>
        </row>
        <row r="4026">
          <cell r="A4026" t="str">
            <v>1RE1LPTPA70C1ZA</v>
          </cell>
          <cell r="B4026" t="str">
            <v>SMT</v>
          </cell>
          <cell r="C4026">
            <v>1</v>
          </cell>
          <cell r="D4026">
            <v>58</v>
          </cell>
        </row>
        <row r="4027">
          <cell r="A4027" t="str">
            <v>1RE2LPTPA70AL1ZA</v>
          </cell>
          <cell r="B4027" t="str">
            <v>SMT</v>
          </cell>
          <cell r="C4027">
            <v>1</v>
          </cell>
          <cell r="D4027">
            <v>205</v>
          </cell>
          <cell r="E4027">
            <v>2210</v>
          </cell>
          <cell r="F4027" t="str">
            <v>VC01</v>
          </cell>
          <cell r="G4027" t="str">
            <v>Auto</v>
          </cell>
          <cell r="H4027">
            <v>311</v>
          </cell>
          <cell r="I4027">
            <v>2210</v>
          </cell>
          <cell r="J4027">
            <v>2220</v>
          </cell>
          <cell r="K4027" t="str">
            <v>VC01</v>
          </cell>
        </row>
        <row r="4028">
          <cell r="A4028" t="str">
            <v>1VJ1LPTPA70AL1ZA</v>
          </cell>
          <cell r="B4028" t="str">
            <v>SMT</v>
          </cell>
          <cell r="C4028">
            <v>1</v>
          </cell>
          <cell r="D4028" t="e">
            <v>#N/A</v>
          </cell>
        </row>
        <row r="4029">
          <cell r="A4029" t="str">
            <v>1RE1LPTPA70AL1ZA</v>
          </cell>
          <cell r="B4029" t="str">
            <v>SMT</v>
          </cell>
          <cell r="C4029">
            <v>1</v>
          </cell>
          <cell r="D4029">
            <v>58</v>
          </cell>
        </row>
        <row r="4030">
          <cell r="A4030" t="str">
            <v>1AP1LPTGP700CE1ZA</v>
          </cell>
          <cell r="B4030" t="str">
            <v>DIP</v>
          </cell>
          <cell r="C4030">
            <v>1</v>
          </cell>
          <cell r="D4030" t="e">
            <v>#N/A</v>
          </cell>
          <cell r="E4030">
            <v>2210</v>
          </cell>
          <cell r="F4030" t="str">
            <v>VC01</v>
          </cell>
          <cell r="G4030" t="str">
            <v>Auto</v>
          </cell>
          <cell r="H4030">
            <v>311</v>
          </cell>
          <cell r="I4030">
            <v>2210</v>
          </cell>
          <cell r="J4030">
            <v>2220</v>
          </cell>
          <cell r="K4030" t="str">
            <v>VC01</v>
          </cell>
        </row>
        <row r="4031">
          <cell r="A4031" t="str">
            <v>1RH1LPTGP700CE1ZA</v>
          </cell>
          <cell r="B4031" t="str">
            <v>SMT</v>
          </cell>
          <cell r="C4031">
            <v>1</v>
          </cell>
          <cell r="D4031">
            <v>4</v>
          </cell>
          <cell r="E4031">
            <v>2210</v>
          </cell>
          <cell r="F4031" t="str">
            <v>VC01</v>
          </cell>
          <cell r="G4031" t="str">
            <v>Auto</v>
          </cell>
          <cell r="H4031">
            <v>311</v>
          </cell>
          <cell r="I4031">
            <v>2210</v>
          </cell>
          <cell r="J4031">
            <v>2220</v>
          </cell>
          <cell r="K4031" t="str">
            <v>VC01</v>
          </cell>
        </row>
        <row r="4032">
          <cell r="A4032" t="str">
            <v>1RE2LPTGP700CE1ZA</v>
          </cell>
          <cell r="B4032" t="str">
            <v>SMT</v>
          </cell>
          <cell r="C4032">
            <v>1</v>
          </cell>
          <cell r="D4032">
            <v>950</v>
          </cell>
        </row>
        <row r="4033">
          <cell r="A4033" t="str">
            <v>1VI1LPTGP700CE1ZA</v>
          </cell>
          <cell r="B4033" t="str">
            <v>SMT</v>
          </cell>
          <cell r="C4033">
            <v>1</v>
          </cell>
          <cell r="D4033" t="e">
            <v>#N/A</v>
          </cell>
        </row>
        <row r="4034">
          <cell r="A4034" t="str">
            <v>1VJ1LPTGP700CE1ZA</v>
          </cell>
          <cell r="B4034" t="str">
            <v>SMT</v>
          </cell>
          <cell r="C4034">
            <v>1</v>
          </cell>
          <cell r="D4034" t="e">
            <v>#N/A</v>
          </cell>
        </row>
        <row r="4035">
          <cell r="A4035" t="str">
            <v>1VJ2LPTGP700CE1ZA</v>
          </cell>
          <cell r="B4035" t="str">
            <v>SMT</v>
          </cell>
          <cell r="C4035">
            <v>1</v>
          </cell>
          <cell r="D4035" t="e">
            <v>#N/A</v>
          </cell>
        </row>
        <row r="4036">
          <cell r="A4036" t="str">
            <v>1RE1LPTGP700CE1ZA</v>
          </cell>
          <cell r="B4036" t="str">
            <v>SMT</v>
          </cell>
          <cell r="C4036">
            <v>1</v>
          </cell>
          <cell r="D4036">
            <v>828</v>
          </cell>
        </row>
        <row r="4037">
          <cell r="A4037" t="str">
            <v>1AP1LPTGP700M1ZA</v>
          </cell>
          <cell r="B4037" t="str">
            <v>DIP</v>
          </cell>
          <cell r="C4037">
            <v>1</v>
          </cell>
          <cell r="D4037" t="e">
            <v>#N/A</v>
          </cell>
          <cell r="E4037">
            <v>2210</v>
          </cell>
          <cell r="F4037" t="str">
            <v>VC01</v>
          </cell>
          <cell r="G4037" t="str">
            <v>Auto</v>
          </cell>
          <cell r="H4037">
            <v>311</v>
          </cell>
          <cell r="I4037">
            <v>2210</v>
          </cell>
          <cell r="J4037">
            <v>2220</v>
          </cell>
          <cell r="K4037" t="str">
            <v>VC01</v>
          </cell>
        </row>
        <row r="4038">
          <cell r="A4038" t="str">
            <v>1RH1LPTGP700M1ZA</v>
          </cell>
          <cell r="B4038" t="str">
            <v>SMT</v>
          </cell>
          <cell r="C4038">
            <v>1</v>
          </cell>
          <cell r="D4038">
            <v>3</v>
          </cell>
          <cell r="E4038">
            <v>2210</v>
          </cell>
          <cell r="F4038" t="str">
            <v>VC01</v>
          </cell>
          <cell r="G4038" t="str">
            <v>Auto</v>
          </cell>
          <cell r="H4038">
            <v>311</v>
          </cell>
          <cell r="I4038">
            <v>2210</v>
          </cell>
          <cell r="J4038">
            <v>2220</v>
          </cell>
          <cell r="K4038" t="str">
            <v>VC01</v>
          </cell>
        </row>
        <row r="4039">
          <cell r="A4039" t="str">
            <v>1RE2LPTGP700M1ZA</v>
          </cell>
          <cell r="B4039" t="str">
            <v>SMT</v>
          </cell>
          <cell r="C4039">
            <v>1</v>
          </cell>
          <cell r="D4039">
            <v>473</v>
          </cell>
        </row>
        <row r="4040">
          <cell r="A4040" t="str">
            <v>1VI1LPTGP700M1ZA</v>
          </cell>
          <cell r="B4040" t="str">
            <v>SMT</v>
          </cell>
          <cell r="C4040">
            <v>1</v>
          </cell>
          <cell r="D4040" t="e">
            <v>#N/A</v>
          </cell>
        </row>
        <row r="4041">
          <cell r="A4041" t="str">
            <v>1VJ1LPTGP700M1ZA</v>
          </cell>
          <cell r="B4041" t="str">
            <v>SMT</v>
          </cell>
          <cell r="C4041">
            <v>1</v>
          </cell>
          <cell r="D4041" t="e">
            <v>#N/A</v>
          </cell>
        </row>
        <row r="4042">
          <cell r="A4042" t="str">
            <v>1VJ2LPTGP700M1ZA</v>
          </cell>
          <cell r="B4042" t="str">
            <v>SMT</v>
          </cell>
          <cell r="C4042">
            <v>1</v>
          </cell>
          <cell r="D4042" t="e">
            <v>#N/A</v>
          </cell>
        </row>
        <row r="4043">
          <cell r="A4043" t="str">
            <v>1RE1LPTGP700M1ZA</v>
          </cell>
          <cell r="B4043" t="str">
            <v>SMT</v>
          </cell>
          <cell r="C4043">
            <v>1</v>
          </cell>
          <cell r="D4043">
            <v>275</v>
          </cell>
        </row>
        <row r="4044">
          <cell r="A4044" t="str">
            <v>1AP1LPTGP700AL1ZA</v>
          </cell>
          <cell r="B4044" t="str">
            <v>DIP</v>
          </cell>
          <cell r="C4044">
            <v>1</v>
          </cell>
          <cell r="D4044" t="e">
            <v>#N/A</v>
          </cell>
          <cell r="E4044">
            <v>2210</v>
          </cell>
          <cell r="F4044" t="str">
            <v>VC01</v>
          </cell>
          <cell r="G4044" t="str">
            <v>Auto</v>
          </cell>
          <cell r="H4044">
            <v>311</v>
          </cell>
          <cell r="I4044">
            <v>2210</v>
          </cell>
          <cell r="J4044">
            <v>2220</v>
          </cell>
          <cell r="K4044" t="str">
            <v>VC01</v>
          </cell>
        </row>
        <row r="4045">
          <cell r="A4045" t="str">
            <v>1RH1LPTGP700AL1ZA</v>
          </cell>
          <cell r="B4045" t="str">
            <v>SMT</v>
          </cell>
          <cell r="C4045">
            <v>1</v>
          </cell>
          <cell r="D4045">
            <v>3</v>
          </cell>
          <cell r="E4045">
            <v>2210</v>
          </cell>
          <cell r="F4045" t="str">
            <v>VC01</v>
          </cell>
          <cell r="G4045" t="str">
            <v>Auto</v>
          </cell>
          <cell r="H4045">
            <v>311</v>
          </cell>
          <cell r="I4045">
            <v>2210</v>
          </cell>
          <cell r="J4045">
            <v>2220</v>
          </cell>
          <cell r="K4045" t="str">
            <v>VC01</v>
          </cell>
        </row>
        <row r="4046">
          <cell r="A4046" t="str">
            <v>1RE2LPTGP700AL1ZA</v>
          </cell>
          <cell r="B4046" t="str">
            <v>SMT</v>
          </cell>
          <cell r="C4046">
            <v>1</v>
          </cell>
          <cell r="D4046">
            <v>473</v>
          </cell>
        </row>
        <row r="4047">
          <cell r="A4047" t="str">
            <v>1VI1LPTGP700AL1ZA</v>
          </cell>
          <cell r="B4047" t="str">
            <v>SMT</v>
          </cell>
          <cell r="C4047">
            <v>1</v>
          </cell>
          <cell r="D4047" t="e">
            <v>#N/A</v>
          </cell>
        </row>
        <row r="4048">
          <cell r="A4048" t="str">
            <v>1VJ1LPTGP700AL1ZA</v>
          </cell>
          <cell r="B4048" t="str">
            <v>SMT</v>
          </cell>
          <cell r="C4048">
            <v>1</v>
          </cell>
          <cell r="D4048" t="e">
            <v>#N/A</v>
          </cell>
        </row>
        <row r="4049">
          <cell r="A4049" t="str">
            <v>1VJ2LPTGP700AL1ZA</v>
          </cell>
          <cell r="B4049" t="str">
            <v>SMT</v>
          </cell>
          <cell r="C4049">
            <v>1</v>
          </cell>
          <cell r="D4049" t="e">
            <v>#N/A</v>
          </cell>
        </row>
        <row r="4050">
          <cell r="A4050" t="str">
            <v>1RE1LPTGP700AL1ZA</v>
          </cell>
          <cell r="B4050" t="str">
            <v>SMT</v>
          </cell>
          <cell r="C4050">
            <v>1</v>
          </cell>
          <cell r="D4050">
            <v>275</v>
          </cell>
        </row>
        <row r="4051">
          <cell r="A4051" t="str">
            <v>1RE2LPTPA70M1ZA</v>
          </cell>
          <cell r="B4051" t="str">
            <v>SMT</v>
          </cell>
          <cell r="C4051">
            <v>1</v>
          </cell>
          <cell r="D4051">
            <v>205</v>
          </cell>
          <cell r="E4051">
            <v>2210</v>
          </cell>
          <cell r="F4051" t="str">
            <v>VC01</v>
          </cell>
          <cell r="G4051" t="str">
            <v>Auto</v>
          </cell>
          <cell r="H4051">
            <v>311</v>
          </cell>
          <cell r="I4051">
            <v>2210</v>
          </cell>
          <cell r="J4051">
            <v>2220</v>
          </cell>
          <cell r="K4051" t="str">
            <v>VC01</v>
          </cell>
        </row>
        <row r="4052">
          <cell r="A4052" t="str">
            <v>1VJ1LPTPA70M1ZA</v>
          </cell>
          <cell r="B4052" t="str">
            <v>SMT</v>
          </cell>
          <cell r="C4052">
            <v>1</v>
          </cell>
          <cell r="D4052" t="e">
            <v>#N/A</v>
          </cell>
        </row>
        <row r="4053">
          <cell r="A4053" t="str">
            <v>1RE1LPTPA70M1ZA</v>
          </cell>
          <cell r="B4053" t="str">
            <v>SMT</v>
          </cell>
          <cell r="C4053">
            <v>1</v>
          </cell>
          <cell r="D4053">
            <v>58</v>
          </cell>
        </row>
        <row r="4054">
          <cell r="A4054" t="str">
            <v>1RE2LPTPA73M1ZA</v>
          </cell>
          <cell r="B4054" t="str">
            <v>SMT</v>
          </cell>
          <cell r="C4054">
            <v>1</v>
          </cell>
          <cell r="D4054">
            <v>278</v>
          </cell>
          <cell r="E4054">
            <v>2210</v>
          </cell>
          <cell r="F4054" t="str">
            <v>VC01</v>
          </cell>
          <cell r="G4054" t="str">
            <v>Auto</v>
          </cell>
          <cell r="H4054">
            <v>311</v>
          </cell>
          <cell r="I4054">
            <v>2210</v>
          </cell>
          <cell r="J4054">
            <v>2220</v>
          </cell>
          <cell r="K4054" t="str">
            <v>VC01</v>
          </cell>
        </row>
        <row r="4055">
          <cell r="A4055" t="str">
            <v>1VJ1LPTPA73M1ZA</v>
          </cell>
          <cell r="B4055" t="str">
            <v>SMT</v>
          </cell>
          <cell r="C4055">
            <v>1</v>
          </cell>
          <cell r="D4055" t="e">
            <v>#N/A</v>
          </cell>
        </row>
        <row r="4056">
          <cell r="A4056" t="str">
            <v>1RE1LPTPA73M1ZA</v>
          </cell>
          <cell r="B4056" t="str">
            <v>SMT</v>
          </cell>
          <cell r="C4056">
            <v>1</v>
          </cell>
          <cell r="D4056">
            <v>35</v>
          </cell>
        </row>
        <row r="4057">
          <cell r="A4057" t="str">
            <v>1RE2NS5113-S1</v>
          </cell>
          <cell r="B4057" t="str">
            <v>SMT</v>
          </cell>
          <cell r="C4057">
            <v>1</v>
          </cell>
          <cell r="D4057">
            <v>196</v>
          </cell>
        </row>
        <row r="4058">
          <cell r="A4058" t="str">
            <v>1RE1NS5113-S1</v>
          </cell>
          <cell r="B4058" t="str">
            <v>SMT</v>
          </cell>
          <cell r="C4058">
            <v>1</v>
          </cell>
          <cell r="D4058">
            <v>227</v>
          </cell>
        </row>
        <row r="4059">
          <cell r="A4059" t="str">
            <v>1RE2LPDT680NE1-R1</v>
          </cell>
          <cell r="B4059" t="str">
            <v>SMT</v>
          </cell>
          <cell r="C4059">
            <v>1</v>
          </cell>
          <cell r="D4059">
            <v>597</v>
          </cell>
        </row>
        <row r="4060">
          <cell r="A4060" t="str">
            <v>1VJ1LPDT680NE1-R1</v>
          </cell>
          <cell r="B4060" t="str">
            <v>SMT</v>
          </cell>
          <cell r="C4060">
            <v>1</v>
          </cell>
          <cell r="D4060" t="e">
            <v>#N/A</v>
          </cell>
        </row>
        <row r="4061">
          <cell r="A4061" t="str">
            <v>1VJ2LPDT680NE1-R1</v>
          </cell>
          <cell r="B4061" t="str">
            <v>SMT</v>
          </cell>
          <cell r="C4061">
            <v>1</v>
          </cell>
          <cell r="D4061" t="e">
            <v>#N/A</v>
          </cell>
        </row>
        <row r="4062">
          <cell r="A4062" t="str">
            <v>1RE1LPDT680NE1-R1</v>
          </cell>
          <cell r="B4062" t="str">
            <v>SMT</v>
          </cell>
          <cell r="C4062">
            <v>1</v>
          </cell>
          <cell r="D4062">
            <v>79</v>
          </cell>
        </row>
        <row r="4063">
          <cell r="A4063" t="str">
            <v>PNLB2887ZA-AP</v>
          </cell>
          <cell r="B4063" t="str">
            <v>SMT</v>
          </cell>
          <cell r="C4063">
            <v>1</v>
          </cell>
          <cell r="D4063" t="e">
            <v>#N/A</v>
          </cell>
        </row>
        <row r="4064">
          <cell r="A4064" t="str">
            <v>1RE2LPDT635NE1-R1</v>
          </cell>
          <cell r="B4064" t="str">
            <v>SMT</v>
          </cell>
          <cell r="C4064">
            <v>1</v>
          </cell>
          <cell r="D4064">
            <v>440</v>
          </cell>
        </row>
        <row r="4065">
          <cell r="A4065" t="str">
            <v>1VJ1LPDT635NE1-R1</v>
          </cell>
          <cell r="B4065" t="str">
            <v>SMT</v>
          </cell>
          <cell r="C4065">
            <v>1</v>
          </cell>
          <cell r="D4065" t="e">
            <v>#N/A</v>
          </cell>
        </row>
        <row r="4066">
          <cell r="A4066" t="str">
            <v>1VJ2LPDT635NE1-R1</v>
          </cell>
          <cell r="B4066" t="str">
            <v>SMT</v>
          </cell>
          <cell r="C4066">
            <v>1</v>
          </cell>
          <cell r="D4066" t="e">
            <v>#N/A</v>
          </cell>
        </row>
        <row r="4067">
          <cell r="A4067" t="str">
            <v>1RE1LPDT635NE1-R1</v>
          </cell>
          <cell r="B4067" t="str">
            <v>SMT</v>
          </cell>
          <cell r="C4067">
            <v>1</v>
          </cell>
          <cell r="D4067">
            <v>82</v>
          </cell>
        </row>
        <row r="4068">
          <cell r="A4068" t="str">
            <v>PNLB2886ZA-AP</v>
          </cell>
          <cell r="B4068" t="str">
            <v>SMT</v>
          </cell>
          <cell r="C4068">
            <v>1</v>
          </cell>
          <cell r="D4068" t="e">
            <v>#N/A</v>
          </cell>
        </row>
        <row r="4069">
          <cell r="A4069" t="str">
            <v>1RH1DPLB1228AB</v>
          </cell>
          <cell r="B4069" t="str">
            <v>SMT</v>
          </cell>
          <cell r="C4069">
            <v>1</v>
          </cell>
          <cell r="D4069" t="e">
            <v>#N/A</v>
          </cell>
        </row>
        <row r="4070">
          <cell r="A4070" t="str">
            <v>1RE1DPLB1279</v>
          </cell>
          <cell r="B4070" t="str">
            <v>SMT</v>
          </cell>
          <cell r="C4070">
            <v>1</v>
          </cell>
          <cell r="D4070" t="e">
            <v>#N/A</v>
          </cell>
        </row>
        <row r="4071">
          <cell r="A4071" t="str">
            <v>1VI1DPLB1279</v>
          </cell>
          <cell r="B4071" t="str">
            <v>SMT</v>
          </cell>
          <cell r="C4071">
            <v>1</v>
          </cell>
          <cell r="D4071" t="e">
            <v>#N/A</v>
          </cell>
        </row>
        <row r="4072">
          <cell r="A4072" t="str">
            <v>1VI2DPLB1279</v>
          </cell>
          <cell r="B4072" t="str">
            <v>SMT</v>
          </cell>
          <cell r="C4072">
            <v>1</v>
          </cell>
          <cell r="D4072" t="e">
            <v>#N/A</v>
          </cell>
        </row>
        <row r="4073">
          <cell r="A4073" t="str">
            <v>1VI3DPLB1279</v>
          </cell>
          <cell r="B4073" t="str">
            <v>SMT</v>
          </cell>
          <cell r="C4073">
            <v>1</v>
          </cell>
          <cell r="D4073" t="e">
            <v>#N/A</v>
          </cell>
        </row>
        <row r="4074">
          <cell r="A4074" t="str">
            <v>DPLB1279ZA/X1</v>
          </cell>
          <cell r="B4074" t="str">
            <v>SMT</v>
          </cell>
          <cell r="C4074">
            <v>1</v>
          </cell>
          <cell r="D4074" t="e">
            <v>#N/A</v>
          </cell>
        </row>
        <row r="4075">
          <cell r="A4075" t="str">
            <v>4RE1DPLB1282</v>
          </cell>
          <cell r="B4075" t="str">
            <v>SMT</v>
          </cell>
          <cell r="C4075">
            <v>1</v>
          </cell>
          <cell r="D4075" t="e">
            <v>#N/A</v>
          </cell>
        </row>
        <row r="4076">
          <cell r="A4076" t="str">
            <v>4VJ1DPLB1282</v>
          </cell>
          <cell r="B4076" t="str">
            <v>SMT</v>
          </cell>
          <cell r="C4076">
            <v>1</v>
          </cell>
          <cell r="D4076" t="e">
            <v>#N/A</v>
          </cell>
        </row>
        <row r="4077">
          <cell r="A4077" t="str">
            <v>4VJ2DPLB1282</v>
          </cell>
          <cell r="B4077" t="str">
            <v>SMT</v>
          </cell>
          <cell r="C4077">
            <v>1</v>
          </cell>
          <cell r="D4077" t="e">
            <v>#N/A</v>
          </cell>
        </row>
        <row r="4078">
          <cell r="A4078" t="str">
            <v>DPLB1282ZA/X1</v>
          </cell>
          <cell r="B4078" t="str">
            <v>SMT</v>
          </cell>
          <cell r="C4078">
            <v>1</v>
          </cell>
          <cell r="D4078" t="e">
            <v>#N/A</v>
          </cell>
        </row>
        <row r="4079">
          <cell r="A4079" t="str">
            <v>4RE1DPLB1282AB</v>
          </cell>
          <cell r="B4079" t="str">
            <v>SMT</v>
          </cell>
          <cell r="C4079">
            <v>1</v>
          </cell>
          <cell r="D4079" t="e">
            <v>#N/A</v>
          </cell>
        </row>
        <row r="4080">
          <cell r="A4080" t="str">
            <v>4VJ1DPLB1282AB</v>
          </cell>
          <cell r="B4080" t="str">
            <v>SMT</v>
          </cell>
          <cell r="C4080">
            <v>1</v>
          </cell>
          <cell r="D4080" t="e">
            <v>#N/A</v>
          </cell>
        </row>
        <row r="4081">
          <cell r="A4081" t="str">
            <v>4VJ2DPLB1282AB</v>
          </cell>
          <cell r="B4081" t="str">
            <v>SMT</v>
          </cell>
          <cell r="C4081">
            <v>1</v>
          </cell>
          <cell r="D4081" t="e">
            <v>#N/A</v>
          </cell>
        </row>
        <row r="4082">
          <cell r="A4082" t="str">
            <v>4RE1DPLB1282AC</v>
          </cell>
          <cell r="B4082" t="str">
            <v>SMT</v>
          </cell>
          <cell r="C4082">
            <v>1</v>
          </cell>
          <cell r="D4082" t="e">
            <v>#N/A</v>
          </cell>
        </row>
        <row r="4083">
          <cell r="A4083" t="str">
            <v>4VJ1DPLB1282AC</v>
          </cell>
          <cell r="B4083" t="str">
            <v>SMT</v>
          </cell>
          <cell r="C4083">
            <v>1</v>
          </cell>
          <cell r="D4083" t="e">
            <v>#N/A</v>
          </cell>
        </row>
        <row r="4084">
          <cell r="A4084" t="str">
            <v>4VJ2DPLB1282AC</v>
          </cell>
          <cell r="B4084" t="str">
            <v>SMT</v>
          </cell>
          <cell r="C4084">
            <v>1</v>
          </cell>
          <cell r="D4084" t="e">
            <v>#N/A</v>
          </cell>
        </row>
        <row r="4085">
          <cell r="A4085" t="str">
            <v>5RH1DPLB1283</v>
          </cell>
          <cell r="B4085" t="str">
            <v>SMT</v>
          </cell>
          <cell r="C4085">
            <v>1</v>
          </cell>
          <cell r="D4085" t="e">
            <v>#N/A</v>
          </cell>
        </row>
        <row r="4086">
          <cell r="A4086" t="str">
            <v>5RE1DPLB1283</v>
          </cell>
          <cell r="B4086" t="str">
            <v>SMT</v>
          </cell>
          <cell r="C4086">
            <v>1</v>
          </cell>
          <cell r="D4086" t="e">
            <v>#N/A</v>
          </cell>
        </row>
        <row r="4087">
          <cell r="A4087" t="str">
            <v>5VI1DPLB1283</v>
          </cell>
          <cell r="B4087" t="str">
            <v>SMT</v>
          </cell>
          <cell r="C4087">
            <v>1</v>
          </cell>
          <cell r="D4087" t="e">
            <v>#N/A</v>
          </cell>
        </row>
        <row r="4088">
          <cell r="A4088" t="str">
            <v>DPLB1283ZA/X1</v>
          </cell>
          <cell r="B4088" t="str">
            <v>SMT</v>
          </cell>
          <cell r="C4088">
            <v>1</v>
          </cell>
          <cell r="D4088" t="e">
            <v>#N/A</v>
          </cell>
        </row>
        <row r="4089">
          <cell r="A4089" t="str">
            <v>6RH1DPLB1284</v>
          </cell>
          <cell r="B4089" t="str">
            <v>SMT</v>
          </cell>
          <cell r="C4089">
            <v>1</v>
          </cell>
          <cell r="D4089" t="e">
            <v>#N/A</v>
          </cell>
        </row>
        <row r="4090">
          <cell r="A4090" t="str">
            <v>DPLB1284ZA/X1</v>
          </cell>
          <cell r="B4090" t="str">
            <v>SMT</v>
          </cell>
          <cell r="C4090">
            <v>1</v>
          </cell>
          <cell r="D4090" t="e">
            <v>#N/A</v>
          </cell>
        </row>
        <row r="4091">
          <cell r="A4091" t="str">
            <v>7RE1DPLB1285</v>
          </cell>
          <cell r="B4091" t="str">
            <v>SMT</v>
          </cell>
          <cell r="C4091">
            <v>1</v>
          </cell>
          <cell r="D4091" t="e">
            <v>#N/A</v>
          </cell>
        </row>
        <row r="4092">
          <cell r="A4092" t="str">
            <v>7VI1DPLB1285</v>
          </cell>
          <cell r="B4092" t="str">
            <v>SMT</v>
          </cell>
          <cell r="C4092">
            <v>1</v>
          </cell>
          <cell r="D4092" t="e">
            <v>#N/A</v>
          </cell>
        </row>
        <row r="4093">
          <cell r="A4093" t="str">
            <v>DPLB1285ZA/X1</v>
          </cell>
          <cell r="B4093" t="str">
            <v>SMT</v>
          </cell>
          <cell r="C4093">
            <v>1</v>
          </cell>
          <cell r="D4093" t="e">
            <v>#N/A</v>
          </cell>
        </row>
        <row r="4094">
          <cell r="A4094" t="str">
            <v>ARE1DPLB1287</v>
          </cell>
          <cell r="B4094" t="str">
            <v>SMT</v>
          </cell>
          <cell r="C4094">
            <v>1</v>
          </cell>
          <cell r="D4094" t="e">
            <v>#N/A</v>
          </cell>
        </row>
        <row r="4095">
          <cell r="A4095" t="str">
            <v>DPLB1287ZA/X1</v>
          </cell>
          <cell r="B4095" t="str">
            <v>SMT</v>
          </cell>
          <cell r="C4095">
            <v>1</v>
          </cell>
          <cell r="D4095" t="e">
            <v>#N/A</v>
          </cell>
        </row>
        <row r="4096">
          <cell r="A4096" t="str">
            <v>1RE2LPDT635NE1ZA</v>
          </cell>
          <cell r="B4096" t="str">
            <v>SMT</v>
          </cell>
          <cell r="C4096">
            <v>1</v>
          </cell>
          <cell r="D4096">
            <v>436</v>
          </cell>
          <cell r="E4096">
            <v>2210</v>
          </cell>
          <cell r="F4096" t="str">
            <v>VC01</v>
          </cell>
          <cell r="G4096" t="str">
            <v>Auto</v>
          </cell>
          <cell r="H4096">
            <v>311</v>
          </cell>
          <cell r="I4096">
            <v>2210</v>
          </cell>
          <cell r="J4096">
            <v>2220</v>
          </cell>
          <cell r="K4096" t="str">
            <v>VC01</v>
          </cell>
        </row>
        <row r="4097">
          <cell r="A4097" t="str">
            <v>1RE1LPDT635NE1ZA</v>
          </cell>
          <cell r="B4097" t="str">
            <v>SMT</v>
          </cell>
          <cell r="C4097">
            <v>1</v>
          </cell>
          <cell r="D4097">
            <v>80</v>
          </cell>
        </row>
        <row r="4098">
          <cell r="A4098" t="str">
            <v>1VJ1LPDT635NE1ZA</v>
          </cell>
          <cell r="B4098" t="str">
            <v>SMT</v>
          </cell>
          <cell r="C4098">
            <v>1</v>
          </cell>
          <cell r="D4098" t="e">
            <v>#N/A</v>
          </cell>
        </row>
        <row r="4099">
          <cell r="A4099" t="str">
            <v>1VJ2LPDT635NE1ZA</v>
          </cell>
          <cell r="B4099" t="str">
            <v>SMT</v>
          </cell>
          <cell r="C4099">
            <v>1</v>
          </cell>
          <cell r="D4099" t="e">
            <v>#N/A</v>
          </cell>
        </row>
        <row r="4100">
          <cell r="A4100" t="str">
            <v>1RE2LPDT680NE1ZA</v>
          </cell>
          <cell r="B4100" t="str">
            <v>SMT</v>
          </cell>
          <cell r="C4100">
            <v>1</v>
          </cell>
          <cell r="D4100">
            <v>593</v>
          </cell>
          <cell r="E4100">
            <v>2210</v>
          </cell>
          <cell r="F4100" t="str">
            <v>VC01</v>
          </cell>
          <cell r="G4100" t="str">
            <v>Auto</v>
          </cell>
          <cell r="H4100">
            <v>311</v>
          </cell>
          <cell r="I4100">
            <v>2210</v>
          </cell>
          <cell r="J4100">
            <v>2220</v>
          </cell>
          <cell r="K4100" t="str">
            <v>VC01</v>
          </cell>
        </row>
        <row r="4101">
          <cell r="A4101" t="str">
            <v>1RE1LPDT680NE1ZA</v>
          </cell>
          <cell r="B4101" t="str">
            <v>SMT</v>
          </cell>
          <cell r="C4101">
            <v>1</v>
          </cell>
          <cell r="D4101">
            <v>78</v>
          </cell>
        </row>
        <row r="4102">
          <cell r="A4102" t="str">
            <v>1VJ1LPDT680NE1ZA</v>
          </cell>
          <cell r="B4102" t="str">
            <v>SMT</v>
          </cell>
          <cell r="C4102">
            <v>1</v>
          </cell>
          <cell r="D4102" t="e">
            <v>#N/A</v>
          </cell>
        </row>
        <row r="4103">
          <cell r="A4103" t="str">
            <v>1VJ2LPDT680NE1ZA</v>
          </cell>
          <cell r="B4103" t="str">
            <v>SMT</v>
          </cell>
          <cell r="C4103">
            <v>1</v>
          </cell>
          <cell r="D4103" t="e">
            <v>#N/A</v>
          </cell>
        </row>
        <row r="4104">
          <cell r="A4104" t="str">
            <v>1RE2NS5110-T1</v>
          </cell>
          <cell r="B4104" t="str">
            <v>SMT</v>
          </cell>
          <cell r="C4104">
            <v>1</v>
          </cell>
          <cell r="D4104">
            <v>195</v>
          </cell>
          <cell r="E4104">
            <v>2210</v>
          </cell>
          <cell r="F4104" t="str">
            <v>VC01</v>
          </cell>
          <cell r="G4104" t="str">
            <v>Auto</v>
          </cell>
          <cell r="H4104">
            <v>311</v>
          </cell>
          <cell r="I4104">
            <v>2210</v>
          </cell>
          <cell r="J4104">
            <v>2310</v>
          </cell>
          <cell r="K4104" t="str">
            <v>VC01</v>
          </cell>
        </row>
        <row r="4105">
          <cell r="A4105" t="str">
            <v>1RE1NS5110-T1</v>
          </cell>
          <cell r="B4105" t="str">
            <v>SMT</v>
          </cell>
          <cell r="C4105">
            <v>1</v>
          </cell>
          <cell r="D4105">
            <v>113</v>
          </cell>
        </row>
        <row r="4106">
          <cell r="A4106" t="str">
            <v>1RE2NS5110-T2</v>
          </cell>
          <cell r="B4106" t="str">
            <v>SMT</v>
          </cell>
          <cell r="C4106">
            <v>1</v>
          </cell>
          <cell r="D4106">
            <v>195</v>
          </cell>
          <cell r="E4106">
            <v>2210</v>
          </cell>
          <cell r="F4106" t="str">
            <v>VC01</v>
          </cell>
          <cell r="G4106" t="str">
            <v>Auto</v>
          </cell>
          <cell r="H4106">
            <v>311</v>
          </cell>
          <cell r="I4106">
            <v>2210</v>
          </cell>
          <cell r="J4106" t="e">
            <v>#N/A</v>
          </cell>
          <cell r="K4106" t="str">
            <v>VC01</v>
          </cell>
        </row>
        <row r="4107">
          <cell r="A4107" t="str">
            <v>1RE1NS5110-T2</v>
          </cell>
          <cell r="B4107" t="str">
            <v>SMT</v>
          </cell>
          <cell r="C4107">
            <v>1</v>
          </cell>
          <cell r="D4107">
            <v>113</v>
          </cell>
        </row>
        <row r="4108">
          <cell r="A4108" t="str">
            <v>1RE2NS5112-T1</v>
          </cell>
          <cell r="B4108" t="str">
            <v>SMT</v>
          </cell>
          <cell r="C4108">
            <v>1</v>
          </cell>
          <cell r="D4108">
            <v>268</v>
          </cell>
          <cell r="E4108">
            <v>2210</v>
          </cell>
          <cell r="F4108" t="str">
            <v>VC01</v>
          </cell>
          <cell r="G4108" t="str">
            <v>Auto</v>
          </cell>
          <cell r="H4108">
            <v>311</v>
          </cell>
          <cell r="I4108">
            <v>2210</v>
          </cell>
          <cell r="J4108">
            <v>2310</v>
          </cell>
          <cell r="K4108" t="str">
            <v>VC01</v>
          </cell>
        </row>
        <row r="4109">
          <cell r="A4109" t="str">
            <v>1RE1NS5112-T1</v>
          </cell>
          <cell r="B4109" t="str">
            <v>SMT</v>
          </cell>
          <cell r="C4109">
            <v>1</v>
          </cell>
          <cell r="D4109">
            <v>204</v>
          </cell>
        </row>
        <row r="4110">
          <cell r="A4110" t="str">
            <v>1RH1DPLB1227AB</v>
          </cell>
          <cell r="B4110" t="str">
            <v>SMT</v>
          </cell>
          <cell r="C4110">
            <v>1</v>
          </cell>
          <cell r="D4110" t="e">
            <v>#N/A</v>
          </cell>
        </row>
        <row r="4111">
          <cell r="A4111" t="str">
            <v>1RE1DPLB1227AB</v>
          </cell>
          <cell r="B4111" t="str">
            <v>SMT</v>
          </cell>
          <cell r="C4111">
            <v>1</v>
          </cell>
          <cell r="D4111" t="e">
            <v>#N/A</v>
          </cell>
        </row>
        <row r="4112">
          <cell r="A4112" t="str">
            <v>1VI1DPLB1227AB</v>
          </cell>
          <cell r="B4112" t="str">
            <v>SMT</v>
          </cell>
          <cell r="C4112">
            <v>1</v>
          </cell>
          <cell r="D4112" t="e">
            <v>#N/A</v>
          </cell>
        </row>
        <row r="4113">
          <cell r="A4113" t="str">
            <v>F62603703AEU</v>
          </cell>
          <cell r="B4113" t="str">
            <v>SMT</v>
          </cell>
          <cell r="C4113">
            <v>3</v>
          </cell>
          <cell r="D4113" t="e">
            <v>#N/A</v>
          </cell>
        </row>
        <row r="4114">
          <cell r="A4114" t="str">
            <v>F62606P01AAP</v>
          </cell>
          <cell r="B4114" t="str">
            <v>SMT</v>
          </cell>
          <cell r="C4114">
            <v>1</v>
          </cell>
          <cell r="D4114" t="e">
            <v>#N/A</v>
          </cell>
        </row>
        <row r="4115">
          <cell r="A4115" t="str">
            <v>F6260BS73AAP</v>
          </cell>
          <cell r="B4115" t="str">
            <v>SMT</v>
          </cell>
          <cell r="C4115">
            <v>1</v>
          </cell>
          <cell r="D4115" t="e">
            <v>#N/A</v>
          </cell>
        </row>
        <row r="4116">
          <cell r="A4116" t="str">
            <v>F67453703ABP</v>
          </cell>
          <cell r="B4116" t="str">
            <v>SMT</v>
          </cell>
          <cell r="C4116">
            <v>1</v>
          </cell>
          <cell r="D4116" t="e">
            <v>#N/A</v>
          </cell>
        </row>
        <row r="4117">
          <cell r="A4117" t="str">
            <v>F67457602ACP</v>
          </cell>
          <cell r="B4117" t="str">
            <v>SMT</v>
          </cell>
          <cell r="C4117">
            <v>1</v>
          </cell>
          <cell r="D4117" t="e">
            <v>#N/A</v>
          </cell>
        </row>
        <row r="4118">
          <cell r="A4118" t="str">
            <v>F6745BS72ACP</v>
          </cell>
          <cell r="B4118" t="str">
            <v>SMT</v>
          </cell>
          <cell r="C4118">
            <v>1</v>
          </cell>
          <cell r="D4118" t="e">
            <v>#N/A</v>
          </cell>
        </row>
        <row r="4119">
          <cell r="A4119" t="str">
            <v>F6745CE71AEP</v>
          </cell>
          <cell r="B4119" t="str">
            <v>SMT</v>
          </cell>
          <cell r="C4119">
            <v>1</v>
          </cell>
          <cell r="D4119" t="e">
            <v>#N/A</v>
          </cell>
        </row>
        <row r="4120">
          <cell r="A4120" t="str">
            <v>1CM1F603L370AEU</v>
          </cell>
          <cell r="B4120" t="str">
            <v>SMT</v>
          </cell>
          <cell r="C4120">
            <v>1</v>
          </cell>
          <cell r="D4120">
            <v>83</v>
          </cell>
          <cell r="E4120">
            <v>6210</v>
          </cell>
          <cell r="F4120" t="str">
            <v>VG01</v>
          </cell>
          <cell r="G4120" t="str">
            <v>Auto</v>
          </cell>
          <cell r="H4120">
            <v>311</v>
          </cell>
          <cell r="I4120">
            <v>6210</v>
          </cell>
          <cell r="J4120">
            <v>6220</v>
          </cell>
          <cell r="K4120" t="str">
            <v>VG01</v>
          </cell>
        </row>
        <row r="4121">
          <cell r="A4121" t="str">
            <v>1RH1F603L370AEU</v>
          </cell>
          <cell r="B4121" t="str">
            <v>SMT</v>
          </cell>
          <cell r="C4121">
            <v>1</v>
          </cell>
          <cell r="D4121">
            <v>6</v>
          </cell>
        </row>
        <row r="4122">
          <cell r="A4122" t="str">
            <v>1AE1F603L370AEU</v>
          </cell>
          <cell r="B4122" t="str">
            <v>SMT</v>
          </cell>
          <cell r="C4122">
            <v>1</v>
          </cell>
          <cell r="D4122">
            <v>70</v>
          </cell>
        </row>
        <row r="4123">
          <cell r="A4123" t="str">
            <v>1HT1F603L370AEU</v>
          </cell>
          <cell r="B4123" t="str">
            <v>SMT</v>
          </cell>
          <cell r="C4123">
            <v>1</v>
          </cell>
          <cell r="D4123">
            <v>12</v>
          </cell>
        </row>
        <row r="4124">
          <cell r="A4124" t="str">
            <v>1CM1F603L370AHP</v>
          </cell>
          <cell r="B4124" t="str">
            <v>SMT</v>
          </cell>
          <cell r="C4124">
            <v>1</v>
          </cell>
          <cell r="D4124">
            <v>83</v>
          </cell>
          <cell r="E4124">
            <v>6210</v>
          </cell>
          <cell r="F4124" t="str">
            <v>VG01</v>
          </cell>
          <cell r="G4124" t="str">
            <v>Auto</v>
          </cell>
          <cell r="H4124">
            <v>311</v>
          </cell>
          <cell r="I4124">
            <v>6210</v>
          </cell>
          <cell r="J4124">
            <v>6220</v>
          </cell>
          <cell r="K4124" t="str">
            <v>VG01</v>
          </cell>
        </row>
        <row r="4125">
          <cell r="A4125" t="str">
            <v>1RH1F603L370AHP</v>
          </cell>
          <cell r="B4125" t="str">
            <v>SMT</v>
          </cell>
          <cell r="C4125">
            <v>1</v>
          </cell>
          <cell r="D4125">
            <v>6</v>
          </cell>
        </row>
        <row r="4126">
          <cell r="A4126" t="str">
            <v>1AE1F603L370AHP</v>
          </cell>
          <cell r="B4126" t="str">
            <v>SMT</v>
          </cell>
          <cell r="C4126">
            <v>1</v>
          </cell>
          <cell r="D4126">
            <v>70</v>
          </cell>
        </row>
        <row r="4127">
          <cell r="A4127" t="str">
            <v>1HT1F603L370AHP</v>
          </cell>
          <cell r="B4127" t="str">
            <v>SMT</v>
          </cell>
          <cell r="C4127">
            <v>1</v>
          </cell>
          <cell r="D4127">
            <v>12</v>
          </cell>
        </row>
        <row r="4128">
          <cell r="A4128" t="str">
            <v>1CM1F603L6P1AAP1</v>
          </cell>
          <cell r="B4128" t="str">
            <v>SMT</v>
          </cell>
          <cell r="C4128">
            <v>1</v>
          </cell>
          <cell r="D4128">
            <v>33</v>
          </cell>
          <cell r="E4128">
            <v>6210</v>
          </cell>
          <cell r="F4128" t="str">
            <v>VG01</v>
          </cell>
          <cell r="G4128" t="str">
            <v>Auto</v>
          </cell>
          <cell r="H4128">
            <v>311</v>
          </cell>
          <cell r="I4128">
            <v>6210</v>
          </cell>
          <cell r="J4128">
            <v>6220</v>
          </cell>
          <cell r="K4128" t="str">
            <v>VG01</v>
          </cell>
        </row>
        <row r="4129">
          <cell r="A4129" t="str">
            <v>1RH1F603L6P1AAP1</v>
          </cell>
          <cell r="B4129" t="str">
            <v>SMT</v>
          </cell>
          <cell r="C4129">
            <v>1</v>
          </cell>
          <cell r="D4129">
            <v>4</v>
          </cell>
        </row>
        <row r="4130">
          <cell r="A4130" t="str">
            <v>1AE1F603L6P1AAP1</v>
          </cell>
          <cell r="B4130" t="str">
            <v>SMT</v>
          </cell>
          <cell r="C4130">
            <v>1</v>
          </cell>
          <cell r="D4130">
            <v>40</v>
          </cell>
        </row>
        <row r="4131">
          <cell r="A4131" t="str">
            <v>F62606P02AAP</v>
          </cell>
          <cell r="B4131" t="str">
            <v>SMT</v>
          </cell>
          <cell r="C4131">
            <v>1</v>
          </cell>
          <cell r="D4131" t="e">
            <v>#N/A</v>
          </cell>
        </row>
        <row r="4132">
          <cell r="A4132" t="str">
            <v>1CM1F603L9J9ABZ</v>
          </cell>
          <cell r="B4132" t="str">
            <v>SMT</v>
          </cell>
          <cell r="C4132">
            <v>1</v>
          </cell>
          <cell r="D4132">
            <v>83</v>
          </cell>
          <cell r="E4132">
            <v>6210</v>
          </cell>
          <cell r="F4132" t="str">
            <v>VG01</v>
          </cell>
          <cell r="G4132" t="str">
            <v>Auto</v>
          </cell>
          <cell r="H4132">
            <v>311</v>
          </cell>
          <cell r="I4132">
            <v>6210</v>
          </cell>
          <cell r="J4132">
            <v>6220</v>
          </cell>
          <cell r="K4132" t="str">
            <v>VG01</v>
          </cell>
        </row>
        <row r="4133">
          <cell r="A4133" t="str">
            <v>1RH1F603L9J9ABZ</v>
          </cell>
          <cell r="B4133" t="str">
            <v>SMT</v>
          </cell>
          <cell r="C4133">
            <v>1</v>
          </cell>
          <cell r="D4133">
            <v>6</v>
          </cell>
        </row>
        <row r="4134">
          <cell r="A4134" t="str">
            <v>1AE1F603L9J9ABZ</v>
          </cell>
          <cell r="B4134" t="str">
            <v>SMT</v>
          </cell>
          <cell r="C4134">
            <v>1</v>
          </cell>
          <cell r="D4134">
            <v>70</v>
          </cell>
        </row>
        <row r="4135">
          <cell r="A4135" t="str">
            <v>1HT1F603L9J9ABZ</v>
          </cell>
          <cell r="B4135" t="str">
            <v>SMT</v>
          </cell>
          <cell r="C4135">
            <v>1</v>
          </cell>
          <cell r="D4135">
            <v>12</v>
          </cell>
        </row>
        <row r="4136">
          <cell r="A4136" t="str">
            <v>1CM1F603LBS7AAP</v>
          </cell>
          <cell r="B4136" t="str">
            <v>SMT</v>
          </cell>
          <cell r="C4136">
            <v>1</v>
          </cell>
          <cell r="D4136">
            <v>131</v>
          </cell>
          <cell r="E4136">
            <v>6210</v>
          </cell>
          <cell r="F4136" t="str">
            <v>VG01</v>
          </cell>
          <cell r="G4136" t="str">
            <v>Auto</v>
          </cell>
          <cell r="H4136">
            <v>311</v>
          </cell>
          <cell r="I4136">
            <v>6210</v>
          </cell>
          <cell r="J4136">
            <v>6220</v>
          </cell>
          <cell r="K4136" t="str">
            <v>VG01</v>
          </cell>
        </row>
        <row r="4137">
          <cell r="A4137" t="str">
            <v>1RH1F603LBS7AAP</v>
          </cell>
          <cell r="B4137" t="str">
            <v>SMT</v>
          </cell>
          <cell r="C4137">
            <v>1</v>
          </cell>
          <cell r="D4137">
            <v>11</v>
          </cell>
        </row>
        <row r="4138">
          <cell r="A4138" t="str">
            <v>1AE1F603LBS7AAP</v>
          </cell>
          <cell r="B4138" t="str">
            <v>SMT</v>
          </cell>
          <cell r="C4138">
            <v>1</v>
          </cell>
          <cell r="D4138">
            <v>45</v>
          </cell>
        </row>
        <row r="4139">
          <cell r="A4139" t="str">
            <v>1HT1F603LBS7AAP</v>
          </cell>
          <cell r="B4139" t="str">
            <v>SMT</v>
          </cell>
          <cell r="C4139">
            <v>1</v>
          </cell>
          <cell r="D4139">
            <v>4</v>
          </cell>
        </row>
        <row r="4140">
          <cell r="A4140" t="str">
            <v>1CM1F603LCE5AP1</v>
          </cell>
          <cell r="B4140" t="str">
            <v>SMT</v>
          </cell>
          <cell r="C4140">
            <v>1</v>
          </cell>
          <cell r="D4140">
            <v>83</v>
          </cell>
          <cell r="E4140">
            <v>6210</v>
          </cell>
          <cell r="F4140" t="str">
            <v>VG01</v>
          </cell>
          <cell r="G4140" t="str">
            <v>Auto</v>
          </cell>
          <cell r="H4140">
            <v>311</v>
          </cell>
          <cell r="I4140">
            <v>6210</v>
          </cell>
          <cell r="J4140">
            <v>6220</v>
          </cell>
          <cell r="K4140" t="str">
            <v>VG01</v>
          </cell>
        </row>
        <row r="4141">
          <cell r="A4141" t="str">
            <v>1RH1F603LCE5AP1</v>
          </cell>
          <cell r="B4141" t="str">
            <v>SMT</v>
          </cell>
          <cell r="C4141">
            <v>1</v>
          </cell>
          <cell r="D4141">
            <v>6</v>
          </cell>
        </row>
        <row r="4142">
          <cell r="A4142" t="str">
            <v>1AE1F603LCE5AP1</v>
          </cell>
          <cell r="B4142" t="str">
            <v>SMT</v>
          </cell>
          <cell r="C4142">
            <v>1</v>
          </cell>
          <cell r="D4142">
            <v>71</v>
          </cell>
        </row>
        <row r="4143">
          <cell r="A4143" t="str">
            <v>1HT1F603LCE5AP1</v>
          </cell>
          <cell r="B4143" t="str">
            <v>SMT</v>
          </cell>
          <cell r="C4143">
            <v>1</v>
          </cell>
          <cell r="D4143">
            <v>12</v>
          </cell>
        </row>
        <row r="4144">
          <cell r="A4144" t="str">
            <v>1CM1F603LCE6AP1</v>
          </cell>
          <cell r="B4144" t="str">
            <v>SMT</v>
          </cell>
          <cell r="C4144">
            <v>1</v>
          </cell>
          <cell r="D4144">
            <v>83</v>
          </cell>
          <cell r="E4144">
            <v>6210</v>
          </cell>
          <cell r="F4144" t="str">
            <v>VG01</v>
          </cell>
          <cell r="G4144" t="str">
            <v>Auto</v>
          </cell>
          <cell r="H4144">
            <v>311</v>
          </cell>
          <cell r="I4144">
            <v>6210</v>
          </cell>
          <cell r="J4144">
            <v>6220</v>
          </cell>
          <cell r="K4144" t="str">
            <v>VG01</v>
          </cell>
        </row>
        <row r="4145">
          <cell r="A4145" t="str">
            <v>1RH1F603LCE6AP1</v>
          </cell>
          <cell r="B4145" t="str">
            <v>SMT</v>
          </cell>
          <cell r="C4145">
            <v>1</v>
          </cell>
          <cell r="D4145">
            <v>6</v>
          </cell>
        </row>
        <row r="4146">
          <cell r="A4146" t="str">
            <v>1AE1F603LCE6AP1</v>
          </cell>
          <cell r="B4146" t="str">
            <v>SMT</v>
          </cell>
          <cell r="C4146">
            <v>1</v>
          </cell>
          <cell r="D4146">
            <v>71</v>
          </cell>
        </row>
        <row r="4147">
          <cell r="A4147" t="str">
            <v>1HT1F603LCE6AP1</v>
          </cell>
          <cell r="B4147" t="str">
            <v>SMT</v>
          </cell>
          <cell r="C4147">
            <v>1</v>
          </cell>
          <cell r="D4147">
            <v>12</v>
          </cell>
        </row>
        <row r="4148">
          <cell r="A4148" t="str">
            <v>1CM1F603LCE7AEP</v>
          </cell>
          <cell r="B4148" t="str">
            <v>SMT</v>
          </cell>
          <cell r="C4148">
            <v>1</v>
          </cell>
          <cell r="D4148">
            <v>129</v>
          </cell>
          <cell r="E4148">
            <v>6210</v>
          </cell>
          <cell r="F4148" t="str">
            <v>VG01</v>
          </cell>
          <cell r="G4148" t="str">
            <v>Auto</v>
          </cell>
          <cell r="H4148">
            <v>311</v>
          </cell>
          <cell r="I4148">
            <v>6210</v>
          </cell>
          <cell r="J4148">
            <v>6220</v>
          </cell>
          <cell r="K4148" t="str">
            <v>VG01</v>
          </cell>
        </row>
        <row r="4149">
          <cell r="A4149" t="str">
            <v>1RH1F603LCE7AEP</v>
          </cell>
          <cell r="B4149" t="str">
            <v>SMT</v>
          </cell>
          <cell r="C4149">
            <v>1</v>
          </cell>
          <cell r="D4149">
            <v>11</v>
          </cell>
        </row>
        <row r="4150">
          <cell r="A4150" t="str">
            <v>1AE1F603LCE7AEP</v>
          </cell>
          <cell r="B4150" t="str">
            <v>SMT</v>
          </cell>
          <cell r="C4150">
            <v>1</v>
          </cell>
          <cell r="D4150">
            <v>45</v>
          </cell>
        </row>
        <row r="4151">
          <cell r="A4151" t="str">
            <v>1HT1F603LCE7AEP</v>
          </cell>
          <cell r="B4151" t="str">
            <v>SMT</v>
          </cell>
          <cell r="C4151">
            <v>1</v>
          </cell>
          <cell r="D4151">
            <v>4</v>
          </cell>
        </row>
        <row r="4152">
          <cell r="A4152" t="str">
            <v>1HT1F607XBS7ACP</v>
          </cell>
          <cell r="B4152" t="str">
            <v>SMT</v>
          </cell>
          <cell r="C4152">
            <v>1</v>
          </cell>
          <cell r="D4152">
            <v>6</v>
          </cell>
          <cell r="E4152">
            <v>6210</v>
          </cell>
          <cell r="F4152" t="str">
            <v>VG01</v>
          </cell>
          <cell r="G4152" t="str">
            <v>Auto</v>
          </cell>
          <cell r="H4152">
            <v>311</v>
          </cell>
          <cell r="I4152">
            <v>6210</v>
          </cell>
          <cell r="J4152">
            <v>6220</v>
          </cell>
          <cell r="K4152" t="str">
            <v>VG01</v>
          </cell>
        </row>
        <row r="4153">
          <cell r="A4153" t="str">
            <v>1HT1F607XCE7AEP</v>
          </cell>
          <cell r="B4153" t="str">
            <v>SMT</v>
          </cell>
          <cell r="C4153">
            <v>1</v>
          </cell>
          <cell r="D4153">
            <v>6</v>
          </cell>
          <cell r="E4153">
            <v>6210</v>
          </cell>
          <cell r="F4153" t="str">
            <v>VG01</v>
          </cell>
          <cell r="G4153" t="str">
            <v>Auto</v>
          </cell>
          <cell r="H4153">
            <v>311</v>
          </cell>
          <cell r="I4153">
            <v>6210</v>
          </cell>
          <cell r="J4153">
            <v>6220</v>
          </cell>
          <cell r="K4153" t="str">
            <v>VG01</v>
          </cell>
        </row>
        <row r="4154">
          <cell r="A4154" t="str">
            <v>1HT1F692Y-370A</v>
          </cell>
          <cell r="B4154" t="str">
            <v>SMT</v>
          </cell>
          <cell r="C4154">
            <v>1</v>
          </cell>
          <cell r="D4154">
            <v>11</v>
          </cell>
          <cell r="E4154">
            <v>6210</v>
          </cell>
          <cell r="F4154" t="str">
            <v>VG01</v>
          </cell>
          <cell r="G4154" t="str">
            <v>Auto</v>
          </cell>
          <cell r="H4154">
            <v>311</v>
          </cell>
          <cell r="I4154">
            <v>6210</v>
          </cell>
          <cell r="J4154">
            <v>6220</v>
          </cell>
          <cell r="K4154" t="str">
            <v>VG01</v>
          </cell>
        </row>
        <row r="4155">
          <cell r="A4155" t="str">
            <v>1HT1F692Y370ABP</v>
          </cell>
          <cell r="B4155" t="str">
            <v>SMT</v>
          </cell>
          <cell r="C4155">
            <v>1</v>
          </cell>
          <cell r="D4155">
            <v>11</v>
          </cell>
          <cell r="E4155">
            <v>6210</v>
          </cell>
          <cell r="F4155" t="str">
            <v>VG01</v>
          </cell>
          <cell r="G4155" t="str">
            <v>Auto</v>
          </cell>
          <cell r="H4155">
            <v>311</v>
          </cell>
          <cell r="I4155">
            <v>6210</v>
          </cell>
          <cell r="J4155">
            <v>6220</v>
          </cell>
          <cell r="K4155" t="str">
            <v>VG01</v>
          </cell>
        </row>
        <row r="4156">
          <cell r="A4156" t="str">
            <v>F67453704ABP</v>
          </cell>
          <cell r="B4156" t="str">
            <v>SMT</v>
          </cell>
          <cell r="C4156">
            <v>1</v>
          </cell>
          <cell r="D4156" t="e">
            <v>#N/A</v>
          </cell>
        </row>
        <row r="4157">
          <cell r="A4157" t="str">
            <v>1HT1F692Y371ABP</v>
          </cell>
          <cell r="B4157" t="str">
            <v>SMT</v>
          </cell>
          <cell r="C4157">
            <v>1</v>
          </cell>
          <cell r="D4157">
            <v>11</v>
          </cell>
          <cell r="E4157">
            <v>6210</v>
          </cell>
          <cell r="F4157" t="str">
            <v>VG01</v>
          </cell>
          <cell r="G4157" t="str">
            <v>Auto</v>
          </cell>
          <cell r="H4157">
            <v>311</v>
          </cell>
          <cell r="I4157">
            <v>6210</v>
          </cell>
          <cell r="J4157">
            <v>6220</v>
          </cell>
          <cell r="K4157" t="str">
            <v>VG01</v>
          </cell>
        </row>
        <row r="4158">
          <cell r="A4158" t="str">
            <v>1HT1F692Y-376A</v>
          </cell>
          <cell r="B4158" t="str">
            <v>SMT</v>
          </cell>
          <cell r="C4158">
            <v>1</v>
          </cell>
          <cell r="D4158">
            <v>11</v>
          </cell>
          <cell r="E4158">
            <v>6210</v>
          </cell>
          <cell r="F4158" t="str">
            <v>VG01</v>
          </cell>
          <cell r="G4158" t="str">
            <v>Auto</v>
          </cell>
          <cell r="H4158">
            <v>311</v>
          </cell>
          <cell r="I4158">
            <v>6210</v>
          </cell>
          <cell r="J4158">
            <v>6220</v>
          </cell>
          <cell r="K4158" t="str">
            <v>VG01</v>
          </cell>
        </row>
        <row r="4159">
          <cell r="A4159" t="str">
            <v>1RE2TDA0410XEU</v>
          </cell>
          <cell r="B4159" t="str">
            <v>SMT</v>
          </cell>
          <cell r="C4159">
            <v>1</v>
          </cell>
          <cell r="D4159">
            <v>297</v>
          </cell>
          <cell r="E4159">
            <v>2210</v>
          </cell>
          <cell r="F4159" t="str">
            <v>VC01</v>
          </cell>
          <cell r="G4159" t="str">
            <v>Auto</v>
          </cell>
          <cell r="H4159">
            <v>311</v>
          </cell>
          <cell r="I4159">
            <v>2210</v>
          </cell>
          <cell r="J4159">
            <v>2310</v>
          </cell>
          <cell r="K4159" t="str">
            <v>VC01</v>
          </cell>
        </row>
        <row r="4160">
          <cell r="A4160" t="str">
            <v>1RE1TDA0410XEU</v>
          </cell>
          <cell r="B4160" t="str">
            <v>SMT</v>
          </cell>
          <cell r="C4160">
            <v>1</v>
          </cell>
          <cell r="D4160">
            <v>405</v>
          </cell>
        </row>
        <row r="4161">
          <cell r="A4161" t="str">
            <v>1VJ1TDA0410XEU</v>
          </cell>
          <cell r="B4161" t="str">
            <v>SMT</v>
          </cell>
          <cell r="C4161">
            <v>1</v>
          </cell>
          <cell r="D4161" t="e">
            <v>#N/A</v>
          </cell>
        </row>
        <row r="4162">
          <cell r="A4162" t="str">
            <v>F64033712ABP</v>
          </cell>
          <cell r="B4162" t="str">
            <v>SMT</v>
          </cell>
          <cell r="C4162">
            <v>1</v>
          </cell>
          <cell r="D4162" t="e">
            <v>#N/A</v>
          </cell>
          <cell r="E4162">
            <v>6210</v>
          </cell>
          <cell r="F4162" t="str">
            <v>VG01</v>
          </cell>
          <cell r="G4162" t="str">
            <v>Auto</v>
          </cell>
          <cell r="H4162">
            <v>311</v>
          </cell>
          <cell r="I4162">
            <v>6210</v>
          </cell>
          <cell r="J4162">
            <v>6220</v>
          </cell>
          <cell r="K4162" t="str">
            <v>VG01</v>
          </cell>
        </row>
        <row r="4163">
          <cell r="A4163" t="str">
            <v>F606X371ABP-V4</v>
          </cell>
          <cell r="B4163" t="str">
            <v>DIP</v>
          </cell>
          <cell r="C4163">
            <v>1</v>
          </cell>
          <cell r="D4163" t="e">
            <v>#N/A</v>
          </cell>
          <cell r="E4163">
            <v>6210</v>
          </cell>
          <cell r="F4163" t="str">
            <v>VG01</v>
          </cell>
          <cell r="G4163" t="str">
            <v>Auto</v>
          </cell>
          <cell r="H4163">
            <v>311</v>
          </cell>
          <cell r="I4163">
            <v>6210</v>
          </cell>
          <cell r="J4163">
            <v>6220</v>
          </cell>
          <cell r="K4163" t="str">
            <v>VG01</v>
          </cell>
        </row>
        <row r="4164">
          <cell r="A4164" t="str">
            <v>1CM1H603Y-3K20FES1</v>
          </cell>
          <cell r="B4164" t="str">
            <v>SMT</v>
          </cell>
          <cell r="C4164">
            <v>1</v>
          </cell>
          <cell r="D4164">
            <v>6</v>
          </cell>
          <cell r="E4164">
            <v>6210</v>
          </cell>
          <cell r="F4164" t="str">
            <v>VG01</v>
          </cell>
          <cell r="G4164" t="str">
            <v>Auto</v>
          </cell>
          <cell r="H4164">
            <v>311</v>
          </cell>
          <cell r="I4164">
            <v>6210</v>
          </cell>
          <cell r="J4164">
            <v>6220</v>
          </cell>
          <cell r="K4164" t="str">
            <v>VG01</v>
          </cell>
        </row>
        <row r="4165">
          <cell r="A4165" t="str">
            <v>1AE1H603Y-3K20FES1</v>
          </cell>
          <cell r="B4165" t="str">
            <v>SMT</v>
          </cell>
          <cell r="C4165">
            <v>1</v>
          </cell>
          <cell r="D4165">
            <v>10</v>
          </cell>
        </row>
        <row r="4166">
          <cell r="A4166" t="str">
            <v>1HT1H603Y-3K20FES1</v>
          </cell>
          <cell r="B4166" t="str">
            <v>SMT</v>
          </cell>
          <cell r="C4166">
            <v>1</v>
          </cell>
          <cell r="D4166">
            <v>20</v>
          </cell>
        </row>
        <row r="4167">
          <cell r="A4167" t="str">
            <v>1CM1H653L-3K20FES1</v>
          </cell>
          <cell r="B4167" t="str">
            <v>SMT</v>
          </cell>
          <cell r="C4167">
            <v>1</v>
          </cell>
          <cell r="D4167">
            <v>430</v>
          </cell>
          <cell r="E4167">
            <v>6210</v>
          </cell>
          <cell r="F4167" t="str">
            <v>VG01</v>
          </cell>
          <cell r="G4167" t="str">
            <v>Auto</v>
          </cell>
          <cell r="H4167">
            <v>311</v>
          </cell>
          <cell r="I4167">
            <v>6210</v>
          </cell>
          <cell r="J4167">
            <v>6220</v>
          </cell>
          <cell r="K4167" t="str">
            <v>VG01</v>
          </cell>
        </row>
        <row r="4168">
          <cell r="A4168" t="str">
            <v>1RH1H653L-3K20FES1</v>
          </cell>
          <cell r="B4168" t="str">
            <v>SMT</v>
          </cell>
          <cell r="C4168">
            <v>1</v>
          </cell>
          <cell r="D4168">
            <v>36</v>
          </cell>
        </row>
        <row r="4169">
          <cell r="A4169" t="str">
            <v>1AE1H653L-3K20FES1</v>
          </cell>
          <cell r="B4169" t="str">
            <v>SMT</v>
          </cell>
          <cell r="C4169">
            <v>1</v>
          </cell>
          <cell r="D4169">
            <v>149</v>
          </cell>
        </row>
        <row r="4170">
          <cell r="A4170" t="str">
            <v>1HT1H653L-3K20FES1</v>
          </cell>
          <cell r="B4170" t="str">
            <v>SMT</v>
          </cell>
          <cell r="C4170">
            <v>1</v>
          </cell>
          <cell r="D4170">
            <v>14</v>
          </cell>
        </row>
        <row r="4171">
          <cell r="A4171" t="str">
            <v>H6260-3K20</v>
          </cell>
          <cell r="B4171" t="str">
            <v>SMT</v>
          </cell>
          <cell r="C4171">
            <v>1</v>
          </cell>
          <cell r="D4171" t="e">
            <v>#N/A</v>
          </cell>
        </row>
        <row r="4172">
          <cell r="A4172" t="str">
            <v>1AP1NS0132XVN</v>
          </cell>
          <cell r="B4172" t="str">
            <v>DIP</v>
          </cell>
          <cell r="C4172">
            <v>1</v>
          </cell>
          <cell r="D4172" t="e">
            <v>#N/A</v>
          </cell>
          <cell r="E4172">
            <v>2210</v>
          </cell>
          <cell r="F4172" t="str">
            <v>VC01</v>
          </cell>
          <cell r="G4172" t="str">
            <v>Auto</v>
          </cell>
          <cell r="H4172">
            <v>311</v>
          </cell>
          <cell r="I4172">
            <v>2210</v>
          </cell>
          <cell r="J4172">
            <v>2310</v>
          </cell>
          <cell r="K4172" t="str">
            <v>VC01</v>
          </cell>
        </row>
        <row r="4173">
          <cell r="A4173" t="str">
            <v>1RE1NS0132XVN</v>
          </cell>
          <cell r="B4173" t="str">
            <v>SMT</v>
          </cell>
          <cell r="C4173">
            <v>1</v>
          </cell>
          <cell r="D4173">
            <v>685</v>
          </cell>
          <cell r="E4173">
            <v>2210</v>
          </cell>
          <cell r="F4173" t="str">
            <v>VC01</v>
          </cell>
          <cell r="G4173" t="str">
            <v>Auto</v>
          </cell>
          <cell r="H4173">
            <v>311</v>
          </cell>
          <cell r="I4173">
            <v>2210</v>
          </cell>
          <cell r="J4173">
            <v>2310</v>
          </cell>
          <cell r="K4173" t="str">
            <v>VC01</v>
          </cell>
        </row>
        <row r="4174">
          <cell r="A4174" t="str">
            <v>1VI1NS0132XVN</v>
          </cell>
          <cell r="B4174" t="str">
            <v>SMT</v>
          </cell>
          <cell r="C4174">
            <v>1</v>
          </cell>
          <cell r="D4174" t="e">
            <v>#N/A</v>
          </cell>
        </row>
        <row r="4175">
          <cell r="A4175" t="str">
            <v>1VI2NS0132XVN</v>
          </cell>
          <cell r="B4175" t="str">
            <v>SMT</v>
          </cell>
          <cell r="C4175">
            <v>1</v>
          </cell>
          <cell r="D4175" t="e">
            <v>#N/A</v>
          </cell>
        </row>
        <row r="4176">
          <cell r="A4176" t="str">
            <v>1AP1NS5174XVN</v>
          </cell>
          <cell r="B4176" t="str">
            <v>DIP</v>
          </cell>
          <cell r="C4176">
            <v>1</v>
          </cell>
          <cell r="D4176" t="e">
            <v>#N/A</v>
          </cell>
          <cell r="E4176">
            <v>2210</v>
          </cell>
          <cell r="F4176" t="str">
            <v>VC01</v>
          </cell>
          <cell r="G4176" t="str">
            <v>Auto</v>
          </cell>
          <cell r="H4176">
            <v>311</v>
          </cell>
          <cell r="I4176">
            <v>2210</v>
          </cell>
          <cell r="J4176">
            <v>2310</v>
          </cell>
          <cell r="K4176" t="str">
            <v>VC01</v>
          </cell>
        </row>
        <row r="4177">
          <cell r="A4177" t="str">
            <v>1RH1NS5174XVN</v>
          </cell>
          <cell r="B4177" t="str">
            <v>SMT</v>
          </cell>
          <cell r="C4177">
            <v>1</v>
          </cell>
          <cell r="D4177">
            <v>8</v>
          </cell>
          <cell r="E4177">
            <v>2210</v>
          </cell>
          <cell r="F4177" t="str">
            <v>VC01</v>
          </cell>
          <cell r="G4177" t="str">
            <v>Auto</v>
          </cell>
          <cell r="H4177">
            <v>311</v>
          </cell>
          <cell r="I4177">
            <v>2210</v>
          </cell>
          <cell r="J4177">
            <v>2310</v>
          </cell>
          <cell r="K4177" t="str">
            <v>VC01</v>
          </cell>
        </row>
        <row r="4178">
          <cell r="A4178" t="str">
            <v>1RE2NS5174XVN</v>
          </cell>
          <cell r="B4178" t="str">
            <v>SMT</v>
          </cell>
          <cell r="C4178">
            <v>1</v>
          </cell>
          <cell r="D4178">
            <v>359</v>
          </cell>
        </row>
        <row r="4179">
          <cell r="A4179" t="str">
            <v>1RE1NS5174XVN</v>
          </cell>
          <cell r="B4179" t="str">
            <v>SMT</v>
          </cell>
          <cell r="C4179">
            <v>1</v>
          </cell>
          <cell r="D4179">
            <v>282</v>
          </cell>
        </row>
        <row r="4180">
          <cell r="A4180" t="str">
            <v>1AP1NS5130XVN</v>
          </cell>
          <cell r="B4180" t="str">
            <v>DIP</v>
          </cell>
          <cell r="C4180">
            <v>1</v>
          </cell>
          <cell r="D4180" t="e">
            <v>#N/A</v>
          </cell>
          <cell r="E4180">
            <v>2210</v>
          </cell>
          <cell r="F4180" t="str">
            <v>VC01</v>
          </cell>
          <cell r="G4180" t="str">
            <v>Auto</v>
          </cell>
          <cell r="H4180">
            <v>311</v>
          </cell>
          <cell r="I4180">
            <v>2210</v>
          </cell>
          <cell r="J4180">
            <v>2310</v>
          </cell>
          <cell r="K4180" t="str">
            <v>VC01</v>
          </cell>
        </row>
        <row r="4181">
          <cell r="A4181" t="str">
            <v>1RE1NS5130XVN</v>
          </cell>
          <cell r="B4181" t="str">
            <v>SMT</v>
          </cell>
          <cell r="C4181">
            <v>1</v>
          </cell>
          <cell r="D4181">
            <v>127</v>
          </cell>
          <cell r="E4181">
            <v>2210</v>
          </cell>
          <cell r="F4181" t="str">
            <v>VC01</v>
          </cell>
          <cell r="G4181" t="str">
            <v>Auto</v>
          </cell>
          <cell r="H4181">
            <v>311</v>
          </cell>
          <cell r="I4181">
            <v>2210</v>
          </cell>
          <cell r="J4181">
            <v>2310</v>
          </cell>
          <cell r="K4181" t="str">
            <v>VC01</v>
          </cell>
        </row>
        <row r="4182">
          <cell r="A4182" t="str">
            <v>1RE2NS0111XVN</v>
          </cell>
          <cell r="B4182" t="str">
            <v>SMT</v>
          </cell>
          <cell r="C4182">
            <v>1</v>
          </cell>
          <cell r="D4182">
            <v>195</v>
          </cell>
          <cell r="E4182">
            <v>2210</v>
          </cell>
          <cell r="F4182" t="str">
            <v>VC01</v>
          </cell>
          <cell r="G4182" t="str">
            <v>Auto</v>
          </cell>
          <cell r="H4182">
            <v>311</v>
          </cell>
          <cell r="I4182">
            <v>2210</v>
          </cell>
          <cell r="J4182">
            <v>2310</v>
          </cell>
          <cell r="K4182" t="str">
            <v>VC01</v>
          </cell>
        </row>
        <row r="4183">
          <cell r="A4183" t="str">
            <v>1RE1NS0111XVN</v>
          </cell>
          <cell r="B4183" t="str">
            <v>SMT</v>
          </cell>
          <cell r="C4183">
            <v>1</v>
          </cell>
          <cell r="D4183">
            <v>114</v>
          </cell>
        </row>
        <row r="4184">
          <cell r="A4184" t="str">
            <v>1RE2NS5110XVN</v>
          </cell>
          <cell r="B4184" t="str">
            <v>SMT</v>
          </cell>
          <cell r="C4184">
            <v>1</v>
          </cell>
          <cell r="D4184">
            <v>195</v>
          </cell>
          <cell r="E4184">
            <v>2210</v>
          </cell>
          <cell r="F4184" t="str">
            <v>VC01</v>
          </cell>
          <cell r="G4184" t="str">
            <v>Auto</v>
          </cell>
          <cell r="H4184">
            <v>311</v>
          </cell>
          <cell r="I4184">
            <v>2210</v>
          </cell>
          <cell r="J4184">
            <v>2310</v>
          </cell>
          <cell r="K4184" t="str">
            <v>VC01</v>
          </cell>
        </row>
        <row r="4185">
          <cell r="A4185" t="str">
            <v>1RE1NS5110XVN</v>
          </cell>
          <cell r="B4185" t="str">
            <v>SMT</v>
          </cell>
          <cell r="C4185">
            <v>1</v>
          </cell>
          <cell r="D4185">
            <v>113</v>
          </cell>
        </row>
        <row r="4186">
          <cell r="A4186" t="str">
            <v>1RE2TDA0191XJVN</v>
          </cell>
          <cell r="B4186" t="str">
            <v>SMT</v>
          </cell>
          <cell r="C4186">
            <v>1</v>
          </cell>
          <cell r="D4186">
            <v>160</v>
          </cell>
          <cell r="E4186">
            <v>2210</v>
          </cell>
          <cell r="F4186" t="str">
            <v>VC01</v>
          </cell>
          <cell r="G4186" t="str">
            <v>Auto</v>
          </cell>
          <cell r="H4186">
            <v>311</v>
          </cell>
          <cell r="I4186">
            <v>2210</v>
          </cell>
          <cell r="J4186">
            <v>2310</v>
          </cell>
          <cell r="K4186" t="str">
            <v>VC01</v>
          </cell>
        </row>
        <row r="4187">
          <cell r="A4187" t="str">
            <v>1RE1TDA0191XJVN</v>
          </cell>
          <cell r="B4187" t="str">
            <v>SMT</v>
          </cell>
          <cell r="C4187">
            <v>1</v>
          </cell>
          <cell r="D4187">
            <v>166</v>
          </cell>
        </row>
        <row r="4188">
          <cell r="A4188" t="str">
            <v>1VJ1TDA0191XJVN</v>
          </cell>
          <cell r="B4188" t="str">
            <v>SMT</v>
          </cell>
          <cell r="C4188">
            <v>1</v>
          </cell>
          <cell r="D4188" t="e">
            <v>#N/A</v>
          </cell>
        </row>
        <row r="4189">
          <cell r="A4189" t="str">
            <v>1AP1NS5173XVN</v>
          </cell>
          <cell r="B4189" t="str">
            <v>DIP</v>
          </cell>
          <cell r="C4189">
            <v>1</v>
          </cell>
          <cell r="D4189" t="e">
            <v>#N/A</v>
          </cell>
          <cell r="E4189">
            <v>2210</v>
          </cell>
          <cell r="F4189" t="str">
            <v>VC01</v>
          </cell>
          <cell r="G4189" t="str">
            <v>Auto</v>
          </cell>
          <cell r="H4189">
            <v>311</v>
          </cell>
          <cell r="I4189">
            <v>2210</v>
          </cell>
          <cell r="J4189">
            <v>2310</v>
          </cell>
          <cell r="K4189" t="str">
            <v>VC01</v>
          </cell>
        </row>
        <row r="4190">
          <cell r="A4190" t="str">
            <v>1RH1NS5173XVN</v>
          </cell>
          <cell r="B4190" t="str">
            <v>SMT</v>
          </cell>
          <cell r="C4190">
            <v>1</v>
          </cell>
          <cell r="D4190">
            <v>4</v>
          </cell>
          <cell r="E4190">
            <v>2210</v>
          </cell>
          <cell r="F4190" t="str">
            <v>VC01</v>
          </cell>
          <cell r="G4190" t="str">
            <v>Auto</v>
          </cell>
          <cell r="H4190">
            <v>311</v>
          </cell>
          <cell r="I4190">
            <v>2210</v>
          </cell>
          <cell r="J4190">
            <v>2310</v>
          </cell>
          <cell r="K4190" t="str">
            <v>VC01</v>
          </cell>
        </row>
        <row r="4191">
          <cell r="A4191" t="str">
            <v>1RE2NS5173XVN</v>
          </cell>
          <cell r="B4191" t="str">
            <v>SMT</v>
          </cell>
          <cell r="C4191">
            <v>1</v>
          </cell>
          <cell r="D4191">
            <v>214</v>
          </cell>
        </row>
        <row r="4192">
          <cell r="A4192" t="str">
            <v>1RE1NS5173XVN</v>
          </cell>
          <cell r="B4192" t="str">
            <v>SMT</v>
          </cell>
          <cell r="C4192">
            <v>1</v>
          </cell>
          <cell r="D4192">
            <v>146</v>
          </cell>
        </row>
        <row r="4193">
          <cell r="A4193" t="str">
            <v>1AP1NS5180XVN</v>
          </cell>
          <cell r="B4193" t="str">
            <v>DIP</v>
          </cell>
          <cell r="C4193">
            <v>1</v>
          </cell>
          <cell r="D4193" t="e">
            <v>#N/A</v>
          </cell>
          <cell r="E4193">
            <v>2210</v>
          </cell>
          <cell r="F4193" t="str">
            <v>VC01</v>
          </cell>
          <cell r="G4193" t="str">
            <v>Auto</v>
          </cell>
          <cell r="H4193">
            <v>311</v>
          </cell>
          <cell r="I4193">
            <v>2210</v>
          </cell>
          <cell r="J4193">
            <v>2310</v>
          </cell>
          <cell r="K4193" t="str">
            <v>VC01</v>
          </cell>
        </row>
        <row r="4194">
          <cell r="A4194" t="str">
            <v>1RH1NS5180XVN</v>
          </cell>
          <cell r="B4194" t="str">
            <v>SMT</v>
          </cell>
          <cell r="C4194">
            <v>1</v>
          </cell>
          <cell r="D4194">
            <v>1</v>
          </cell>
          <cell r="E4194">
            <v>2210</v>
          </cell>
          <cell r="F4194" t="str">
            <v>VC01</v>
          </cell>
          <cell r="G4194" t="str">
            <v>Auto</v>
          </cell>
          <cell r="H4194">
            <v>311</v>
          </cell>
          <cell r="I4194">
            <v>2210</v>
          </cell>
          <cell r="J4194">
            <v>2310</v>
          </cell>
          <cell r="K4194" t="str">
            <v>VC01</v>
          </cell>
        </row>
        <row r="4195">
          <cell r="A4195" t="str">
            <v>1RE2NS5180XVN</v>
          </cell>
          <cell r="B4195" t="str">
            <v>SMT</v>
          </cell>
          <cell r="C4195">
            <v>1</v>
          </cell>
          <cell r="D4195">
            <v>404</v>
          </cell>
        </row>
        <row r="4196">
          <cell r="A4196" t="str">
            <v>1RE1NS5180XVN</v>
          </cell>
          <cell r="B4196" t="str">
            <v>SMT</v>
          </cell>
          <cell r="C4196">
            <v>1</v>
          </cell>
          <cell r="D4196">
            <v>166</v>
          </cell>
        </row>
        <row r="4197">
          <cell r="A4197" t="str">
            <v>1AP1TDA0190XJVN</v>
          </cell>
          <cell r="B4197" t="str">
            <v>DIP</v>
          </cell>
          <cell r="C4197">
            <v>1</v>
          </cell>
          <cell r="D4197" t="e">
            <v>#N/A</v>
          </cell>
          <cell r="E4197">
            <v>2210</v>
          </cell>
          <cell r="F4197" t="str">
            <v>VC01</v>
          </cell>
          <cell r="G4197" t="str">
            <v>Auto</v>
          </cell>
          <cell r="H4197">
            <v>311</v>
          </cell>
          <cell r="I4197">
            <v>2210</v>
          </cell>
          <cell r="J4197">
            <v>2310</v>
          </cell>
          <cell r="K4197" t="str">
            <v>VC01</v>
          </cell>
        </row>
        <row r="4198">
          <cell r="A4198" t="str">
            <v>1RH1TDA0190XJVN</v>
          </cell>
          <cell r="B4198" t="str">
            <v>SMT</v>
          </cell>
          <cell r="C4198">
            <v>1</v>
          </cell>
          <cell r="D4198">
            <v>1</v>
          </cell>
          <cell r="E4198">
            <v>2210</v>
          </cell>
          <cell r="F4198" t="str">
            <v>VC01</v>
          </cell>
          <cell r="G4198" t="str">
            <v>Auto</v>
          </cell>
          <cell r="H4198">
            <v>311</v>
          </cell>
          <cell r="I4198">
            <v>2210</v>
          </cell>
          <cell r="J4198">
            <v>2310</v>
          </cell>
          <cell r="K4198" t="str">
            <v>VC01</v>
          </cell>
        </row>
        <row r="4199">
          <cell r="A4199" t="str">
            <v>1RE2TDA0190XJVN</v>
          </cell>
          <cell r="B4199" t="str">
            <v>SMT</v>
          </cell>
          <cell r="C4199">
            <v>1</v>
          </cell>
          <cell r="D4199">
            <v>206</v>
          </cell>
        </row>
        <row r="4200">
          <cell r="A4200" t="str">
            <v>1CM1TDA0190XJVN</v>
          </cell>
          <cell r="B4200" t="str">
            <v>SMT</v>
          </cell>
          <cell r="C4200">
            <v>1</v>
          </cell>
          <cell r="D4200">
            <v>176</v>
          </cell>
        </row>
        <row r="4201">
          <cell r="A4201" t="str">
            <v>1VJ1TDA0190XJVN</v>
          </cell>
          <cell r="B4201" t="str">
            <v>SMT</v>
          </cell>
          <cell r="C4201">
            <v>1</v>
          </cell>
          <cell r="D4201" t="e">
            <v>#N/A</v>
          </cell>
        </row>
        <row r="4202">
          <cell r="A4202" t="str">
            <v>1AP1LPTGP700M1ZB</v>
          </cell>
          <cell r="B4202" t="str">
            <v>DIP</v>
          </cell>
          <cell r="C4202">
            <v>1</v>
          </cell>
          <cell r="D4202" t="e">
            <v>#N/A</v>
          </cell>
          <cell r="E4202">
            <v>2210</v>
          </cell>
          <cell r="F4202" t="str">
            <v>VC01</v>
          </cell>
          <cell r="G4202" t="str">
            <v>Auto</v>
          </cell>
          <cell r="H4202">
            <v>311</v>
          </cell>
          <cell r="I4202">
            <v>2210</v>
          </cell>
          <cell r="J4202" t="e">
            <v>#N/A</v>
          </cell>
          <cell r="K4202" t="str">
            <v>VC01</v>
          </cell>
        </row>
        <row r="4203">
          <cell r="A4203" t="str">
            <v>1RH1LPTGP700M1ZB</v>
          </cell>
          <cell r="B4203" t="str">
            <v>SMT</v>
          </cell>
          <cell r="C4203">
            <v>1</v>
          </cell>
          <cell r="D4203" t="e">
            <v>#N/A</v>
          </cell>
          <cell r="E4203">
            <v>2210</v>
          </cell>
          <cell r="F4203" t="str">
            <v>VC01</v>
          </cell>
          <cell r="G4203" t="str">
            <v>Auto</v>
          </cell>
          <cell r="H4203">
            <v>311</v>
          </cell>
          <cell r="I4203">
            <v>2210</v>
          </cell>
          <cell r="J4203" t="e">
            <v>#N/A</v>
          </cell>
          <cell r="K4203" t="str">
            <v>VC01</v>
          </cell>
        </row>
        <row r="4204">
          <cell r="A4204" t="str">
            <v>1RE2LPTGP700M1ZB</v>
          </cell>
          <cell r="B4204" t="str">
            <v>SMT</v>
          </cell>
          <cell r="C4204">
            <v>1</v>
          </cell>
          <cell r="D4204" t="e">
            <v>#N/A</v>
          </cell>
        </row>
        <row r="4205">
          <cell r="A4205" t="str">
            <v>1VI1LPTGP700M1ZB</v>
          </cell>
          <cell r="B4205" t="str">
            <v>SMT</v>
          </cell>
          <cell r="C4205">
            <v>1</v>
          </cell>
          <cell r="D4205" t="e">
            <v>#N/A</v>
          </cell>
        </row>
        <row r="4206">
          <cell r="A4206" t="str">
            <v>1VJ1LPTGP700M1ZB</v>
          </cell>
          <cell r="B4206" t="str">
            <v>SMT</v>
          </cell>
          <cell r="C4206">
            <v>1</v>
          </cell>
          <cell r="D4206" t="e">
            <v>#N/A</v>
          </cell>
        </row>
        <row r="4207">
          <cell r="A4207" t="str">
            <v>1VJ2LPTGP700M1ZB</v>
          </cell>
          <cell r="B4207" t="str">
            <v>SMT</v>
          </cell>
          <cell r="C4207">
            <v>1</v>
          </cell>
          <cell r="D4207" t="e">
            <v>#N/A</v>
          </cell>
        </row>
        <row r="4208">
          <cell r="A4208" t="str">
            <v>1RE1LPTGP700M1ZB</v>
          </cell>
          <cell r="B4208" t="str">
            <v>SMT</v>
          </cell>
          <cell r="C4208">
            <v>1</v>
          </cell>
          <cell r="D4208" t="e">
            <v>#N/A</v>
          </cell>
        </row>
        <row r="4209">
          <cell r="A4209" t="str">
            <v>PNLB2816ZB-YY</v>
          </cell>
          <cell r="B4209" t="str">
            <v>SMT</v>
          </cell>
          <cell r="C4209">
            <v>1</v>
          </cell>
          <cell r="D4209" t="e">
            <v>#N/A</v>
          </cell>
        </row>
        <row r="4210">
          <cell r="A4210" t="str">
            <v>1AP1TDA6110XJVN</v>
          </cell>
          <cell r="B4210" t="str">
            <v>DIP</v>
          </cell>
          <cell r="C4210">
            <v>1</v>
          </cell>
          <cell r="D4210" t="e">
            <v>#N/A</v>
          </cell>
          <cell r="E4210">
            <v>2210</v>
          </cell>
          <cell r="F4210" t="str">
            <v>VC01</v>
          </cell>
          <cell r="G4210" t="str">
            <v>Auto</v>
          </cell>
          <cell r="H4210">
            <v>311</v>
          </cell>
          <cell r="I4210">
            <v>2210</v>
          </cell>
          <cell r="J4210">
            <v>2310</v>
          </cell>
          <cell r="K4210" t="str">
            <v>VC01</v>
          </cell>
        </row>
        <row r="4211">
          <cell r="A4211" t="str">
            <v>1RE1TDA6110XJVN</v>
          </cell>
          <cell r="B4211" t="str">
            <v>SMT</v>
          </cell>
          <cell r="C4211">
            <v>1</v>
          </cell>
          <cell r="D4211">
            <v>400</v>
          </cell>
          <cell r="E4211">
            <v>2210</v>
          </cell>
          <cell r="F4211" t="str">
            <v>VC01</v>
          </cell>
          <cell r="G4211" t="str">
            <v>Auto</v>
          </cell>
          <cell r="H4211">
            <v>311</v>
          </cell>
          <cell r="I4211">
            <v>2210</v>
          </cell>
          <cell r="J4211">
            <v>2310</v>
          </cell>
          <cell r="K4211" t="str">
            <v>VC01</v>
          </cell>
        </row>
        <row r="4212">
          <cell r="A4212" t="str">
            <v>1AP1LPA407CE1ZA</v>
          </cell>
          <cell r="B4212" t="str">
            <v>DIP</v>
          </cell>
          <cell r="C4212">
            <v>1</v>
          </cell>
          <cell r="D4212" t="e">
            <v>#N/A</v>
          </cell>
          <cell r="E4212">
            <v>2210</v>
          </cell>
          <cell r="F4212" t="str">
            <v>VC01</v>
          </cell>
          <cell r="G4212" t="str">
            <v>Auto</v>
          </cell>
          <cell r="H4212">
            <v>311</v>
          </cell>
          <cell r="I4212">
            <v>2210</v>
          </cell>
          <cell r="J4212" t="e">
            <v>#N/A</v>
          </cell>
          <cell r="K4212" t="str">
            <v>VC01</v>
          </cell>
        </row>
        <row r="4213">
          <cell r="A4213" t="str">
            <v>1RE2LPA407CE1ZA</v>
          </cell>
          <cell r="B4213" t="str">
            <v>SMT</v>
          </cell>
          <cell r="C4213">
            <v>1</v>
          </cell>
          <cell r="D4213">
            <v>242</v>
          </cell>
          <cell r="E4213">
            <v>2210</v>
          </cell>
          <cell r="F4213" t="str">
            <v>VC01</v>
          </cell>
          <cell r="G4213" t="str">
            <v>Auto</v>
          </cell>
          <cell r="H4213">
            <v>311</v>
          </cell>
          <cell r="I4213">
            <v>2210</v>
          </cell>
          <cell r="J4213">
            <v>2220</v>
          </cell>
          <cell r="K4213" t="str">
            <v>VC01</v>
          </cell>
        </row>
        <row r="4214">
          <cell r="A4214" t="str">
            <v>1RE1LPA407CE1ZA</v>
          </cell>
          <cell r="B4214" t="str">
            <v>SMT</v>
          </cell>
          <cell r="C4214">
            <v>1</v>
          </cell>
          <cell r="D4214">
            <v>172</v>
          </cell>
        </row>
        <row r="4215">
          <cell r="A4215" t="str">
            <v>1VI1LPA407CE1ZA</v>
          </cell>
          <cell r="B4215" t="str">
            <v>SMT</v>
          </cell>
          <cell r="C4215">
            <v>1</v>
          </cell>
          <cell r="D4215" t="e">
            <v>#N/A</v>
          </cell>
        </row>
        <row r="4216">
          <cell r="A4216" t="str">
            <v>1VJ2LPA407CE1ZA</v>
          </cell>
          <cell r="B4216" t="str">
            <v>SMT</v>
          </cell>
          <cell r="C4216">
            <v>1</v>
          </cell>
          <cell r="D4216" t="e">
            <v>#N/A</v>
          </cell>
        </row>
        <row r="4217">
          <cell r="A4217" t="str">
            <v>1AP1LPA407M1ZA</v>
          </cell>
          <cell r="B4217" t="str">
            <v>DIP</v>
          </cell>
          <cell r="C4217">
            <v>1</v>
          </cell>
          <cell r="D4217" t="e">
            <v>#N/A</v>
          </cell>
          <cell r="E4217">
            <v>2210</v>
          </cell>
          <cell r="F4217" t="str">
            <v>VC01</v>
          </cell>
          <cell r="G4217" t="str">
            <v>Auto</v>
          </cell>
          <cell r="H4217">
            <v>311</v>
          </cell>
          <cell r="I4217">
            <v>2210</v>
          </cell>
          <cell r="J4217" t="e">
            <v>#N/A</v>
          </cell>
          <cell r="K4217" t="str">
            <v>VC01</v>
          </cell>
        </row>
        <row r="4218">
          <cell r="A4218" t="str">
            <v>1RE2LPA407M1ZA</v>
          </cell>
          <cell r="B4218" t="str">
            <v>SMT</v>
          </cell>
          <cell r="C4218">
            <v>1</v>
          </cell>
          <cell r="D4218" t="e">
            <v>#N/A</v>
          </cell>
          <cell r="E4218">
            <v>2210</v>
          </cell>
          <cell r="F4218" t="str">
            <v>VC01</v>
          </cell>
          <cell r="G4218" t="str">
            <v>Auto</v>
          </cell>
          <cell r="H4218">
            <v>311</v>
          </cell>
          <cell r="I4218">
            <v>2210</v>
          </cell>
          <cell r="J4218" t="e">
            <v>#N/A</v>
          </cell>
          <cell r="K4218" t="str">
            <v>VC01</v>
          </cell>
        </row>
        <row r="4219">
          <cell r="A4219" t="str">
            <v>1RE1LPA407M1ZA</v>
          </cell>
          <cell r="B4219" t="str">
            <v>SMT</v>
          </cell>
          <cell r="C4219">
            <v>1</v>
          </cell>
          <cell r="D4219" t="e">
            <v>#N/A</v>
          </cell>
        </row>
        <row r="4220">
          <cell r="A4220" t="str">
            <v>1VI1LPA407M1ZA</v>
          </cell>
          <cell r="B4220" t="str">
            <v>SMT</v>
          </cell>
          <cell r="C4220">
            <v>1</v>
          </cell>
          <cell r="D4220" t="e">
            <v>#N/A</v>
          </cell>
        </row>
        <row r="4221">
          <cell r="A4221" t="str">
            <v>1VJ2LPA407M1ZA</v>
          </cell>
          <cell r="B4221" t="str">
            <v>SMT</v>
          </cell>
          <cell r="C4221">
            <v>1</v>
          </cell>
          <cell r="D4221" t="e">
            <v>#N/A</v>
          </cell>
        </row>
        <row r="4222">
          <cell r="A4222" t="str">
            <v>1RE2NS0112XVN</v>
          </cell>
          <cell r="B4222" t="str">
            <v>SMT</v>
          </cell>
          <cell r="C4222">
            <v>1</v>
          </cell>
          <cell r="D4222">
            <v>290</v>
          </cell>
          <cell r="E4222">
            <v>2210</v>
          </cell>
          <cell r="F4222" t="str">
            <v>VC01</v>
          </cell>
          <cell r="G4222" t="str">
            <v>Auto</v>
          </cell>
          <cell r="H4222">
            <v>311</v>
          </cell>
          <cell r="I4222">
            <v>2210</v>
          </cell>
          <cell r="J4222" t="e">
            <v>#N/A</v>
          </cell>
          <cell r="K4222" t="str">
            <v>VC01</v>
          </cell>
        </row>
        <row r="4223">
          <cell r="A4223" t="str">
            <v>1RE1NS0112XVN</v>
          </cell>
          <cell r="B4223" t="str">
            <v>SMT</v>
          </cell>
          <cell r="C4223">
            <v>1</v>
          </cell>
          <cell r="D4223">
            <v>207</v>
          </cell>
        </row>
        <row r="4224">
          <cell r="A4224" t="str">
            <v>1AP1TDA0170XJVN</v>
          </cell>
          <cell r="B4224" t="str">
            <v>DIP</v>
          </cell>
          <cell r="C4224">
            <v>1</v>
          </cell>
          <cell r="D4224" t="e">
            <v>#N/A</v>
          </cell>
          <cell r="E4224">
            <v>2210</v>
          </cell>
          <cell r="F4224" t="str">
            <v>VC01</v>
          </cell>
          <cell r="G4224" t="str">
            <v>Auto</v>
          </cell>
          <cell r="H4224">
            <v>311</v>
          </cell>
          <cell r="I4224">
            <v>2210</v>
          </cell>
          <cell r="J4224" t="e">
            <v>#N/A</v>
          </cell>
          <cell r="K4224" t="str">
            <v>VC01</v>
          </cell>
        </row>
        <row r="4225">
          <cell r="A4225" t="str">
            <v>1RH1TDA0170XJVN</v>
          </cell>
          <cell r="B4225" t="str">
            <v>SMT</v>
          </cell>
          <cell r="C4225">
            <v>1</v>
          </cell>
          <cell r="D4225">
            <v>102</v>
          </cell>
          <cell r="E4225">
            <v>2210</v>
          </cell>
          <cell r="F4225" t="str">
            <v>VC01</v>
          </cell>
          <cell r="G4225" t="str">
            <v>Auto</v>
          </cell>
          <cell r="H4225">
            <v>311</v>
          </cell>
          <cell r="I4225">
            <v>2210</v>
          </cell>
          <cell r="J4225" t="e">
            <v>#N/A</v>
          </cell>
          <cell r="K4225" t="str">
            <v>VC01</v>
          </cell>
        </row>
        <row r="4226">
          <cell r="A4226" t="str">
            <v>1RE2TDA0170XJVN</v>
          </cell>
          <cell r="B4226" t="str">
            <v>SMT</v>
          </cell>
          <cell r="C4226">
            <v>1</v>
          </cell>
          <cell r="D4226">
            <v>501</v>
          </cell>
        </row>
        <row r="4227">
          <cell r="A4227" t="str">
            <v>1RE1TDA0170XJVN</v>
          </cell>
          <cell r="B4227" t="str">
            <v>SMT</v>
          </cell>
          <cell r="C4227">
            <v>1</v>
          </cell>
          <cell r="D4227">
            <v>778</v>
          </cell>
        </row>
        <row r="4228">
          <cell r="A4228" t="str">
            <v>1VJ1TDA0170XJVN</v>
          </cell>
          <cell r="B4228" t="str">
            <v>SMT</v>
          </cell>
          <cell r="C4228">
            <v>1</v>
          </cell>
          <cell r="D4228" t="e">
            <v>#N/A</v>
          </cell>
        </row>
        <row r="4229">
          <cell r="A4229" t="str">
            <v>1AP1TDA0172XJVN</v>
          </cell>
          <cell r="B4229" t="str">
            <v>DIP</v>
          </cell>
          <cell r="C4229">
            <v>1</v>
          </cell>
          <cell r="D4229" t="e">
            <v>#N/A</v>
          </cell>
          <cell r="E4229">
            <v>2210</v>
          </cell>
          <cell r="F4229" t="str">
            <v>VC01</v>
          </cell>
          <cell r="G4229" t="str">
            <v>Auto</v>
          </cell>
          <cell r="H4229">
            <v>311</v>
          </cell>
          <cell r="I4229">
            <v>2210</v>
          </cell>
          <cell r="J4229" t="e">
            <v>#N/A</v>
          </cell>
          <cell r="K4229" t="str">
            <v>VC01</v>
          </cell>
        </row>
        <row r="4230">
          <cell r="A4230" t="str">
            <v>1RH1TDA0172XJVN</v>
          </cell>
          <cell r="B4230" t="str">
            <v>SMT</v>
          </cell>
          <cell r="C4230">
            <v>1</v>
          </cell>
          <cell r="D4230">
            <v>41</v>
          </cell>
          <cell r="E4230">
            <v>2210</v>
          </cell>
          <cell r="F4230" t="str">
            <v>VC01</v>
          </cell>
          <cell r="G4230" t="str">
            <v>Auto</v>
          </cell>
          <cell r="H4230">
            <v>311</v>
          </cell>
          <cell r="I4230">
            <v>2210</v>
          </cell>
          <cell r="J4230" t="e">
            <v>#N/A</v>
          </cell>
          <cell r="K4230" t="str">
            <v>VC01</v>
          </cell>
        </row>
        <row r="4231">
          <cell r="A4231" t="str">
            <v>1RE2TDA0172XJVN</v>
          </cell>
          <cell r="B4231" t="str">
            <v>SMT</v>
          </cell>
          <cell r="C4231">
            <v>1</v>
          </cell>
          <cell r="D4231">
            <v>595</v>
          </cell>
        </row>
        <row r="4232">
          <cell r="A4232" t="str">
            <v>1RE1TDA0172XJVN</v>
          </cell>
          <cell r="B4232" t="str">
            <v>SMT</v>
          </cell>
          <cell r="C4232">
            <v>1</v>
          </cell>
          <cell r="D4232">
            <v>626</v>
          </cell>
        </row>
        <row r="4233">
          <cell r="A4233" t="str">
            <v>1VI1TDA0172XJVN</v>
          </cell>
          <cell r="B4233" t="str">
            <v>SMT</v>
          </cell>
          <cell r="C4233">
            <v>1</v>
          </cell>
          <cell r="D4233" t="e">
            <v>#N/A</v>
          </cell>
        </row>
        <row r="4234">
          <cell r="A4234" t="str">
            <v>1AP1NS0130XVN</v>
          </cell>
          <cell r="B4234" t="str">
            <v>DIP</v>
          </cell>
          <cell r="C4234">
            <v>1</v>
          </cell>
          <cell r="D4234" t="e">
            <v>#N/A</v>
          </cell>
          <cell r="E4234">
            <v>2210</v>
          </cell>
          <cell r="F4234" t="str">
            <v>VC01</v>
          </cell>
          <cell r="G4234" t="str">
            <v>Auto</v>
          </cell>
          <cell r="H4234">
            <v>311</v>
          </cell>
          <cell r="I4234">
            <v>2210</v>
          </cell>
          <cell r="J4234" t="e">
            <v>#N/A</v>
          </cell>
          <cell r="K4234" t="str">
            <v>VC01</v>
          </cell>
        </row>
        <row r="4235">
          <cell r="A4235" t="str">
            <v>1RE2NS0130XVN</v>
          </cell>
          <cell r="B4235" t="str">
            <v>SMT</v>
          </cell>
          <cell r="C4235">
            <v>1</v>
          </cell>
          <cell r="D4235">
            <v>510</v>
          </cell>
          <cell r="E4235">
            <v>2210</v>
          </cell>
          <cell r="F4235" t="str">
            <v>VC01</v>
          </cell>
          <cell r="G4235" t="str">
            <v>Auto</v>
          </cell>
          <cell r="H4235">
            <v>311</v>
          </cell>
          <cell r="I4235">
            <v>2210</v>
          </cell>
          <cell r="J4235" t="e">
            <v>#N/A</v>
          </cell>
          <cell r="K4235" t="str">
            <v>VC01</v>
          </cell>
        </row>
        <row r="4236">
          <cell r="A4236" t="str">
            <v>1RE1NS0130XVN</v>
          </cell>
          <cell r="B4236" t="str">
            <v>SMT</v>
          </cell>
          <cell r="C4236">
            <v>1</v>
          </cell>
          <cell r="D4236">
            <v>51</v>
          </cell>
        </row>
        <row r="4237">
          <cell r="A4237" t="str">
            <v>1VJ1NS0130XVN</v>
          </cell>
          <cell r="B4237" t="str">
            <v>SMT</v>
          </cell>
          <cell r="C4237">
            <v>1</v>
          </cell>
          <cell r="D4237" t="e">
            <v>#N/A</v>
          </cell>
        </row>
        <row r="4238">
          <cell r="A4238" t="str">
            <v>1RE2TDA6111XJVN</v>
          </cell>
          <cell r="B4238" t="str">
            <v>SMT</v>
          </cell>
          <cell r="C4238">
            <v>1</v>
          </cell>
          <cell r="D4238">
            <v>65</v>
          </cell>
          <cell r="E4238">
            <v>2210</v>
          </cell>
          <cell r="F4238" t="str">
            <v>VC01</v>
          </cell>
          <cell r="G4238" t="str">
            <v>Auto</v>
          </cell>
          <cell r="H4238">
            <v>311</v>
          </cell>
          <cell r="I4238">
            <v>2210</v>
          </cell>
          <cell r="J4238" t="e">
            <v>#N/A</v>
          </cell>
          <cell r="K4238" t="str">
            <v>VC01</v>
          </cell>
        </row>
        <row r="4239">
          <cell r="A4239" t="str">
            <v>1RE1TDA6111XJVN</v>
          </cell>
          <cell r="B4239" t="str">
            <v>SMT</v>
          </cell>
          <cell r="C4239">
            <v>1</v>
          </cell>
          <cell r="D4239">
            <v>32</v>
          </cell>
        </row>
        <row r="4240">
          <cell r="A4240" t="str">
            <v>1HT1F692Y760ACP</v>
          </cell>
          <cell r="B4240" t="str">
            <v>SMT</v>
          </cell>
          <cell r="C4240">
            <v>1</v>
          </cell>
          <cell r="D4240">
            <v>2</v>
          </cell>
          <cell r="E4240">
            <v>6210</v>
          </cell>
          <cell r="F4240" t="str">
            <v>VG01</v>
          </cell>
          <cell r="G4240" t="str">
            <v>Auto</v>
          </cell>
          <cell r="H4240">
            <v>311</v>
          </cell>
          <cell r="I4240">
            <v>6210</v>
          </cell>
          <cell r="J4240">
            <v>6220</v>
          </cell>
          <cell r="K4240" t="str">
            <v>VG01</v>
          </cell>
        </row>
        <row r="4241">
          <cell r="A4241" t="str">
            <v>F67457603ACP</v>
          </cell>
          <cell r="B4241" t="str">
            <v>SMT</v>
          </cell>
          <cell r="C4241">
            <v>1</v>
          </cell>
          <cell r="D4241" t="e">
            <v>#N/A</v>
          </cell>
        </row>
        <row r="4242">
          <cell r="A4242" t="str">
            <v>1RE2TDE0111XJSX</v>
          </cell>
          <cell r="B4242" t="str">
            <v>SMT</v>
          </cell>
          <cell r="C4242">
            <v>1</v>
          </cell>
          <cell r="D4242">
            <v>116</v>
          </cell>
          <cell r="E4242">
            <v>2210</v>
          </cell>
          <cell r="F4242" t="str">
            <v>VC01</v>
          </cell>
          <cell r="G4242" t="str">
            <v>Auto</v>
          </cell>
          <cell r="H4242">
            <v>311</v>
          </cell>
          <cell r="I4242">
            <v>2210</v>
          </cell>
          <cell r="J4242">
            <v>2310</v>
          </cell>
          <cell r="K4242" t="str">
            <v>VC01</v>
          </cell>
        </row>
        <row r="4243">
          <cell r="A4243" t="str">
            <v>1RE1TDE0111XJSX</v>
          </cell>
          <cell r="B4243" t="str">
            <v>SMT</v>
          </cell>
          <cell r="C4243">
            <v>1</v>
          </cell>
          <cell r="D4243">
            <v>127</v>
          </cell>
        </row>
        <row r="4244">
          <cell r="A4244" t="str">
            <v>1AP1LPFG810RAMUA</v>
          </cell>
          <cell r="B4244" t="str">
            <v>DIP</v>
          </cell>
          <cell r="C4244">
            <v>1</v>
          </cell>
          <cell r="D4244" t="e">
            <v>#N/A</v>
          </cell>
          <cell r="E4244">
            <v>2210</v>
          </cell>
          <cell r="F4244" t="str">
            <v>VC01</v>
          </cell>
          <cell r="G4244" t="str">
            <v>Auto</v>
          </cell>
          <cell r="H4244">
            <v>311</v>
          </cell>
          <cell r="I4244">
            <v>2210</v>
          </cell>
          <cell r="J4244">
            <v>2280</v>
          </cell>
          <cell r="K4244" t="str">
            <v>VC01</v>
          </cell>
        </row>
        <row r="4245">
          <cell r="A4245" t="str">
            <v>1RH1LPFG810RAMUA</v>
          </cell>
          <cell r="B4245" t="str">
            <v>SMT</v>
          </cell>
          <cell r="C4245">
            <v>1</v>
          </cell>
          <cell r="D4245">
            <v>12</v>
          </cell>
          <cell r="E4245">
            <v>2210</v>
          </cell>
          <cell r="F4245" t="str">
            <v>VC01</v>
          </cell>
          <cell r="G4245" t="str">
            <v>Auto</v>
          </cell>
          <cell r="H4245">
            <v>311</v>
          </cell>
          <cell r="I4245">
            <v>2210</v>
          </cell>
          <cell r="J4245">
            <v>2280</v>
          </cell>
          <cell r="K4245" t="str">
            <v>VC01</v>
          </cell>
        </row>
        <row r="4246">
          <cell r="A4246" t="str">
            <v>1RE2LPFG810RAMUA</v>
          </cell>
          <cell r="B4246" t="str">
            <v>SMT</v>
          </cell>
          <cell r="C4246">
            <v>1</v>
          </cell>
          <cell r="D4246">
            <v>302</v>
          </cell>
        </row>
        <row r="4247">
          <cell r="A4247" t="str">
            <v>1RE1LPFG810RAMUA</v>
          </cell>
          <cell r="B4247" t="str">
            <v>SMT</v>
          </cell>
          <cell r="C4247">
            <v>1</v>
          </cell>
          <cell r="D4247">
            <v>222</v>
          </cell>
        </row>
        <row r="4248">
          <cell r="A4248" t="str">
            <v>1VI1LPFG810RAMUA</v>
          </cell>
          <cell r="B4248" t="str">
            <v>SMT</v>
          </cell>
          <cell r="C4248">
            <v>1</v>
          </cell>
          <cell r="D4248" t="e">
            <v>#N/A</v>
          </cell>
        </row>
        <row r="4249">
          <cell r="A4249" t="str">
            <v>1AP1LPFG810RDMUA</v>
          </cell>
          <cell r="B4249" t="str">
            <v>DIP</v>
          </cell>
          <cell r="C4249">
            <v>1</v>
          </cell>
          <cell r="D4249" t="e">
            <v>#N/A</v>
          </cell>
          <cell r="E4249">
            <v>2210</v>
          </cell>
          <cell r="F4249" t="str">
            <v>VC01</v>
          </cell>
          <cell r="G4249" t="str">
            <v>Auto</v>
          </cell>
          <cell r="H4249">
            <v>311</v>
          </cell>
          <cell r="I4249">
            <v>2210</v>
          </cell>
          <cell r="J4249">
            <v>2280</v>
          </cell>
          <cell r="K4249" t="str">
            <v>VC01</v>
          </cell>
        </row>
        <row r="4250">
          <cell r="A4250" t="str">
            <v>1RH1LPFG810RDMUA</v>
          </cell>
          <cell r="B4250" t="str">
            <v>SMT</v>
          </cell>
          <cell r="C4250">
            <v>1</v>
          </cell>
          <cell r="D4250">
            <v>10</v>
          </cell>
          <cell r="E4250">
            <v>2210</v>
          </cell>
          <cell r="F4250" t="str">
            <v>VC01</v>
          </cell>
          <cell r="G4250" t="str">
            <v>Auto</v>
          </cell>
          <cell r="H4250">
            <v>311</v>
          </cell>
          <cell r="I4250">
            <v>2210</v>
          </cell>
          <cell r="J4250">
            <v>2280</v>
          </cell>
          <cell r="K4250" t="str">
            <v>VC01</v>
          </cell>
        </row>
        <row r="4251">
          <cell r="A4251" t="str">
            <v>1RE2LPFG810RDMUA</v>
          </cell>
          <cell r="B4251" t="str">
            <v>SMT</v>
          </cell>
          <cell r="C4251">
            <v>1</v>
          </cell>
          <cell r="D4251">
            <v>257</v>
          </cell>
        </row>
        <row r="4252">
          <cell r="A4252" t="str">
            <v>1RE1LPFG810RDMUA</v>
          </cell>
          <cell r="B4252" t="str">
            <v>SMT</v>
          </cell>
          <cell r="C4252">
            <v>1</v>
          </cell>
          <cell r="D4252">
            <v>220</v>
          </cell>
        </row>
        <row r="4253">
          <cell r="A4253" t="str">
            <v>1VI1LPFG810RDMUA</v>
          </cell>
          <cell r="B4253" t="str">
            <v>SMT</v>
          </cell>
          <cell r="C4253">
            <v>1</v>
          </cell>
          <cell r="D4253" t="e">
            <v>#N/A</v>
          </cell>
        </row>
        <row r="4254">
          <cell r="A4254" t="str">
            <v>1AP1LPFG810REMUA</v>
          </cell>
          <cell r="B4254" t="str">
            <v>DIP</v>
          </cell>
          <cell r="C4254">
            <v>1</v>
          </cell>
          <cell r="D4254" t="e">
            <v>#N/A</v>
          </cell>
          <cell r="E4254">
            <v>2210</v>
          </cell>
          <cell r="F4254" t="str">
            <v>VC01</v>
          </cell>
          <cell r="G4254" t="str">
            <v>Auto</v>
          </cell>
          <cell r="H4254">
            <v>311</v>
          </cell>
          <cell r="I4254">
            <v>2210</v>
          </cell>
          <cell r="J4254">
            <v>2280</v>
          </cell>
          <cell r="K4254" t="str">
            <v>VC01</v>
          </cell>
        </row>
        <row r="4255">
          <cell r="A4255" t="str">
            <v>1RH1LPFG810REMUA</v>
          </cell>
          <cell r="B4255" t="str">
            <v>SMT</v>
          </cell>
          <cell r="C4255">
            <v>1</v>
          </cell>
          <cell r="D4255">
            <v>9</v>
          </cell>
          <cell r="E4255">
            <v>2210</v>
          </cell>
          <cell r="F4255" t="str">
            <v>VC01</v>
          </cell>
          <cell r="G4255" t="str">
            <v>Auto</v>
          </cell>
          <cell r="H4255">
            <v>311</v>
          </cell>
          <cell r="I4255">
            <v>2210</v>
          </cell>
          <cell r="J4255">
            <v>2280</v>
          </cell>
          <cell r="K4255" t="str">
            <v>VC01</v>
          </cell>
        </row>
        <row r="4256">
          <cell r="A4256" t="str">
            <v>1RE2LPFG810REMUA</v>
          </cell>
          <cell r="B4256" t="str">
            <v>SMT</v>
          </cell>
          <cell r="C4256">
            <v>1</v>
          </cell>
          <cell r="D4256">
            <v>255</v>
          </cell>
        </row>
        <row r="4257">
          <cell r="A4257" t="str">
            <v>1RE1LPFG810REMUA</v>
          </cell>
          <cell r="B4257" t="str">
            <v>SMT</v>
          </cell>
          <cell r="C4257">
            <v>1</v>
          </cell>
          <cell r="D4257">
            <v>220</v>
          </cell>
        </row>
        <row r="4258">
          <cell r="A4258" t="str">
            <v>1VI1LPFG810REMUA</v>
          </cell>
          <cell r="B4258" t="str">
            <v>SMT</v>
          </cell>
          <cell r="C4258">
            <v>1</v>
          </cell>
          <cell r="D4258" t="e">
            <v>#N/A</v>
          </cell>
        </row>
        <row r="4259">
          <cell r="A4259" t="str">
            <v>1CM1A603L3H9AAP-FE</v>
          </cell>
          <cell r="B4259" t="str">
            <v>SMT</v>
          </cell>
          <cell r="C4259">
            <v>1</v>
          </cell>
          <cell r="D4259" t="e">
            <v>#N/A</v>
          </cell>
          <cell r="E4259">
            <v>6210</v>
          </cell>
          <cell r="F4259" t="str">
            <v>VG01</v>
          </cell>
          <cell r="G4259" t="str">
            <v>Auto</v>
          </cell>
          <cell r="H4259">
            <v>311</v>
          </cell>
          <cell r="I4259">
            <v>6210</v>
          </cell>
          <cell r="J4259">
            <v>6220</v>
          </cell>
          <cell r="K4259" t="str">
            <v>VG01</v>
          </cell>
        </row>
        <row r="4260">
          <cell r="A4260" t="str">
            <v>1RH1A603L3H9AAP-FE</v>
          </cell>
          <cell r="B4260" t="str">
            <v>SMT</v>
          </cell>
          <cell r="C4260">
            <v>1</v>
          </cell>
          <cell r="D4260" t="e">
            <v>#N/A</v>
          </cell>
        </row>
        <row r="4261">
          <cell r="A4261" t="str">
            <v>1AE1A603L3H9AAP-FE</v>
          </cell>
          <cell r="B4261" t="str">
            <v>SMT</v>
          </cell>
          <cell r="C4261">
            <v>1</v>
          </cell>
          <cell r="D4261" t="e">
            <v>#N/A</v>
          </cell>
        </row>
        <row r="4262">
          <cell r="A4262" t="str">
            <v>1CM1A603L3J1AP2-FE</v>
          </cell>
          <cell r="B4262" t="str">
            <v>SMT</v>
          </cell>
          <cell r="C4262">
            <v>1</v>
          </cell>
          <cell r="D4262" t="e">
            <v>#N/A</v>
          </cell>
          <cell r="E4262">
            <v>6210</v>
          </cell>
          <cell r="F4262" t="str">
            <v>VG01</v>
          </cell>
          <cell r="G4262" t="str">
            <v>Auto</v>
          </cell>
          <cell r="H4262">
            <v>311</v>
          </cell>
          <cell r="I4262">
            <v>6210</v>
          </cell>
          <cell r="J4262">
            <v>6220</v>
          </cell>
          <cell r="K4262" t="str">
            <v>VG01</v>
          </cell>
        </row>
        <row r="4263">
          <cell r="A4263" t="str">
            <v>1RH1A603L3J1AP2-FE</v>
          </cell>
          <cell r="B4263" t="str">
            <v>SMT</v>
          </cell>
          <cell r="C4263">
            <v>1</v>
          </cell>
          <cell r="D4263" t="e">
            <v>#N/A</v>
          </cell>
        </row>
        <row r="4264">
          <cell r="A4264" t="str">
            <v>1AE1A603L3J1AP2-FE</v>
          </cell>
          <cell r="B4264" t="str">
            <v>SMT</v>
          </cell>
          <cell r="C4264">
            <v>1</v>
          </cell>
          <cell r="D4264" t="e">
            <v>#N/A</v>
          </cell>
        </row>
        <row r="4265">
          <cell r="A4265" t="str">
            <v>1CM1A603L3J9ABP-FE</v>
          </cell>
          <cell r="B4265" t="str">
            <v>SMT</v>
          </cell>
          <cell r="C4265">
            <v>1</v>
          </cell>
          <cell r="D4265" t="e">
            <v>#N/A</v>
          </cell>
          <cell r="E4265">
            <v>6210</v>
          </cell>
          <cell r="F4265" t="str">
            <v>VG01</v>
          </cell>
          <cell r="G4265" t="str">
            <v>Auto</v>
          </cell>
          <cell r="H4265">
            <v>311</v>
          </cell>
          <cell r="I4265">
            <v>6210</v>
          </cell>
          <cell r="J4265">
            <v>6220</v>
          </cell>
          <cell r="K4265" t="str">
            <v>VG01</v>
          </cell>
        </row>
        <row r="4266">
          <cell r="A4266" t="str">
            <v>1RH1A603L3J9ABP-FE</v>
          </cell>
          <cell r="B4266" t="str">
            <v>SMT</v>
          </cell>
          <cell r="C4266">
            <v>1</v>
          </cell>
          <cell r="D4266" t="e">
            <v>#N/A</v>
          </cell>
        </row>
        <row r="4267">
          <cell r="A4267" t="str">
            <v>1AE1A603L3J9ABP-FE</v>
          </cell>
          <cell r="B4267" t="str">
            <v>SMT</v>
          </cell>
          <cell r="C4267">
            <v>1</v>
          </cell>
          <cell r="D4267" t="e">
            <v>#N/A</v>
          </cell>
        </row>
        <row r="4268">
          <cell r="A4268" t="str">
            <v>1CM1A603L3K4ATP-FE</v>
          </cell>
          <cell r="B4268" t="str">
            <v>SMT</v>
          </cell>
          <cell r="C4268">
            <v>1</v>
          </cell>
          <cell r="D4268" t="e">
            <v>#N/A</v>
          </cell>
          <cell r="E4268">
            <v>6210</v>
          </cell>
          <cell r="F4268" t="str">
            <v>VG01</v>
          </cell>
          <cell r="G4268" t="str">
            <v>Auto</v>
          </cell>
          <cell r="H4268">
            <v>311</v>
          </cell>
          <cell r="I4268">
            <v>6210</v>
          </cell>
          <cell r="J4268">
            <v>6220</v>
          </cell>
          <cell r="K4268" t="str">
            <v>VG01</v>
          </cell>
        </row>
        <row r="4269">
          <cell r="A4269" t="str">
            <v>1RH1A603L3K4ATP-FE</v>
          </cell>
          <cell r="B4269" t="str">
            <v>SMT</v>
          </cell>
          <cell r="C4269">
            <v>1</v>
          </cell>
          <cell r="D4269" t="e">
            <v>#N/A</v>
          </cell>
        </row>
        <row r="4270">
          <cell r="A4270" t="str">
            <v>1AE1A603L3K4ATP-FE</v>
          </cell>
          <cell r="B4270" t="str">
            <v>SMT</v>
          </cell>
          <cell r="C4270">
            <v>1</v>
          </cell>
          <cell r="D4270" t="e">
            <v>#N/A</v>
          </cell>
        </row>
        <row r="4271">
          <cell r="A4271" t="str">
            <v>1CM1A603Y3F0AAP-FE</v>
          </cell>
          <cell r="B4271" t="str">
            <v>SMT</v>
          </cell>
          <cell r="C4271">
            <v>1</v>
          </cell>
          <cell r="D4271" t="e">
            <v>#N/A</v>
          </cell>
          <cell r="E4271">
            <v>6210</v>
          </cell>
          <cell r="F4271" t="str">
            <v>VG01</v>
          </cell>
          <cell r="G4271" t="str">
            <v>Auto</v>
          </cell>
          <cell r="H4271">
            <v>311</v>
          </cell>
          <cell r="I4271">
            <v>6210</v>
          </cell>
          <cell r="J4271">
            <v>6220</v>
          </cell>
          <cell r="K4271" t="str">
            <v>VG01</v>
          </cell>
        </row>
        <row r="4272">
          <cell r="A4272" t="str">
            <v>1RH1A603Y3F0AAP-FE</v>
          </cell>
          <cell r="B4272" t="str">
            <v>SMT</v>
          </cell>
          <cell r="C4272">
            <v>1</v>
          </cell>
          <cell r="D4272" t="e">
            <v>#N/A</v>
          </cell>
        </row>
        <row r="4273">
          <cell r="A4273" t="str">
            <v>1AE1A603Y3F0AAP-FE</v>
          </cell>
          <cell r="B4273" t="str">
            <v>SMT</v>
          </cell>
          <cell r="C4273">
            <v>1</v>
          </cell>
          <cell r="D4273" t="e">
            <v>#N/A</v>
          </cell>
        </row>
        <row r="4274">
          <cell r="A4274" t="str">
            <v>1HT1A603Y3F0AAP-FE</v>
          </cell>
          <cell r="B4274" t="str">
            <v>SMT</v>
          </cell>
          <cell r="C4274">
            <v>1</v>
          </cell>
          <cell r="D4274" t="e">
            <v>#N/A</v>
          </cell>
        </row>
        <row r="4275">
          <cell r="A4275" t="str">
            <v>1RE1A605S3E2AP4-FE</v>
          </cell>
          <cell r="B4275" t="str">
            <v>SMT</v>
          </cell>
          <cell r="C4275">
            <v>1</v>
          </cell>
          <cell r="D4275" t="e">
            <v>#N/A</v>
          </cell>
          <cell r="E4275">
            <v>6210</v>
          </cell>
          <cell r="F4275" t="str">
            <v>VG01</v>
          </cell>
          <cell r="G4275" t="str">
            <v>Auto</v>
          </cell>
          <cell r="H4275">
            <v>311</v>
          </cell>
          <cell r="I4275">
            <v>6210</v>
          </cell>
          <cell r="J4275">
            <v>6220</v>
          </cell>
          <cell r="K4275" t="str">
            <v>VG01</v>
          </cell>
        </row>
        <row r="4276">
          <cell r="A4276" t="str">
            <v>1RE1A605S-3J0A-FE</v>
          </cell>
          <cell r="B4276" t="str">
            <v>SMT</v>
          </cell>
          <cell r="C4276">
            <v>1</v>
          </cell>
          <cell r="D4276" t="e">
            <v>#N/A</v>
          </cell>
          <cell r="E4276">
            <v>6210</v>
          </cell>
          <cell r="F4276" t="str">
            <v>VG01</v>
          </cell>
          <cell r="G4276" t="str">
            <v>Auto</v>
          </cell>
          <cell r="H4276">
            <v>311</v>
          </cell>
          <cell r="I4276">
            <v>6210</v>
          </cell>
          <cell r="J4276">
            <v>6220</v>
          </cell>
          <cell r="K4276" t="str">
            <v>VG01</v>
          </cell>
        </row>
        <row r="4277">
          <cell r="A4277" t="str">
            <v>1AE1A608B3G1AEU-FE</v>
          </cell>
          <cell r="B4277" t="str">
            <v>SMT</v>
          </cell>
          <cell r="C4277">
            <v>1</v>
          </cell>
          <cell r="D4277" t="e">
            <v>#N/A</v>
          </cell>
          <cell r="E4277">
            <v>6210</v>
          </cell>
          <cell r="F4277" t="str">
            <v>VG01</v>
          </cell>
          <cell r="G4277" t="str">
            <v>Auto</v>
          </cell>
          <cell r="H4277">
            <v>311</v>
          </cell>
          <cell r="I4277">
            <v>6210</v>
          </cell>
          <cell r="J4277">
            <v>6220</v>
          </cell>
          <cell r="K4277" t="str">
            <v>VG01</v>
          </cell>
        </row>
        <row r="4278">
          <cell r="A4278" t="str">
            <v>1HT1A608B3G1AEU-FE</v>
          </cell>
          <cell r="B4278" t="str">
            <v>SMT</v>
          </cell>
          <cell r="C4278">
            <v>1</v>
          </cell>
          <cell r="D4278" t="e">
            <v>#N/A</v>
          </cell>
        </row>
        <row r="4279">
          <cell r="A4279" t="str">
            <v>1CM1H603Y-3K20FES2</v>
          </cell>
          <cell r="B4279" t="str">
            <v>SMT</v>
          </cell>
          <cell r="C4279">
            <v>1</v>
          </cell>
          <cell r="D4279">
            <v>10</v>
          </cell>
          <cell r="E4279">
            <v>6210</v>
          </cell>
          <cell r="F4279" t="str">
            <v>VG01</v>
          </cell>
          <cell r="G4279" t="str">
            <v>Auto</v>
          </cell>
          <cell r="H4279">
            <v>311</v>
          </cell>
          <cell r="I4279">
            <v>6210</v>
          </cell>
          <cell r="J4279">
            <v>6220</v>
          </cell>
          <cell r="K4279" t="str">
            <v>VG01</v>
          </cell>
        </row>
        <row r="4280">
          <cell r="A4280" t="str">
            <v>1RH1H603Y-3K20FES2</v>
          </cell>
          <cell r="B4280" t="str">
            <v>SMT</v>
          </cell>
          <cell r="C4280">
            <v>1</v>
          </cell>
          <cell r="D4280">
            <v>4</v>
          </cell>
        </row>
        <row r="4281">
          <cell r="A4281" t="str">
            <v>1AE1H603Y-3K20FES2</v>
          </cell>
          <cell r="B4281" t="str">
            <v>SMT</v>
          </cell>
          <cell r="C4281">
            <v>1</v>
          </cell>
          <cell r="D4281">
            <v>10</v>
          </cell>
        </row>
        <row r="4282">
          <cell r="A4282" t="str">
            <v>1HT1H603Y-3K20FES2</v>
          </cell>
          <cell r="B4282" t="str">
            <v>SMT</v>
          </cell>
          <cell r="C4282">
            <v>1</v>
          </cell>
          <cell r="D4282">
            <v>20</v>
          </cell>
        </row>
        <row r="4283">
          <cell r="A4283" t="str">
            <v>1CM1H683L-3K20FES2</v>
          </cell>
          <cell r="B4283" t="str">
            <v>SMT</v>
          </cell>
          <cell r="C4283">
            <v>1</v>
          </cell>
          <cell r="D4283">
            <v>421</v>
          </cell>
          <cell r="E4283">
            <v>6210</v>
          </cell>
          <cell r="F4283" t="str">
            <v>VG01</v>
          </cell>
          <cell r="G4283" t="str">
            <v>Auto</v>
          </cell>
          <cell r="H4283">
            <v>311</v>
          </cell>
          <cell r="I4283">
            <v>6210</v>
          </cell>
          <cell r="J4283">
            <v>6220</v>
          </cell>
          <cell r="K4283" t="str">
            <v>VG01</v>
          </cell>
        </row>
        <row r="4284">
          <cell r="A4284" t="str">
            <v>1RH1H683L-3K20FES2</v>
          </cell>
          <cell r="B4284" t="str">
            <v>SMT</v>
          </cell>
          <cell r="C4284">
            <v>1</v>
          </cell>
          <cell r="D4284">
            <v>36</v>
          </cell>
        </row>
        <row r="4285">
          <cell r="A4285" t="str">
            <v>1AE1H683L-3K20FES2</v>
          </cell>
          <cell r="B4285" t="str">
            <v>SMT</v>
          </cell>
          <cell r="C4285">
            <v>1</v>
          </cell>
          <cell r="D4285">
            <v>152</v>
          </cell>
        </row>
        <row r="4286">
          <cell r="A4286" t="str">
            <v>1HT1H683L-3K20FES2</v>
          </cell>
          <cell r="B4286" t="str">
            <v>SMT</v>
          </cell>
          <cell r="C4286">
            <v>1</v>
          </cell>
          <cell r="D4286">
            <v>14</v>
          </cell>
        </row>
        <row r="4287">
          <cell r="A4287" t="str">
            <v>1RE2H685Q-3K20FES2</v>
          </cell>
          <cell r="B4287" t="str">
            <v>SMT</v>
          </cell>
          <cell r="C4287">
            <v>1</v>
          </cell>
          <cell r="D4287">
            <v>308</v>
          </cell>
          <cell r="E4287">
            <v>6210</v>
          </cell>
          <cell r="F4287" t="str">
            <v>VG01</v>
          </cell>
          <cell r="G4287" t="str">
            <v>Auto</v>
          </cell>
          <cell r="H4287">
            <v>311</v>
          </cell>
          <cell r="I4287">
            <v>6210</v>
          </cell>
          <cell r="J4287">
            <v>6220</v>
          </cell>
          <cell r="K4287" t="str">
            <v>VG01</v>
          </cell>
        </row>
        <row r="4288">
          <cell r="A4288" t="str">
            <v>1RE1H685Q-3K20FES2</v>
          </cell>
          <cell r="B4288" t="str">
            <v>SMT</v>
          </cell>
          <cell r="C4288">
            <v>1</v>
          </cell>
          <cell r="D4288">
            <v>135</v>
          </cell>
        </row>
        <row r="4289">
          <cell r="A4289" t="str">
            <v>ANE65758Y0GP</v>
          </cell>
          <cell r="B4289" t="str">
            <v>DIP</v>
          </cell>
          <cell r="C4289">
            <v>1</v>
          </cell>
          <cell r="D4289" t="e">
            <v>#N/A</v>
          </cell>
          <cell r="E4289">
            <v>6210</v>
          </cell>
          <cell r="F4289" t="str">
            <v>VG01</v>
          </cell>
          <cell r="G4289" t="str">
            <v>Auto</v>
          </cell>
          <cell r="H4289">
            <v>311</v>
          </cell>
          <cell r="I4289">
            <v>6210</v>
          </cell>
          <cell r="J4289">
            <v>6220</v>
          </cell>
          <cell r="K4289" t="str">
            <v>VG01</v>
          </cell>
        </row>
        <row r="4290">
          <cell r="A4290" t="str">
            <v>A605Q8Y0ABP-FE-V4</v>
          </cell>
          <cell r="B4290" t="str">
            <v>SMT</v>
          </cell>
          <cell r="C4290">
            <v>1</v>
          </cell>
          <cell r="D4290" t="e">
            <v>#N/A</v>
          </cell>
        </row>
        <row r="4291">
          <cell r="A4291" t="str">
            <v>A67473G00BP</v>
          </cell>
          <cell r="B4291" t="str">
            <v>DIP</v>
          </cell>
          <cell r="C4291">
            <v>1</v>
          </cell>
          <cell r="D4291" t="e">
            <v>#N/A</v>
          </cell>
          <cell r="E4291">
            <v>6210</v>
          </cell>
          <cell r="F4291" t="str">
            <v>VG01</v>
          </cell>
          <cell r="G4291" t="str">
            <v>Auto</v>
          </cell>
          <cell r="H4291">
            <v>311</v>
          </cell>
          <cell r="I4291">
            <v>6210</v>
          </cell>
          <cell r="J4291">
            <v>6220</v>
          </cell>
          <cell r="K4291" t="str">
            <v>VG01</v>
          </cell>
        </row>
        <row r="4292">
          <cell r="A4292" t="str">
            <v>1AE1A603M-3J3A-FE</v>
          </cell>
          <cell r="B4292" t="str">
            <v>SMT</v>
          </cell>
          <cell r="C4292">
            <v>1</v>
          </cell>
          <cell r="D4292" t="e">
            <v>#N/A</v>
          </cell>
          <cell r="E4292">
            <v>6210</v>
          </cell>
          <cell r="F4292" t="str">
            <v>VG01</v>
          </cell>
          <cell r="G4292" t="str">
            <v>Auto</v>
          </cell>
          <cell r="H4292">
            <v>311</v>
          </cell>
          <cell r="I4292">
            <v>6210</v>
          </cell>
          <cell r="J4292">
            <v>6220</v>
          </cell>
          <cell r="K4292" t="str">
            <v>VG01</v>
          </cell>
        </row>
        <row r="4293">
          <cell r="A4293" t="str">
            <v>1CM1A603L-3J3A-FES</v>
          </cell>
          <cell r="B4293" t="str">
            <v>SMT</v>
          </cell>
          <cell r="C4293">
            <v>1</v>
          </cell>
          <cell r="D4293" t="e">
            <v>#N/A</v>
          </cell>
          <cell r="E4293">
            <v>6210</v>
          </cell>
          <cell r="F4293" t="str">
            <v>VG01</v>
          </cell>
          <cell r="G4293" t="str">
            <v>Auto</v>
          </cell>
          <cell r="H4293">
            <v>311</v>
          </cell>
          <cell r="I4293">
            <v>6210</v>
          </cell>
          <cell r="J4293">
            <v>6220</v>
          </cell>
          <cell r="K4293" t="str">
            <v>VG01</v>
          </cell>
        </row>
        <row r="4294">
          <cell r="A4294" t="str">
            <v>1RH1A603L-3J3A-FES</v>
          </cell>
          <cell r="B4294" t="str">
            <v>SMT</v>
          </cell>
          <cell r="C4294">
            <v>1</v>
          </cell>
          <cell r="D4294" t="e">
            <v>#N/A</v>
          </cell>
        </row>
        <row r="4295">
          <cell r="A4295" t="str">
            <v>1AE1A603L-3J3A-FES</v>
          </cell>
          <cell r="B4295" t="str">
            <v>SMT</v>
          </cell>
          <cell r="C4295">
            <v>1</v>
          </cell>
          <cell r="D4295" t="e">
            <v>#N/A</v>
          </cell>
        </row>
        <row r="4296">
          <cell r="A4296" t="str">
            <v>1RE1A605Q-3E4A-FE</v>
          </cell>
          <cell r="B4296" t="str">
            <v>SMT</v>
          </cell>
          <cell r="C4296">
            <v>1</v>
          </cell>
          <cell r="D4296" t="e">
            <v>#N/A</v>
          </cell>
          <cell r="E4296">
            <v>6210</v>
          </cell>
          <cell r="F4296" t="str">
            <v>VG01</v>
          </cell>
          <cell r="G4296" t="str">
            <v>Auto</v>
          </cell>
          <cell r="H4296">
            <v>311</v>
          </cell>
          <cell r="I4296">
            <v>6210</v>
          </cell>
          <cell r="J4296">
            <v>6220</v>
          </cell>
          <cell r="K4296" t="str">
            <v>VG01</v>
          </cell>
        </row>
        <row r="4297">
          <cell r="A4297" t="str">
            <v>1RE1A608C-3J3A-FES</v>
          </cell>
          <cell r="B4297" t="str">
            <v>SMT</v>
          </cell>
          <cell r="C4297">
            <v>1</v>
          </cell>
          <cell r="D4297" t="e">
            <v>#N/A</v>
          </cell>
          <cell r="E4297">
            <v>6210</v>
          </cell>
          <cell r="F4297" t="str">
            <v>VG01</v>
          </cell>
          <cell r="G4297" t="str">
            <v>Auto</v>
          </cell>
          <cell r="H4297">
            <v>311</v>
          </cell>
          <cell r="I4297">
            <v>6210</v>
          </cell>
          <cell r="J4297">
            <v>6220</v>
          </cell>
          <cell r="K4297" t="str">
            <v>VG01</v>
          </cell>
        </row>
        <row r="4298">
          <cell r="A4298" t="str">
            <v>1AP1T30865XV4</v>
          </cell>
          <cell r="B4298" t="str">
            <v>DIP</v>
          </cell>
          <cell r="C4298">
            <v>1</v>
          </cell>
          <cell r="D4298" t="e">
            <v>#N/A</v>
          </cell>
          <cell r="E4298">
            <v>2210</v>
          </cell>
          <cell r="F4298" t="str">
            <v>VC01</v>
          </cell>
          <cell r="G4298" t="str">
            <v>Auto</v>
          </cell>
          <cell r="H4298">
            <v>311</v>
          </cell>
          <cell r="I4298">
            <v>2210</v>
          </cell>
          <cell r="J4298">
            <v>2310</v>
          </cell>
          <cell r="K4298" t="str">
            <v>VC01</v>
          </cell>
        </row>
        <row r="4299">
          <cell r="A4299" t="str">
            <v>1RH1T30865XV4</v>
          </cell>
          <cell r="B4299" t="str">
            <v>SMT</v>
          </cell>
          <cell r="C4299">
            <v>1</v>
          </cell>
          <cell r="D4299">
            <v>8</v>
          </cell>
          <cell r="E4299">
            <v>2210</v>
          </cell>
          <cell r="F4299" t="str">
            <v>VC01</v>
          </cell>
          <cell r="G4299" t="str">
            <v>Auto</v>
          </cell>
          <cell r="H4299">
            <v>311</v>
          </cell>
          <cell r="I4299">
            <v>2210</v>
          </cell>
          <cell r="J4299">
            <v>2310</v>
          </cell>
          <cell r="K4299" t="str">
            <v>VC01</v>
          </cell>
        </row>
        <row r="4300">
          <cell r="A4300" t="str">
            <v>1AE1T30865XV4</v>
          </cell>
          <cell r="B4300" t="str">
            <v>SMT</v>
          </cell>
          <cell r="C4300">
            <v>1</v>
          </cell>
          <cell r="D4300">
            <v>8</v>
          </cell>
        </row>
        <row r="4301">
          <cell r="A4301" t="str">
            <v>1AP1T7765X</v>
          </cell>
          <cell r="B4301" t="str">
            <v>DIP</v>
          </cell>
          <cell r="C4301">
            <v>1</v>
          </cell>
          <cell r="D4301" t="e">
            <v>#N/A</v>
          </cell>
          <cell r="E4301">
            <v>2210</v>
          </cell>
          <cell r="F4301" t="str">
            <v>VC01</v>
          </cell>
          <cell r="G4301" t="str">
            <v>Auto</v>
          </cell>
          <cell r="H4301">
            <v>311</v>
          </cell>
          <cell r="I4301">
            <v>2210</v>
          </cell>
          <cell r="J4301">
            <v>2310</v>
          </cell>
          <cell r="K4301" t="str">
            <v>VC01</v>
          </cell>
        </row>
        <row r="4302">
          <cell r="A4302" t="str">
            <v>1RH1T7765X</v>
          </cell>
          <cell r="B4302" t="str">
            <v>SMT</v>
          </cell>
          <cell r="C4302">
            <v>1</v>
          </cell>
          <cell r="D4302">
            <v>8</v>
          </cell>
          <cell r="E4302">
            <v>2210</v>
          </cell>
          <cell r="F4302" t="str">
            <v>VC01</v>
          </cell>
          <cell r="G4302" t="str">
            <v>Auto</v>
          </cell>
          <cell r="H4302">
            <v>311</v>
          </cell>
          <cell r="I4302">
            <v>2210</v>
          </cell>
          <cell r="J4302">
            <v>2310</v>
          </cell>
          <cell r="K4302" t="str">
            <v>VC01</v>
          </cell>
        </row>
        <row r="4303">
          <cell r="A4303" t="str">
            <v>1AE1T7765X</v>
          </cell>
          <cell r="B4303" t="str">
            <v>SMT</v>
          </cell>
          <cell r="C4303">
            <v>1</v>
          </cell>
          <cell r="D4303">
            <v>8</v>
          </cell>
        </row>
        <row r="4304">
          <cell r="A4304" t="str">
            <v>1AP1T7765XEU</v>
          </cell>
          <cell r="B4304" t="str">
            <v>DIP</v>
          </cell>
          <cell r="C4304">
            <v>1</v>
          </cell>
          <cell r="D4304" t="e">
            <v>#N/A</v>
          </cell>
          <cell r="E4304">
            <v>2210</v>
          </cell>
          <cell r="F4304" t="str">
            <v>VC01</v>
          </cell>
          <cell r="G4304" t="str">
            <v>Auto</v>
          </cell>
          <cell r="H4304">
            <v>311</v>
          </cell>
          <cell r="I4304">
            <v>2210</v>
          </cell>
          <cell r="J4304">
            <v>2310</v>
          </cell>
          <cell r="K4304" t="str">
            <v>VC01</v>
          </cell>
        </row>
        <row r="4305">
          <cell r="A4305" t="str">
            <v>1RH1T7765XEU</v>
          </cell>
          <cell r="B4305" t="str">
            <v>SMT</v>
          </cell>
          <cell r="C4305">
            <v>1</v>
          </cell>
          <cell r="D4305">
            <v>8</v>
          </cell>
          <cell r="E4305">
            <v>2210</v>
          </cell>
          <cell r="F4305" t="str">
            <v>VC01</v>
          </cell>
          <cell r="G4305" t="str">
            <v>Auto</v>
          </cell>
          <cell r="H4305">
            <v>311</v>
          </cell>
          <cell r="I4305">
            <v>2210</v>
          </cell>
          <cell r="J4305">
            <v>2310</v>
          </cell>
          <cell r="K4305" t="str">
            <v>VC01</v>
          </cell>
        </row>
        <row r="4306">
          <cell r="A4306" t="str">
            <v>1AE1T7765XEU</v>
          </cell>
          <cell r="B4306" t="str">
            <v>SMT</v>
          </cell>
          <cell r="C4306">
            <v>1</v>
          </cell>
          <cell r="D4306">
            <v>8</v>
          </cell>
        </row>
        <row r="4307">
          <cell r="A4307" t="str">
            <v>1AP1VBE504</v>
          </cell>
          <cell r="B4307" t="str">
            <v>DIP</v>
          </cell>
          <cell r="C4307">
            <v>1</v>
          </cell>
          <cell r="D4307" t="e">
            <v>#N/A</v>
          </cell>
          <cell r="E4307">
            <v>2210</v>
          </cell>
          <cell r="F4307" t="str">
            <v>VC01</v>
          </cell>
          <cell r="G4307" t="str">
            <v>Auto</v>
          </cell>
          <cell r="H4307">
            <v>311</v>
          </cell>
          <cell r="I4307">
            <v>2210</v>
          </cell>
          <cell r="J4307" t="e">
            <v>#N/A</v>
          </cell>
          <cell r="K4307" t="str">
            <v>VC01</v>
          </cell>
        </row>
        <row r="4308">
          <cell r="A4308" t="str">
            <v>1CM1VBE504</v>
          </cell>
          <cell r="B4308" t="str">
            <v>SMT</v>
          </cell>
          <cell r="C4308">
            <v>1</v>
          </cell>
          <cell r="D4308">
            <v>96</v>
          </cell>
          <cell r="E4308">
            <v>2210</v>
          </cell>
          <cell r="F4308" t="str">
            <v>VC01</v>
          </cell>
          <cell r="G4308" t="str">
            <v>Auto</v>
          </cell>
          <cell r="H4308">
            <v>311</v>
          </cell>
          <cell r="I4308">
            <v>2210</v>
          </cell>
          <cell r="J4308" t="e">
            <v>#N/A</v>
          </cell>
          <cell r="K4308" t="str">
            <v>VC01</v>
          </cell>
        </row>
        <row r="4309">
          <cell r="A4309" t="str">
            <v>1RH1VBE504</v>
          </cell>
          <cell r="B4309" t="str">
            <v>SMT</v>
          </cell>
          <cell r="C4309">
            <v>1</v>
          </cell>
          <cell r="D4309">
            <v>17</v>
          </cell>
        </row>
        <row r="4310">
          <cell r="A4310" t="str">
            <v>1AE1VBE504</v>
          </cell>
          <cell r="B4310" t="str">
            <v>SMT</v>
          </cell>
          <cell r="C4310">
            <v>1</v>
          </cell>
          <cell r="D4310">
            <v>21</v>
          </cell>
        </row>
        <row r="4311">
          <cell r="A4311" t="str">
            <v>1AP1T30865W</v>
          </cell>
          <cell r="B4311" t="str">
            <v>DIP</v>
          </cell>
          <cell r="C4311">
            <v>1</v>
          </cell>
          <cell r="D4311" t="e">
            <v>#N/A</v>
          </cell>
          <cell r="E4311">
            <v>2210</v>
          </cell>
          <cell r="F4311" t="str">
            <v>VC01</v>
          </cell>
          <cell r="G4311" t="str">
            <v>Auto</v>
          </cell>
          <cell r="H4311">
            <v>311</v>
          </cell>
          <cell r="I4311">
            <v>2210</v>
          </cell>
          <cell r="J4311">
            <v>2310</v>
          </cell>
          <cell r="K4311" t="str">
            <v>VC01</v>
          </cell>
        </row>
        <row r="4312">
          <cell r="A4312" t="str">
            <v>1AP1T30865B</v>
          </cell>
          <cell r="B4312" t="str">
            <v>DIP</v>
          </cell>
          <cell r="C4312">
            <v>1</v>
          </cell>
          <cell r="D4312" t="e">
            <v>#N/A</v>
          </cell>
          <cell r="E4312">
            <v>2210</v>
          </cell>
          <cell r="F4312" t="str">
            <v>VC01</v>
          </cell>
          <cell r="G4312" t="str">
            <v>Auto</v>
          </cell>
          <cell r="H4312">
            <v>311</v>
          </cell>
          <cell r="I4312">
            <v>2210</v>
          </cell>
          <cell r="J4312">
            <v>2310</v>
          </cell>
          <cell r="K4312" t="str">
            <v>VC01</v>
          </cell>
        </row>
        <row r="4313">
          <cell r="A4313" t="str">
            <v>1RH1T30865</v>
          </cell>
          <cell r="B4313" t="str">
            <v>SMT</v>
          </cell>
          <cell r="C4313">
            <v>1</v>
          </cell>
          <cell r="D4313">
            <v>8</v>
          </cell>
          <cell r="E4313">
            <v>2210</v>
          </cell>
          <cell r="F4313" t="str">
            <v>VC01</v>
          </cell>
          <cell r="G4313" t="str">
            <v>Auto</v>
          </cell>
          <cell r="H4313">
            <v>311</v>
          </cell>
          <cell r="I4313">
            <v>2210</v>
          </cell>
          <cell r="J4313">
            <v>2310</v>
          </cell>
          <cell r="K4313" t="str">
            <v>VC01</v>
          </cell>
        </row>
        <row r="4314">
          <cell r="A4314" t="str">
            <v>1AE1T30865</v>
          </cell>
          <cell r="B4314" t="str">
            <v>SMT</v>
          </cell>
          <cell r="C4314">
            <v>1</v>
          </cell>
          <cell r="D4314">
            <v>8</v>
          </cell>
        </row>
        <row r="4315">
          <cell r="A4315" t="str">
            <v>1AP1T30865RUV4</v>
          </cell>
          <cell r="B4315" t="str">
            <v>DIP</v>
          </cell>
          <cell r="C4315">
            <v>1</v>
          </cell>
          <cell r="D4315" t="e">
            <v>#N/A</v>
          </cell>
          <cell r="E4315">
            <v>2210</v>
          </cell>
          <cell r="F4315" t="str">
            <v>VC01</v>
          </cell>
          <cell r="G4315" t="str">
            <v>Auto</v>
          </cell>
          <cell r="H4315">
            <v>311</v>
          </cell>
          <cell r="I4315">
            <v>2210</v>
          </cell>
          <cell r="J4315" t="e">
            <v>#N/A</v>
          </cell>
          <cell r="K4315" t="str">
            <v>VC01</v>
          </cell>
        </row>
        <row r="4316">
          <cell r="A4316" t="str">
            <v>1RH1T30865RUV4</v>
          </cell>
          <cell r="B4316" t="str">
            <v>SMT</v>
          </cell>
          <cell r="C4316">
            <v>1</v>
          </cell>
          <cell r="D4316">
            <v>8</v>
          </cell>
          <cell r="E4316">
            <v>2210</v>
          </cell>
          <cell r="F4316" t="str">
            <v>VC01</v>
          </cell>
          <cell r="G4316" t="str">
            <v>Auto</v>
          </cell>
          <cell r="H4316">
            <v>311</v>
          </cell>
          <cell r="I4316">
            <v>2210</v>
          </cell>
          <cell r="J4316" t="e">
            <v>#N/A</v>
          </cell>
          <cell r="K4316" t="str">
            <v>VC01</v>
          </cell>
        </row>
        <row r="4317">
          <cell r="A4317" t="str">
            <v>1AE1T30865RUV4</v>
          </cell>
          <cell r="B4317" t="str">
            <v>SMT</v>
          </cell>
          <cell r="C4317">
            <v>1</v>
          </cell>
          <cell r="D4317">
            <v>8</v>
          </cell>
        </row>
        <row r="4318">
          <cell r="A4318" t="str">
            <v>1AP1T30865XEU</v>
          </cell>
          <cell r="B4318" t="str">
            <v>DIP</v>
          </cell>
          <cell r="C4318">
            <v>1</v>
          </cell>
          <cell r="D4318" t="e">
            <v>#N/A</v>
          </cell>
          <cell r="E4318">
            <v>2210</v>
          </cell>
          <cell r="F4318" t="str">
            <v>VC01</v>
          </cell>
          <cell r="G4318" t="str">
            <v>Auto</v>
          </cell>
          <cell r="H4318">
            <v>311</v>
          </cell>
          <cell r="I4318">
            <v>2210</v>
          </cell>
          <cell r="J4318" t="e">
            <v>#N/A</v>
          </cell>
          <cell r="K4318" t="str">
            <v>VC01</v>
          </cell>
        </row>
        <row r="4319">
          <cell r="A4319" t="str">
            <v>1RH1T30865XEU</v>
          </cell>
          <cell r="B4319" t="str">
            <v>SMT</v>
          </cell>
          <cell r="C4319">
            <v>1</v>
          </cell>
          <cell r="D4319">
            <v>8</v>
          </cell>
          <cell r="E4319">
            <v>2210</v>
          </cell>
          <cell r="F4319" t="str">
            <v>VC01</v>
          </cell>
          <cell r="G4319" t="str">
            <v>Auto</v>
          </cell>
          <cell r="H4319">
            <v>311</v>
          </cell>
          <cell r="I4319">
            <v>2210</v>
          </cell>
          <cell r="J4319" t="e">
            <v>#N/A</v>
          </cell>
          <cell r="K4319" t="str">
            <v>VC01</v>
          </cell>
        </row>
        <row r="4320">
          <cell r="A4320" t="str">
            <v>1AE1T30865XEU</v>
          </cell>
          <cell r="B4320" t="str">
            <v>SMT</v>
          </cell>
          <cell r="C4320">
            <v>1</v>
          </cell>
          <cell r="D4320">
            <v>8</v>
          </cell>
        </row>
        <row r="4321">
          <cell r="A4321" t="str">
            <v>1AP1T30865XSX</v>
          </cell>
          <cell r="B4321" t="str">
            <v>DIP</v>
          </cell>
          <cell r="C4321">
            <v>1</v>
          </cell>
          <cell r="D4321" t="e">
            <v>#N/A</v>
          </cell>
          <cell r="E4321">
            <v>2210</v>
          </cell>
          <cell r="F4321" t="str">
            <v>VC01</v>
          </cell>
          <cell r="G4321" t="str">
            <v>Auto</v>
          </cell>
          <cell r="H4321">
            <v>311</v>
          </cell>
          <cell r="I4321">
            <v>2210</v>
          </cell>
          <cell r="J4321">
            <v>2310</v>
          </cell>
          <cell r="K4321" t="str">
            <v>VC01</v>
          </cell>
        </row>
        <row r="4322">
          <cell r="A4322" t="str">
            <v>1RH1T30865XSX</v>
          </cell>
          <cell r="B4322" t="str">
            <v>SMT</v>
          </cell>
          <cell r="C4322">
            <v>1</v>
          </cell>
          <cell r="D4322">
            <v>8</v>
          </cell>
          <cell r="E4322">
            <v>2210</v>
          </cell>
          <cell r="F4322" t="str">
            <v>VC01</v>
          </cell>
          <cell r="G4322" t="str">
            <v>Auto</v>
          </cell>
          <cell r="H4322">
            <v>311</v>
          </cell>
          <cell r="I4322">
            <v>2210</v>
          </cell>
          <cell r="J4322" t="e">
            <v>#N/A</v>
          </cell>
          <cell r="K4322" t="str">
            <v>VC01</v>
          </cell>
        </row>
        <row r="4323">
          <cell r="A4323" t="str">
            <v>1AE1T30865XSX</v>
          </cell>
          <cell r="B4323" t="str">
            <v>SMT</v>
          </cell>
          <cell r="C4323">
            <v>1</v>
          </cell>
          <cell r="D4323">
            <v>8</v>
          </cell>
        </row>
        <row r="4324">
          <cell r="A4324" t="str">
            <v>1AP1T7765</v>
          </cell>
          <cell r="B4324" t="str">
            <v>DIP</v>
          </cell>
          <cell r="C4324">
            <v>1</v>
          </cell>
          <cell r="D4324" t="e">
            <v>#N/A</v>
          </cell>
          <cell r="E4324">
            <v>2210</v>
          </cell>
          <cell r="F4324" t="str">
            <v>VC01</v>
          </cell>
          <cell r="G4324" t="str">
            <v>Auto</v>
          </cell>
          <cell r="H4324">
            <v>311</v>
          </cell>
          <cell r="I4324">
            <v>2210</v>
          </cell>
          <cell r="J4324">
            <v>2310</v>
          </cell>
          <cell r="K4324" t="str">
            <v>VC01</v>
          </cell>
        </row>
        <row r="4325">
          <cell r="A4325" t="str">
            <v>1RH1T7765</v>
          </cell>
          <cell r="B4325" t="str">
            <v>SMT</v>
          </cell>
          <cell r="C4325">
            <v>1</v>
          </cell>
          <cell r="D4325">
            <v>8</v>
          </cell>
          <cell r="E4325">
            <v>2210</v>
          </cell>
          <cell r="F4325" t="str">
            <v>VC01</v>
          </cell>
          <cell r="G4325" t="str">
            <v>Auto</v>
          </cell>
          <cell r="H4325">
            <v>311</v>
          </cell>
          <cell r="I4325">
            <v>2210</v>
          </cell>
          <cell r="J4325">
            <v>2310</v>
          </cell>
          <cell r="K4325" t="str">
            <v>VC01</v>
          </cell>
        </row>
        <row r="4326">
          <cell r="A4326" t="str">
            <v>1AE1T7765</v>
          </cell>
          <cell r="B4326" t="str">
            <v>SMT</v>
          </cell>
          <cell r="C4326">
            <v>1</v>
          </cell>
          <cell r="D4326">
            <v>8</v>
          </cell>
        </row>
        <row r="4327">
          <cell r="A4327" t="str">
            <v>1AP1T7765XSX</v>
          </cell>
          <cell r="B4327" t="str">
            <v>DIP</v>
          </cell>
          <cell r="C4327">
            <v>1</v>
          </cell>
          <cell r="D4327" t="e">
            <v>#N/A</v>
          </cell>
          <cell r="E4327">
            <v>2210</v>
          </cell>
          <cell r="F4327" t="str">
            <v>VC01</v>
          </cell>
          <cell r="G4327" t="str">
            <v>Auto</v>
          </cell>
          <cell r="H4327">
            <v>311</v>
          </cell>
          <cell r="I4327">
            <v>2210</v>
          </cell>
          <cell r="J4327">
            <v>2310</v>
          </cell>
          <cell r="K4327" t="str">
            <v>VC01</v>
          </cell>
        </row>
        <row r="4328">
          <cell r="A4328" t="str">
            <v>1RH1T7765XSX</v>
          </cell>
          <cell r="B4328" t="str">
            <v>SMT</v>
          </cell>
          <cell r="C4328">
            <v>1</v>
          </cell>
          <cell r="D4328">
            <v>8</v>
          </cell>
          <cell r="E4328">
            <v>2210</v>
          </cell>
          <cell r="F4328" t="str">
            <v>VC01</v>
          </cell>
          <cell r="G4328" t="str">
            <v>Auto</v>
          </cell>
          <cell r="H4328">
            <v>311</v>
          </cell>
          <cell r="I4328">
            <v>2210</v>
          </cell>
          <cell r="J4328">
            <v>2310</v>
          </cell>
          <cell r="K4328" t="str">
            <v>VC01</v>
          </cell>
        </row>
        <row r="4329">
          <cell r="A4329" t="str">
            <v>1AE1T7765XSX</v>
          </cell>
          <cell r="B4329" t="str">
            <v>SMT</v>
          </cell>
          <cell r="C4329">
            <v>1</v>
          </cell>
          <cell r="D4329">
            <v>8</v>
          </cell>
        </row>
        <row r="4330">
          <cell r="A4330" t="str">
            <v>3AP1C380AV4</v>
          </cell>
          <cell r="B4330" t="str">
            <v>DIP</v>
          </cell>
          <cell r="C4330">
            <v>1</v>
          </cell>
          <cell r="D4330" t="e">
            <v>#N/A</v>
          </cell>
          <cell r="E4330">
            <v>2210</v>
          </cell>
          <cell r="F4330" t="str">
            <v>VC01</v>
          </cell>
          <cell r="G4330" t="str">
            <v>Auto</v>
          </cell>
          <cell r="H4330">
            <v>311</v>
          </cell>
          <cell r="I4330">
            <v>2210</v>
          </cell>
          <cell r="J4330" t="e">
            <v>#N/A</v>
          </cell>
          <cell r="K4330" t="str">
            <v>VC01</v>
          </cell>
        </row>
        <row r="4331">
          <cell r="A4331" t="str">
            <v>3RH1C380AV4</v>
          </cell>
          <cell r="B4331" t="str">
            <v>SMT</v>
          </cell>
          <cell r="C4331">
            <v>1</v>
          </cell>
          <cell r="D4331">
            <v>15</v>
          </cell>
          <cell r="E4331">
            <v>2210</v>
          </cell>
          <cell r="F4331" t="str">
            <v>VC01</v>
          </cell>
          <cell r="G4331" t="str">
            <v>Auto</v>
          </cell>
          <cell r="H4331">
            <v>311</v>
          </cell>
          <cell r="I4331">
            <v>2210</v>
          </cell>
          <cell r="J4331" t="e">
            <v>#N/A</v>
          </cell>
          <cell r="K4331" t="str">
            <v>VC01</v>
          </cell>
        </row>
        <row r="4332">
          <cell r="A4332" t="str">
            <v>3AE1C380AV4</v>
          </cell>
          <cell r="B4332" t="str">
            <v>SMT</v>
          </cell>
          <cell r="C4332">
            <v>1</v>
          </cell>
          <cell r="D4332">
            <v>5</v>
          </cell>
        </row>
        <row r="4333">
          <cell r="A4333" t="str">
            <v>1RE1LXQ1001ZA/AS</v>
          </cell>
          <cell r="B4333" t="str">
            <v>SMT</v>
          </cell>
          <cell r="C4333">
            <v>1</v>
          </cell>
          <cell r="D4333">
            <v>5</v>
          </cell>
          <cell r="E4333">
            <v>2210</v>
          </cell>
          <cell r="F4333" t="str">
            <v>VC01</v>
          </cell>
          <cell r="G4333" t="str">
            <v>Auto</v>
          </cell>
          <cell r="H4333">
            <v>311</v>
          </cell>
          <cell r="I4333">
            <v>2210</v>
          </cell>
          <cell r="J4333">
            <v>2310</v>
          </cell>
          <cell r="K4333" t="str">
            <v>VC01</v>
          </cell>
        </row>
        <row r="4334">
          <cell r="A4334" t="str">
            <v>1RE1LXQ1002ZA/AS</v>
          </cell>
          <cell r="B4334" t="str">
            <v>SMT</v>
          </cell>
          <cell r="C4334">
            <v>1</v>
          </cell>
          <cell r="D4334">
            <v>5</v>
          </cell>
          <cell r="E4334">
            <v>2210</v>
          </cell>
          <cell r="F4334" t="str">
            <v>VC01</v>
          </cell>
          <cell r="G4334" t="str">
            <v>Auto</v>
          </cell>
          <cell r="H4334">
            <v>311</v>
          </cell>
          <cell r="I4334">
            <v>2210</v>
          </cell>
          <cell r="J4334">
            <v>2310</v>
          </cell>
          <cell r="K4334" t="str">
            <v>VC01</v>
          </cell>
        </row>
        <row r="4335">
          <cell r="A4335" t="str">
            <v>1RE1A605S-3J8A-FE</v>
          </cell>
          <cell r="B4335" t="str">
            <v>SMT</v>
          </cell>
          <cell r="C4335">
            <v>1</v>
          </cell>
          <cell r="D4335" t="e">
            <v>#N/A</v>
          </cell>
          <cell r="E4335">
            <v>6210</v>
          </cell>
          <cell r="F4335" t="str">
            <v>VG01</v>
          </cell>
          <cell r="G4335" t="str">
            <v>Auto</v>
          </cell>
          <cell r="H4335">
            <v>311</v>
          </cell>
          <cell r="I4335">
            <v>6210</v>
          </cell>
          <cell r="J4335">
            <v>6220</v>
          </cell>
          <cell r="K4335" t="str">
            <v>VG01</v>
          </cell>
        </row>
        <row r="4336">
          <cell r="A4336" t="str">
            <v>1RE2A607B3J8AP2FES</v>
          </cell>
          <cell r="B4336" t="str">
            <v>SMT</v>
          </cell>
          <cell r="C4336">
            <v>1</v>
          </cell>
          <cell r="D4336">
            <v>300</v>
          </cell>
          <cell r="E4336">
            <v>6210</v>
          </cell>
          <cell r="F4336" t="str">
            <v>VG01</v>
          </cell>
          <cell r="G4336" t="str">
            <v>Auto</v>
          </cell>
          <cell r="H4336">
            <v>311</v>
          </cell>
          <cell r="I4336">
            <v>6210</v>
          </cell>
          <cell r="J4336">
            <v>6220</v>
          </cell>
          <cell r="K4336" t="str">
            <v>VG01</v>
          </cell>
        </row>
        <row r="4337">
          <cell r="A4337" t="str">
            <v>1RE1A607B3J8AP2FES</v>
          </cell>
          <cell r="B4337" t="str">
            <v>SMT</v>
          </cell>
          <cell r="C4337">
            <v>1</v>
          </cell>
          <cell r="D4337">
            <v>180</v>
          </cell>
        </row>
        <row r="4338">
          <cell r="A4338" t="str">
            <v>1RE2A608B-3J8A-FE</v>
          </cell>
          <cell r="B4338" t="str">
            <v>SMT</v>
          </cell>
          <cell r="C4338">
            <v>1</v>
          </cell>
          <cell r="D4338" t="e">
            <v>#N/A</v>
          </cell>
          <cell r="E4338">
            <v>6210</v>
          </cell>
          <cell r="F4338" t="str">
            <v>VG01</v>
          </cell>
          <cell r="G4338" t="str">
            <v>Auto</v>
          </cell>
          <cell r="H4338">
            <v>311</v>
          </cell>
          <cell r="I4338">
            <v>6210</v>
          </cell>
          <cell r="J4338">
            <v>6220</v>
          </cell>
          <cell r="K4338" t="str">
            <v>VG01</v>
          </cell>
        </row>
        <row r="4339">
          <cell r="A4339" t="str">
            <v>1RE1A608B-3J8A-FE</v>
          </cell>
          <cell r="B4339" t="str">
            <v>SMT</v>
          </cell>
          <cell r="C4339">
            <v>1</v>
          </cell>
          <cell r="D4339" t="e">
            <v>#N/A</v>
          </cell>
        </row>
        <row r="4340">
          <cell r="A4340" t="str">
            <v>1RH1J603L3J8AP2FES</v>
          </cell>
          <cell r="B4340" t="str">
            <v>SMT</v>
          </cell>
          <cell r="C4340">
            <v>1</v>
          </cell>
          <cell r="D4340">
            <v>9</v>
          </cell>
          <cell r="E4340">
            <v>6210</v>
          </cell>
          <cell r="F4340" t="str">
            <v>VG01</v>
          </cell>
          <cell r="G4340" t="str">
            <v>Auto</v>
          </cell>
          <cell r="H4340">
            <v>311</v>
          </cell>
          <cell r="I4340">
            <v>6210</v>
          </cell>
          <cell r="J4340">
            <v>6220</v>
          </cell>
          <cell r="K4340" t="str">
            <v>VG01</v>
          </cell>
        </row>
        <row r="4341">
          <cell r="A4341" t="str">
            <v>1AE1J603L3J8AP2FES</v>
          </cell>
          <cell r="B4341" t="str">
            <v>SMT</v>
          </cell>
          <cell r="C4341">
            <v>1</v>
          </cell>
          <cell r="D4341">
            <v>11</v>
          </cell>
        </row>
        <row r="4342">
          <cell r="A4342" t="str">
            <v>1RE2J603L3J8AP2FES</v>
          </cell>
          <cell r="B4342" t="str">
            <v>SMT</v>
          </cell>
          <cell r="C4342">
            <v>1</v>
          </cell>
          <cell r="D4342">
            <v>101</v>
          </cell>
        </row>
        <row r="4343">
          <cell r="A4343" t="str">
            <v>1RE1J603L3J8AP2FES</v>
          </cell>
          <cell r="B4343" t="str">
            <v>SMT</v>
          </cell>
          <cell r="C4343">
            <v>1</v>
          </cell>
          <cell r="D4343">
            <v>116</v>
          </cell>
        </row>
        <row r="4344">
          <cell r="A4344" t="str">
            <v>1RE2J605Q3J8AP2FES</v>
          </cell>
          <cell r="B4344" t="str">
            <v>SMT</v>
          </cell>
          <cell r="C4344">
            <v>1</v>
          </cell>
          <cell r="D4344">
            <v>60</v>
          </cell>
          <cell r="E4344">
            <v>6210</v>
          </cell>
          <cell r="F4344" t="str">
            <v>VG01</v>
          </cell>
          <cell r="G4344" t="str">
            <v>Auto</v>
          </cell>
          <cell r="H4344">
            <v>311</v>
          </cell>
          <cell r="I4344">
            <v>6210</v>
          </cell>
          <cell r="J4344">
            <v>6220</v>
          </cell>
          <cell r="K4344" t="str">
            <v>VG01</v>
          </cell>
        </row>
        <row r="4345">
          <cell r="A4345" t="str">
            <v>1CM1H603Y-3K20PP1</v>
          </cell>
          <cell r="B4345" t="str">
            <v>SMT</v>
          </cell>
          <cell r="C4345">
            <v>1</v>
          </cell>
          <cell r="D4345">
            <v>6</v>
          </cell>
          <cell r="E4345">
            <v>6210</v>
          </cell>
          <cell r="F4345" t="str">
            <v>VG01</v>
          </cell>
          <cell r="G4345" t="str">
            <v>Auto</v>
          </cell>
          <cell r="H4345">
            <v>311</v>
          </cell>
          <cell r="I4345">
            <v>6210</v>
          </cell>
          <cell r="J4345">
            <v>6220</v>
          </cell>
          <cell r="K4345" t="str">
            <v>VG01</v>
          </cell>
        </row>
        <row r="4346">
          <cell r="A4346" t="str">
            <v>1RH1H603Y-3K20PP1</v>
          </cell>
          <cell r="B4346" t="str">
            <v>SMT</v>
          </cell>
          <cell r="C4346">
            <v>1</v>
          </cell>
          <cell r="D4346">
            <v>4</v>
          </cell>
        </row>
        <row r="4347">
          <cell r="A4347" t="str">
            <v>1TE1H603Y-3K20PP1</v>
          </cell>
          <cell r="B4347" t="str">
            <v>SMT</v>
          </cell>
          <cell r="C4347">
            <v>1</v>
          </cell>
          <cell r="D4347" t="e">
            <v>#N/A</v>
          </cell>
        </row>
        <row r="4348">
          <cell r="A4348" t="str">
            <v>1AE1H603Y-3K20PP1</v>
          </cell>
          <cell r="B4348" t="str">
            <v>SMT</v>
          </cell>
          <cell r="C4348">
            <v>1</v>
          </cell>
          <cell r="D4348">
            <v>10</v>
          </cell>
        </row>
        <row r="4349">
          <cell r="A4349" t="str">
            <v>1HT1H603Y-3K20PP1</v>
          </cell>
          <cell r="B4349" t="str">
            <v>SMT</v>
          </cell>
          <cell r="C4349">
            <v>1</v>
          </cell>
          <cell r="D4349">
            <v>10</v>
          </cell>
        </row>
        <row r="4350">
          <cell r="A4350" t="str">
            <v>1CM1H683L-3K20PP1</v>
          </cell>
          <cell r="B4350" t="str">
            <v>SMT</v>
          </cell>
          <cell r="C4350">
            <v>1</v>
          </cell>
          <cell r="D4350">
            <v>426</v>
          </cell>
          <cell r="E4350">
            <v>6210</v>
          </cell>
          <cell r="F4350" t="str">
            <v>VG01</v>
          </cell>
          <cell r="G4350" t="str">
            <v>Auto</v>
          </cell>
          <cell r="H4350">
            <v>311</v>
          </cell>
          <cell r="I4350">
            <v>6210</v>
          </cell>
          <cell r="J4350">
            <v>6220</v>
          </cell>
          <cell r="K4350" t="str">
            <v>VG01</v>
          </cell>
        </row>
        <row r="4351">
          <cell r="A4351" t="str">
            <v>1RH1H683L-3K20PP1</v>
          </cell>
          <cell r="B4351" t="str">
            <v>SMT</v>
          </cell>
          <cell r="C4351">
            <v>1</v>
          </cell>
          <cell r="D4351">
            <v>35</v>
          </cell>
        </row>
        <row r="4352">
          <cell r="A4352" t="str">
            <v>1AE1H683L-3K20PP1</v>
          </cell>
          <cell r="B4352" t="str">
            <v>SMT</v>
          </cell>
          <cell r="C4352">
            <v>1</v>
          </cell>
          <cell r="D4352">
            <v>151</v>
          </cell>
        </row>
        <row r="4353">
          <cell r="A4353" t="str">
            <v>1HT1H683L-3K20PP1</v>
          </cell>
          <cell r="B4353" t="str">
            <v>SMT</v>
          </cell>
          <cell r="C4353">
            <v>1</v>
          </cell>
          <cell r="D4353">
            <v>18</v>
          </cell>
        </row>
        <row r="4354">
          <cell r="A4354" t="str">
            <v>1RE2H685Q-3K20PP1</v>
          </cell>
          <cell r="B4354" t="str">
            <v>SMT</v>
          </cell>
          <cell r="C4354">
            <v>1</v>
          </cell>
          <cell r="D4354">
            <v>308</v>
          </cell>
          <cell r="E4354">
            <v>6210</v>
          </cell>
          <cell r="F4354" t="str">
            <v>VG01</v>
          </cell>
          <cell r="G4354" t="str">
            <v>Auto</v>
          </cell>
          <cell r="H4354">
            <v>311</v>
          </cell>
          <cell r="I4354">
            <v>6210</v>
          </cell>
          <cell r="J4354">
            <v>6220</v>
          </cell>
          <cell r="K4354" t="str">
            <v>VG01</v>
          </cell>
        </row>
        <row r="4355">
          <cell r="A4355" t="str">
            <v>1RE1H685Q-3K20PP1</v>
          </cell>
          <cell r="B4355" t="str">
            <v>SMT</v>
          </cell>
          <cell r="C4355">
            <v>1</v>
          </cell>
          <cell r="D4355">
            <v>136</v>
          </cell>
        </row>
        <row r="4356">
          <cell r="A4356" t="str">
            <v>1AP1T7710CV4</v>
          </cell>
          <cell r="B4356" t="str">
            <v>DIP</v>
          </cell>
          <cell r="C4356">
            <v>1</v>
          </cell>
          <cell r="D4356" t="e">
            <v>#N/A</v>
          </cell>
          <cell r="E4356">
            <v>2210</v>
          </cell>
          <cell r="F4356" t="str">
            <v>VC01</v>
          </cell>
          <cell r="G4356" t="str">
            <v>Auto</v>
          </cell>
          <cell r="H4356">
            <v>311</v>
          </cell>
          <cell r="I4356">
            <v>2210</v>
          </cell>
          <cell r="J4356">
            <v>2310</v>
          </cell>
          <cell r="K4356" t="str">
            <v>VC01</v>
          </cell>
        </row>
        <row r="4357">
          <cell r="A4357" t="str">
            <v>1CM1T7710CV4</v>
          </cell>
          <cell r="B4357" t="str">
            <v>SMT</v>
          </cell>
          <cell r="C4357">
            <v>1</v>
          </cell>
          <cell r="D4357">
            <v>95</v>
          </cell>
          <cell r="E4357">
            <v>2210</v>
          </cell>
          <cell r="F4357" t="str">
            <v>VC01</v>
          </cell>
          <cell r="G4357" t="str">
            <v>Auto</v>
          </cell>
          <cell r="H4357">
            <v>311</v>
          </cell>
          <cell r="I4357">
            <v>2210</v>
          </cell>
          <cell r="J4357">
            <v>2310</v>
          </cell>
          <cell r="K4357" t="str">
            <v>VC01</v>
          </cell>
        </row>
        <row r="4358">
          <cell r="A4358" t="str">
            <v>1RH1T7710CV4</v>
          </cell>
          <cell r="B4358" t="str">
            <v>SMT</v>
          </cell>
          <cell r="C4358">
            <v>1</v>
          </cell>
          <cell r="D4358">
            <v>16</v>
          </cell>
        </row>
        <row r="4359">
          <cell r="A4359" t="str">
            <v>1AE1T7710CV4</v>
          </cell>
          <cell r="B4359" t="str">
            <v>SMT</v>
          </cell>
          <cell r="C4359">
            <v>1</v>
          </cell>
          <cell r="D4359">
            <v>10</v>
          </cell>
        </row>
        <row r="4360">
          <cell r="A4360" t="str">
            <v>1AP1T7710EV4</v>
          </cell>
          <cell r="B4360" t="str">
            <v>DIP</v>
          </cell>
          <cell r="C4360">
            <v>1</v>
          </cell>
          <cell r="D4360" t="e">
            <v>#N/A</v>
          </cell>
          <cell r="E4360">
            <v>2210</v>
          </cell>
          <cell r="F4360" t="str">
            <v>VC01</v>
          </cell>
          <cell r="G4360" t="str">
            <v>Auto</v>
          </cell>
          <cell r="H4360">
            <v>311</v>
          </cell>
          <cell r="I4360">
            <v>2210</v>
          </cell>
          <cell r="J4360">
            <v>2310</v>
          </cell>
          <cell r="K4360" t="str">
            <v>VC01</v>
          </cell>
        </row>
        <row r="4361">
          <cell r="A4361" t="str">
            <v>1CM1T7710EV4</v>
          </cell>
          <cell r="B4361" t="str">
            <v>SMT</v>
          </cell>
          <cell r="C4361">
            <v>1</v>
          </cell>
          <cell r="D4361">
            <v>98</v>
          </cell>
          <cell r="E4361">
            <v>2210</v>
          </cell>
          <cell r="F4361" t="str">
            <v>VC01</v>
          </cell>
          <cell r="G4361" t="str">
            <v>Auto</v>
          </cell>
          <cell r="H4361">
            <v>311</v>
          </cell>
          <cell r="I4361">
            <v>2210</v>
          </cell>
          <cell r="J4361">
            <v>2310</v>
          </cell>
          <cell r="K4361" t="str">
            <v>VC01</v>
          </cell>
        </row>
        <row r="4362">
          <cell r="A4362" t="str">
            <v>1RH1T7710EV4</v>
          </cell>
          <cell r="B4362" t="str">
            <v>SMT</v>
          </cell>
          <cell r="C4362">
            <v>1</v>
          </cell>
          <cell r="D4362">
            <v>15</v>
          </cell>
        </row>
        <row r="4363">
          <cell r="A4363" t="str">
            <v>1AE1T7710EV4</v>
          </cell>
          <cell r="B4363" t="str">
            <v>SMT</v>
          </cell>
          <cell r="C4363">
            <v>1</v>
          </cell>
          <cell r="D4363">
            <v>10</v>
          </cell>
        </row>
        <row r="4364">
          <cell r="A4364" t="str">
            <v>PNXA1004WA/AS</v>
          </cell>
          <cell r="B4364" t="str">
            <v>SMT</v>
          </cell>
          <cell r="C4364">
            <v>1</v>
          </cell>
          <cell r="D4364">
            <v>0</v>
          </cell>
          <cell r="E4364">
            <v>2210</v>
          </cell>
          <cell r="F4364" t="str">
            <v>VC01</v>
          </cell>
        </row>
        <row r="4365">
          <cell r="A4365" t="str">
            <v>1RE1XA1004WA/AS</v>
          </cell>
          <cell r="B4365" t="str">
            <v>SMT</v>
          </cell>
          <cell r="C4365">
            <v>1</v>
          </cell>
          <cell r="D4365">
            <v>23</v>
          </cell>
        </row>
        <row r="4366">
          <cell r="A4366" t="str">
            <v>1VI1XA1004WA/AS</v>
          </cell>
          <cell r="B4366" t="str">
            <v>SMT</v>
          </cell>
          <cell r="C4366">
            <v>1</v>
          </cell>
          <cell r="D4366" t="e">
            <v>#N/A</v>
          </cell>
        </row>
        <row r="4367">
          <cell r="A4367" t="str">
            <v>1RE1LXS1001ZA/AS</v>
          </cell>
          <cell r="B4367" t="str">
            <v>SMT</v>
          </cell>
          <cell r="C4367">
            <v>1</v>
          </cell>
          <cell r="D4367">
            <v>5</v>
          </cell>
          <cell r="E4367">
            <v>2210</v>
          </cell>
          <cell r="F4367" t="str">
            <v>VC01</v>
          </cell>
          <cell r="G4367" t="str">
            <v>Auto</v>
          </cell>
          <cell r="H4367">
            <v>311</v>
          </cell>
          <cell r="I4367">
            <v>2210</v>
          </cell>
          <cell r="J4367">
            <v>2310</v>
          </cell>
          <cell r="K4367" t="str">
            <v>VC01</v>
          </cell>
        </row>
        <row r="4368">
          <cell r="A4368" t="str">
            <v>1RE1LPAT7730NE1ZA</v>
          </cell>
          <cell r="B4368" t="str">
            <v>SMT</v>
          </cell>
          <cell r="C4368">
            <v>1</v>
          </cell>
          <cell r="D4368">
            <v>21</v>
          </cell>
        </row>
        <row r="4369">
          <cell r="A4369" t="str">
            <v>1VJ1LPAT7730NE1ZA</v>
          </cell>
          <cell r="B4369" t="str">
            <v>SMT</v>
          </cell>
          <cell r="C4369">
            <v>1</v>
          </cell>
          <cell r="D4369" t="e">
            <v>#N/A</v>
          </cell>
        </row>
        <row r="4370">
          <cell r="A4370" t="str">
            <v>1RE1LPAT7730RU1ZA</v>
          </cell>
          <cell r="B4370" t="str">
            <v>SMT</v>
          </cell>
          <cell r="C4370">
            <v>1</v>
          </cell>
          <cell r="D4370">
            <v>21</v>
          </cell>
        </row>
        <row r="4371">
          <cell r="A4371" t="str">
            <v>1VJ1LPAT7730RU1ZA</v>
          </cell>
          <cell r="B4371" t="str">
            <v>SMT</v>
          </cell>
          <cell r="C4371">
            <v>1</v>
          </cell>
          <cell r="D4371" t="e">
            <v>#N/A</v>
          </cell>
        </row>
        <row r="4372">
          <cell r="A4372" t="str">
            <v>1RE1LPAT7730UE1ZA</v>
          </cell>
          <cell r="B4372" t="str">
            <v>SMT</v>
          </cell>
          <cell r="C4372">
            <v>1</v>
          </cell>
          <cell r="D4372">
            <v>21</v>
          </cell>
        </row>
        <row r="4373">
          <cell r="A4373" t="str">
            <v>1VJ1LPAT7730UE1ZA</v>
          </cell>
          <cell r="B4373" t="str">
            <v>SMT</v>
          </cell>
          <cell r="C4373">
            <v>1</v>
          </cell>
          <cell r="D4373" t="e">
            <v>#N/A</v>
          </cell>
        </row>
        <row r="4374">
          <cell r="A4374" t="str">
            <v>1RE1LPAT7730X1ZA</v>
          </cell>
          <cell r="B4374" t="str">
            <v>SMT</v>
          </cell>
          <cell r="C4374">
            <v>1</v>
          </cell>
          <cell r="D4374">
            <v>21</v>
          </cell>
        </row>
        <row r="4375">
          <cell r="A4375" t="str">
            <v>1VJ1LPAT7730X1ZA</v>
          </cell>
          <cell r="B4375" t="str">
            <v>SMT</v>
          </cell>
          <cell r="C4375">
            <v>1</v>
          </cell>
          <cell r="D4375" t="e">
            <v>#N/A</v>
          </cell>
        </row>
        <row r="4376">
          <cell r="A4376" t="str">
            <v>1RE2LPHDV1001YA</v>
          </cell>
          <cell r="B4376" t="str">
            <v>SMT</v>
          </cell>
          <cell r="C4376">
            <v>1</v>
          </cell>
          <cell r="D4376">
            <v>227</v>
          </cell>
          <cell r="E4376">
            <v>2210</v>
          </cell>
          <cell r="F4376" t="str">
            <v>VC01</v>
          </cell>
          <cell r="G4376" t="str">
            <v>Auto</v>
          </cell>
          <cell r="H4376">
            <v>311</v>
          </cell>
          <cell r="I4376">
            <v>2210</v>
          </cell>
          <cell r="J4376">
            <v>2220</v>
          </cell>
          <cell r="K4376" t="str">
            <v>VC01</v>
          </cell>
        </row>
        <row r="4377">
          <cell r="A4377" t="str">
            <v>1RE1LPHDV1001YA</v>
          </cell>
          <cell r="B4377" t="str">
            <v>SMT</v>
          </cell>
          <cell r="C4377">
            <v>1</v>
          </cell>
          <cell r="D4377">
            <v>36</v>
          </cell>
        </row>
        <row r="4378">
          <cell r="A4378" t="str">
            <v>1VJ1LPHDV1001YA</v>
          </cell>
          <cell r="B4378" t="str">
            <v>SMT</v>
          </cell>
          <cell r="C4378">
            <v>1</v>
          </cell>
          <cell r="D4378" t="e">
            <v>#N/A</v>
          </cell>
        </row>
        <row r="4379">
          <cell r="A4379" t="str">
            <v>PNLB2399YB-AP</v>
          </cell>
          <cell r="B4379" t="str">
            <v>SMT</v>
          </cell>
          <cell r="C4379">
            <v>1</v>
          </cell>
          <cell r="D4379" t="e">
            <v>#N/A</v>
          </cell>
        </row>
        <row r="4380">
          <cell r="A4380" t="str">
            <v>1RE2LPHDV100CN1YA</v>
          </cell>
          <cell r="B4380" t="str">
            <v>SMT</v>
          </cell>
          <cell r="C4380">
            <v>1</v>
          </cell>
          <cell r="D4380">
            <v>227</v>
          </cell>
          <cell r="E4380">
            <v>2210</v>
          </cell>
          <cell r="F4380" t="str">
            <v>VC01</v>
          </cell>
          <cell r="G4380" t="str">
            <v>Auto</v>
          </cell>
          <cell r="H4380">
            <v>311</v>
          </cell>
          <cell r="I4380">
            <v>2210</v>
          </cell>
          <cell r="J4380" t="e">
            <v>#N/A</v>
          </cell>
          <cell r="K4380" t="str">
            <v>VC01</v>
          </cell>
        </row>
        <row r="4381">
          <cell r="A4381" t="str">
            <v>1VJ1LPHDV100CN1YA</v>
          </cell>
          <cell r="B4381" t="str">
            <v>SMT</v>
          </cell>
          <cell r="C4381">
            <v>1</v>
          </cell>
          <cell r="D4381" t="e">
            <v>#N/A</v>
          </cell>
        </row>
        <row r="4382">
          <cell r="A4382" t="str">
            <v>1RE1LPHDV100CN1YA</v>
          </cell>
          <cell r="B4382" t="str">
            <v>SMT</v>
          </cell>
          <cell r="C4382">
            <v>1</v>
          </cell>
          <cell r="D4382">
            <v>36</v>
          </cell>
        </row>
        <row r="4383">
          <cell r="A4383" t="str">
            <v>1RE2LPHDV100RU1YA</v>
          </cell>
          <cell r="B4383" t="str">
            <v>SMT</v>
          </cell>
          <cell r="C4383">
            <v>1</v>
          </cell>
          <cell r="D4383">
            <v>227</v>
          </cell>
          <cell r="E4383">
            <v>2210</v>
          </cell>
          <cell r="F4383" t="str">
            <v>VC01</v>
          </cell>
          <cell r="G4383" t="str">
            <v>Auto</v>
          </cell>
          <cell r="H4383">
            <v>311</v>
          </cell>
          <cell r="I4383">
            <v>2210</v>
          </cell>
          <cell r="J4383">
            <v>2220</v>
          </cell>
          <cell r="K4383" t="str">
            <v>VC01</v>
          </cell>
        </row>
        <row r="4384">
          <cell r="A4384" t="str">
            <v>1VJ1LPHDV100RU1YA</v>
          </cell>
          <cell r="B4384" t="str">
            <v>SMT</v>
          </cell>
          <cell r="C4384">
            <v>1</v>
          </cell>
          <cell r="D4384" t="e">
            <v>#N/A</v>
          </cell>
        </row>
        <row r="4385">
          <cell r="A4385" t="str">
            <v>1RE1LPHDV100RU1YA</v>
          </cell>
          <cell r="B4385" t="str">
            <v>SMT</v>
          </cell>
          <cell r="C4385">
            <v>1</v>
          </cell>
          <cell r="D4385">
            <v>36</v>
          </cell>
        </row>
        <row r="4386">
          <cell r="A4386" t="str">
            <v>1RE2LPHDV1301YA</v>
          </cell>
          <cell r="B4386" t="str">
            <v>SMT</v>
          </cell>
          <cell r="C4386">
            <v>1</v>
          </cell>
          <cell r="D4386">
            <v>338</v>
          </cell>
          <cell r="E4386">
            <v>2210</v>
          </cell>
          <cell r="F4386" t="str">
            <v>VC01</v>
          </cell>
          <cell r="G4386" t="str">
            <v>Auto</v>
          </cell>
          <cell r="H4386">
            <v>311</v>
          </cell>
          <cell r="I4386">
            <v>2210</v>
          </cell>
          <cell r="J4386">
            <v>2220</v>
          </cell>
          <cell r="K4386" t="str">
            <v>VC01</v>
          </cell>
        </row>
        <row r="4387">
          <cell r="A4387" t="str">
            <v>1VJ1LPHDV1301YA</v>
          </cell>
          <cell r="B4387" t="str">
            <v>SMT</v>
          </cell>
          <cell r="C4387">
            <v>1</v>
          </cell>
          <cell r="D4387" t="e">
            <v>#N/A</v>
          </cell>
        </row>
        <row r="4388">
          <cell r="A4388" t="str">
            <v>1RE1LPHDV1301YA</v>
          </cell>
          <cell r="B4388" t="str">
            <v>SMT</v>
          </cell>
          <cell r="C4388">
            <v>1</v>
          </cell>
          <cell r="D4388">
            <v>34</v>
          </cell>
        </row>
        <row r="4389">
          <cell r="A4389" t="str">
            <v>1RE2LPHDV130A011YA</v>
          </cell>
          <cell r="B4389" t="str">
            <v>SMT</v>
          </cell>
          <cell r="C4389">
            <v>1</v>
          </cell>
          <cell r="D4389">
            <v>338</v>
          </cell>
          <cell r="E4389">
            <v>2210</v>
          </cell>
          <cell r="F4389" t="str">
            <v>VC01</v>
          </cell>
          <cell r="G4389" t="str">
            <v>Auto</v>
          </cell>
          <cell r="H4389">
            <v>311</v>
          </cell>
          <cell r="I4389">
            <v>2210</v>
          </cell>
          <cell r="J4389" t="e">
            <v>#N/A</v>
          </cell>
          <cell r="K4389" t="str">
            <v>VC01</v>
          </cell>
        </row>
        <row r="4390">
          <cell r="A4390" t="str">
            <v>1VJ1LPHDV130A011YA</v>
          </cell>
          <cell r="B4390" t="str">
            <v>SMT</v>
          </cell>
          <cell r="C4390">
            <v>1</v>
          </cell>
          <cell r="D4390" t="e">
            <v>#N/A</v>
          </cell>
        </row>
        <row r="4391">
          <cell r="A4391" t="str">
            <v>1RE1LPHDV130A011YA</v>
          </cell>
          <cell r="B4391" t="str">
            <v>SMT</v>
          </cell>
          <cell r="C4391">
            <v>1</v>
          </cell>
          <cell r="D4391">
            <v>34</v>
          </cell>
        </row>
        <row r="4392">
          <cell r="A4392" t="str">
            <v>1RE2LPHDV130CN1YA</v>
          </cell>
          <cell r="B4392" t="str">
            <v>SMT</v>
          </cell>
          <cell r="C4392">
            <v>1</v>
          </cell>
          <cell r="D4392">
            <v>338</v>
          </cell>
          <cell r="E4392">
            <v>2210</v>
          </cell>
          <cell r="F4392" t="str">
            <v>VC01</v>
          </cell>
          <cell r="G4392" t="str">
            <v>Auto</v>
          </cell>
          <cell r="H4392">
            <v>311</v>
          </cell>
          <cell r="I4392">
            <v>2210</v>
          </cell>
          <cell r="J4392">
            <v>2220</v>
          </cell>
          <cell r="K4392" t="str">
            <v>VC01</v>
          </cell>
        </row>
        <row r="4393">
          <cell r="A4393" t="str">
            <v>1VJ1LPHDV130CN1YA</v>
          </cell>
          <cell r="B4393" t="str">
            <v>SMT</v>
          </cell>
          <cell r="C4393">
            <v>1</v>
          </cell>
          <cell r="D4393" t="e">
            <v>#N/A</v>
          </cell>
        </row>
        <row r="4394">
          <cell r="A4394" t="str">
            <v>1RE1LPHDV130CN1YA</v>
          </cell>
          <cell r="B4394" t="str">
            <v>SMT</v>
          </cell>
          <cell r="C4394">
            <v>1</v>
          </cell>
          <cell r="D4394">
            <v>34</v>
          </cell>
        </row>
        <row r="4395">
          <cell r="A4395" t="str">
            <v>1RE2LPHDV130M1YA</v>
          </cell>
          <cell r="B4395" t="str">
            <v>SMT</v>
          </cell>
          <cell r="C4395">
            <v>1</v>
          </cell>
          <cell r="D4395">
            <v>338</v>
          </cell>
          <cell r="E4395">
            <v>2210</v>
          </cell>
          <cell r="F4395" t="str">
            <v>VC01</v>
          </cell>
          <cell r="G4395" t="str">
            <v>Auto</v>
          </cell>
          <cell r="H4395">
            <v>311</v>
          </cell>
          <cell r="I4395">
            <v>2210</v>
          </cell>
          <cell r="J4395">
            <v>2220</v>
          </cell>
          <cell r="K4395" t="str">
            <v>VC01</v>
          </cell>
        </row>
        <row r="4396">
          <cell r="A4396" t="str">
            <v>1VJ1LPHDV130M1YA</v>
          </cell>
          <cell r="B4396" t="str">
            <v>SMT</v>
          </cell>
          <cell r="C4396">
            <v>1</v>
          </cell>
          <cell r="D4396" t="e">
            <v>#N/A</v>
          </cell>
        </row>
        <row r="4397">
          <cell r="A4397" t="str">
            <v>1RE1LPHDV130M1YA</v>
          </cell>
          <cell r="B4397" t="str">
            <v>SMT</v>
          </cell>
          <cell r="C4397">
            <v>1</v>
          </cell>
          <cell r="D4397">
            <v>34</v>
          </cell>
        </row>
        <row r="4398">
          <cell r="A4398" t="str">
            <v>1RE2LPHDV130N1ZA</v>
          </cell>
          <cell r="B4398" t="str">
            <v>SMT</v>
          </cell>
          <cell r="C4398">
            <v>1</v>
          </cell>
          <cell r="D4398">
            <v>338</v>
          </cell>
          <cell r="E4398">
            <v>2210</v>
          </cell>
          <cell r="F4398" t="str">
            <v>VC01</v>
          </cell>
          <cell r="G4398" t="str">
            <v>Auto</v>
          </cell>
          <cell r="H4398">
            <v>311</v>
          </cell>
          <cell r="I4398">
            <v>2210</v>
          </cell>
          <cell r="J4398">
            <v>2220</v>
          </cell>
          <cell r="K4398" t="str">
            <v>VC01</v>
          </cell>
        </row>
        <row r="4399">
          <cell r="A4399" t="str">
            <v>1VJ1LPHDV130N1ZA</v>
          </cell>
          <cell r="B4399" t="str">
            <v>SMT</v>
          </cell>
          <cell r="C4399">
            <v>1</v>
          </cell>
          <cell r="D4399" t="e">
            <v>#N/A</v>
          </cell>
        </row>
        <row r="4400">
          <cell r="A4400" t="str">
            <v>1RE1LPHDV130N1ZA</v>
          </cell>
          <cell r="B4400" t="str">
            <v>SMT</v>
          </cell>
          <cell r="C4400">
            <v>1</v>
          </cell>
          <cell r="D4400">
            <v>34</v>
          </cell>
        </row>
        <row r="4401">
          <cell r="A4401" t="str">
            <v>1RE2LPHDV130RU1YA</v>
          </cell>
          <cell r="B4401" t="str">
            <v>SMT</v>
          </cell>
          <cell r="C4401">
            <v>1</v>
          </cell>
          <cell r="D4401">
            <v>338</v>
          </cell>
          <cell r="E4401">
            <v>2210</v>
          </cell>
          <cell r="F4401" t="str">
            <v>VC01</v>
          </cell>
          <cell r="G4401" t="str">
            <v>Auto</v>
          </cell>
          <cell r="H4401">
            <v>311</v>
          </cell>
          <cell r="I4401">
            <v>2210</v>
          </cell>
          <cell r="J4401">
            <v>2220</v>
          </cell>
          <cell r="K4401" t="str">
            <v>VC01</v>
          </cell>
        </row>
        <row r="4402">
          <cell r="A4402" t="str">
            <v>1VJ1LPHDV130RU1YA</v>
          </cell>
          <cell r="B4402" t="str">
            <v>SMT</v>
          </cell>
          <cell r="C4402">
            <v>1</v>
          </cell>
          <cell r="D4402" t="e">
            <v>#N/A</v>
          </cell>
        </row>
        <row r="4403">
          <cell r="A4403" t="str">
            <v>1RE1LPHDV130RU1YA</v>
          </cell>
          <cell r="B4403" t="str">
            <v>SMT</v>
          </cell>
          <cell r="C4403">
            <v>1</v>
          </cell>
          <cell r="D4403">
            <v>34</v>
          </cell>
        </row>
        <row r="4404">
          <cell r="A4404" t="str">
            <v>1RE2LPHDV130X1YA</v>
          </cell>
          <cell r="B4404" t="str">
            <v>SMT</v>
          </cell>
          <cell r="C4404">
            <v>1</v>
          </cell>
          <cell r="D4404">
            <v>338</v>
          </cell>
          <cell r="E4404">
            <v>2210</v>
          </cell>
          <cell r="F4404" t="str">
            <v>VC01</v>
          </cell>
          <cell r="G4404" t="str">
            <v>Auto</v>
          </cell>
          <cell r="H4404">
            <v>311</v>
          </cell>
          <cell r="I4404">
            <v>2210</v>
          </cell>
          <cell r="J4404">
            <v>2220</v>
          </cell>
          <cell r="K4404" t="str">
            <v>VC01</v>
          </cell>
        </row>
        <row r="4405">
          <cell r="A4405" t="str">
            <v>1VJ1LPHDV130X1YA</v>
          </cell>
          <cell r="B4405" t="str">
            <v>SMT</v>
          </cell>
          <cell r="C4405">
            <v>1</v>
          </cell>
          <cell r="D4405" t="e">
            <v>#N/A</v>
          </cell>
        </row>
        <row r="4406">
          <cell r="A4406" t="str">
            <v>1RE1LPHDV130X1YA</v>
          </cell>
          <cell r="B4406" t="str">
            <v>SMT</v>
          </cell>
          <cell r="C4406">
            <v>1</v>
          </cell>
          <cell r="D4406">
            <v>34</v>
          </cell>
        </row>
        <row r="4407">
          <cell r="A4407" t="str">
            <v>PNLB2399YD-AP</v>
          </cell>
          <cell r="B4407" t="str">
            <v>SMT</v>
          </cell>
          <cell r="C4407">
            <v>1</v>
          </cell>
          <cell r="D4407" t="e">
            <v>#N/A</v>
          </cell>
        </row>
        <row r="4408">
          <cell r="A4408" t="str">
            <v>1RE1PSLP1435YA</v>
          </cell>
          <cell r="B4408" t="str">
            <v>SMT</v>
          </cell>
          <cell r="C4408">
            <v>1</v>
          </cell>
          <cell r="D4408">
            <v>19</v>
          </cell>
        </row>
        <row r="4409">
          <cell r="A4409" t="str">
            <v>1RE1T7665RU1APL4</v>
          </cell>
          <cell r="B4409" t="str">
            <v>SMT</v>
          </cell>
          <cell r="C4409">
            <v>1</v>
          </cell>
          <cell r="D4409">
            <v>13</v>
          </cell>
        </row>
        <row r="4410">
          <cell r="A4410" t="str">
            <v>1RE1T7665VE1AP</v>
          </cell>
          <cell r="B4410" t="str">
            <v>SMT</v>
          </cell>
          <cell r="C4410">
            <v>1</v>
          </cell>
          <cell r="D4410">
            <v>13</v>
          </cell>
        </row>
        <row r="4411">
          <cell r="A4411" t="str">
            <v>1VJ1T7665VE1AP</v>
          </cell>
          <cell r="B4411" t="str">
            <v>SMT</v>
          </cell>
          <cell r="C4411">
            <v>1</v>
          </cell>
          <cell r="D4411" t="e">
            <v>#N/A</v>
          </cell>
        </row>
        <row r="4412">
          <cell r="A4412" t="str">
            <v>1RE1T7720EV4</v>
          </cell>
          <cell r="B4412" t="str">
            <v>SMT</v>
          </cell>
          <cell r="C4412">
            <v>1</v>
          </cell>
          <cell r="D4412">
            <v>21</v>
          </cell>
        </row>
        <row r="4413">
          <cell r="A4413" t="str">
            <v>1VJ1T7720EV4</v>
          </cell>
          <cell r="B4413" t="str">
            <v>SMT</v>
          </cell>
          <cell r="C4413">
            <v>1</v>
          </cell>
          <cell r="D4413" t="e">
            <v>#N/A</v>
          </cell>
        </row>
        <row r="4414">
          <cell r="A4414" t="str">
            <v>1RE1T7720M1APL4</v>
          </cell>
          <cell r="B4414" t="str">
            <v>SMT</v>
          </cell>
          <cell r="C4414">
            <v>1</v>
          </cell>
          <cell r="D4414">
            <v>22</v>
          </cell>
        </row>
        <row r="4415">
          <cell r="A4415" t="str">
            <v>1VJ1T7720M1APL4</v>
          </cell>
          <cell r="B4415" t="str">
            <v>SMT</v>
          </cell>
          <cell r="C4415">
            <v>1</v>
          </cell>
          <cell r="D4415" t="e">
            <v>#N/A</v>
          </cell>
        </row>
        <row r="4416">
          <cell r="A4416" t="str">
            <v>1RE1T7730ALV4</v>
          </cell>
          <cell r="B4416" t="str">
            <v>SMT</v>
          </cell>
          <cell r="C4416">
            <v>1</v>
          </cell>
          <cell r="D4416">
            <v>21</v>
          </cell>
        </row>
        <row r="4417">
          <cell r="A4417" t="str">
            <v>1VJ1T7730ALV4</v>
          </cell>
          <cell r="B4417" t="str">
            <v>SMT</v>
          </cell>
          <cell r="C4417">
            <v>1</v>
          </cell>
          <cell r="D4417" t="e">
            <v>#N/A</v>
          </cell>
        </row>
        <row r="4418">
          <cell r="A4418" t="str">
            <v>1RE1T7730CNV4</v>
          </cell>
          <cell r="B4418" t="str">
            <v>SMT</v>
          </cell>
          <cell r="C4418">
            <v>1</v>
          </cell>
          <cell r="D4418">
            <v>21</v>
          </cell>
        </row>
        <row r="4419">
          <cell r="A4419" t="str">
            <v>1VJ1T7730CNV4</v>
          </cell>
          <cell r="B4419" t="str">
            <v>SMT</v>
          </cell>
          <cell r="C4419">
            <v>1</v>
          </cell>
          <cell r="D4419" t="e">
            <v>#N/A</v>
          </cell>
        </row>
        <row r="4420">
          <cell r="A4420" t="str">
            <v>1RE1T7730XSX</v>
          </cell>
          <cell r="B4420" t="str">
            <v>SMT</v>
          </cell>
          <cell r="C4420">
            <v>1</v>
          </cell>
          <cell r="D4420">
            <v>21</v>
          </cell>
        </row>
        <row r="4421">
          <cell r="A4421" t="str">
            <v>1VJ1T7730XSX</v>
          </cell>
          <cell r="B4421" t="str">
            <v>SMT</v>
          </cell>
          <cell r="C4421">
            <v>1</v>
          </cell>
          <cell r="D4421" t="e">
            <v>#N/A</v>
          </cell>
        </row>
        <row r="4422">
          <cell r="A4422" t="str">
            <v>1RE1T7730XV4</v>
          </cell>
          <cell r="B4422" t="str">
            <v>SMT</v>
          </cell>
          <cell r="C4422">
            <v>1</v>
          </cell>
          <cell r="D4422">
            <v>21</v>
          </cell>
        </row>
        <row r="4423">
          <cell r="A4423" t="str">
            <v>1VJ1T7730XV4</v>
          </cell>
          <cell r="B4423" t="str">
            <v>SMT</v>
          </cell>
          <cell r="C4423">
            <v>1</v>
          </cell>
          <cell r="D4423" t="e">
            <v>#N/A</v>
          </cell>
        </row>
        <row r="4424">
          <cell r="A4424" t="str">
            <v>1RE1T7735CEV4</v>
          </cell>
          <cell r="B4424" t="str">
            <v>SMT</v>
          </cell>
          <cell r="C4424">
            <v>1</v>
          </cell>
          <cell r="D4424">
            <v>25</v>
          </cell>
        </row>
        <row r="4425">
          <cell r="A4425" t="str">
            <v>1VJ1T7735CEV4</v>
          </cell>
          <cell r="B4425" t="str">
            <v>SMT</v>
          </cell>
          <cell r="C4425">
            <v>1</v>
          </cell>
          <cell r="D4425" t="e">
            <v>#N/A</v>
          </cell>
        </row>
        <row r="4426">
          <cell r="A4426" t="str">
            <v>1RE1T7735EV4</v>
          </cell>
          <cell r="B4426" t="str">
            <v>SMT</v>
          </cell>
          <cell r="C4426">
            <v>1</v>
          </cell>
          <cell r="D4426">
            <v>25</v>
          </cell>
        </row>
        <row r="4427">
          <cell r="A4427" t="str">
            <v>1VJ1T7735EV4</v>
          </cell>
          <cell r="B4427" t="str">
            <v>SMT</v>
          </cell>
          <cell r="C4427">
            <v>1</v>
          </cell>
          <cell r="D4427" t="e">
            <v>#N/A</v>
          </cell>
        </row>
        <row r="4428">
          <cell r="A4428" t="str">
            <v>1RE1T7735RU1APL4</v>
          </cell>
          <cell r="B4428" t="str">
            <v>SMT</v>
          </cell>
          <cell r="C4428">
            <v>1</v>
          </cell>
          <cell r="D4428">
            <v>25</v>
          </cell>
        </row>
        <row r="4429">
          <cell r="A4429" t="str">
            <v>1VJ1T7735RU1APL4</v>
          </cell>
          <cell r="B4429" t="str">
            <v>SMT</v>
          </cell>
          <cell r="C4429">
            <v>1</v>
          </cell>
          <cell r="D4429" t="e">
            <v>#N/A</v>
          </cell>
        </row>
        <row r="4430">
          <cell r="A4430" t="str">
            <v>1RE1T7735XBV4</v>
          </cell>
          <cell r="B4430" t="str">
            <v>SMT</v>
          </cell>
          <cell r="C4430">
            <v>1</v>
          </cell>
          <cell r="D4430">
            <v>25</v>
          </cell>
        </row>
        <row r="4431">
          <cell r="A4431" t="str">
            <v>1VJ1T7735XBV4</v>
          </cell>
          <cell r="B4431" t="str">
            <v>SMT</v>
          </cell>
          <cell r="C4431">
            <v>1</v>
          </cell>
          <cell r="D4431" t="e">
            <v>#N/A</v>
          </cell>
        </row>
        <row r="4432">
          <cell r="A4432" t="str">
            <v>1RE1T7735XSX</v>
          </cell>
          <cell r="B4432" t="str">
            <v>SMT</v>
          </cell>
          <cell r="C4432">
            <v>1</v>
          </cell>
          <cell r="D4432">
            <v>25</v>
          </cell>
        </row>
        <row r="4433">
          <cell r="A4433" t="str">
            <v>1VJ1T7735XSX</v>
          </cell>
          <cell r="B4433" t="str">
            <v>SMT</v>
          </cell>
          <cell r="C4433">
            <v>1</v>
          </cell>
          <cell r="D4433" t="e">
            <v>#N/A</v>
          </cell>
        </row>
        <row r="4434">
          <cell r="A4434" t="str">
            <v>1RE1T7735XV4</v>
          </cell>
          <cell r="B4434" t="str">
            <v>SMT</v>
          </cell>
          <cell r="C4434">
            <v>1</v>
          </cell>
          <cell r="D4434">
            <v>25</v>
          </cell>
        </row>
        <row r="4435">
          <cell r="A4435" t="str">
            <v>1VJ1T7735XV4</v>
          </cell>
          <cell r="B4435" t="str">
            <v>SMT</v>
          </cell>
          <cell r="C4435">
            <v>1</v>
          </cell>
          <cell r="D4435" t="e">
            <v>#N/A</v>
          </cell>
        </row>
        <row r="4436">
          <cell r="A4436" t="str">
            <v>1RE1T7740XBV4</v>
          </cell>
          <cell r="B4436" t="str">
            <v>SMT</v>
          </cell>
          <cell r="C4436">
            <v>1</v>
          </cell>
          <cell r="D4436">
            <v>32</v>
          </cell>
        </row>
        <row r="4437">
          <cell r="A4437" t="str">
            <v>1VJ1T7740XBV4</v>
          </cell>
          <cell r="B4437" t="str">
            <v>SMT</v>
          </cell>
          <cell r="C4437">
            <v>1</v>
          </cell>
          <cell r="D4437" t="e">
            <v>#N/A</v>
          </cell>
        </row>
        <row r="4438">
          <cell r="A4438" t="str">
            <v>1RE1T7740XEU</v>
          </cell>
          <cell r="B4438" t="str">
            <v>SMT</v>
          </cell>
          <cell r="C4438">
            <v>1</v>
          </cell>
          <cell r="D4438">
            <v>32</v>
          </cell>
        </row>
        <row r="4439">
          <cell r="A4439" t="str">
            <v>1VJ1T7740XEU</v>
          </cell>
          <cell r="B4439" t="str">
            <v>SMT</v>
          </cell>
          <cell r="C4439">
            <v>1</v>
          </cell>
          <cell r="D4439" t="e">
            <v>#N/A</v>
          </cell>
        </row>
        <row r="4440">
          <cell r="A4440" t="str">
            <v>1RE1T7740XSX</v>
          </cell>
          <cell r="B4440" t="str">
            <v>SMT</v>
          </cell>
          <cell r="C4440">
            <v>1</v>
          </cell>
          <cell r="D4440">
            <v>32</v>
          </cell>
        </row>
        <row r="4441">
          <cell r="A4441" t="str">
            <v>1VJ1T7740XSX</v>
          </cell>
          <cell r="B4441" t="str">
            <v>SMT</v>
          </cell>
          <cell r="C4441">
            <v>1</v>
          </cell>
          <cell r="D4441" t="e">
            <v>#N/A</v>
          </cell>
        </row>
        <row r="4442">
          <cell r="A4442" t="str">
            <v>1RE1T7740XV4</v>
          </cell>
          <cell r="B4442" t="str">
            <v>SMT</v>
          </cell>
          <cell r="C4442">
            <v>1</v>
          </cell>
          <cell r="D4442">
            <v>32</v>
          </cell>
        </row>
        <row r="4443">
          <cell r="A4443" t="str">
            <v>1VJ1T7740XV4</v>
          </cell>
          <cell r="B4443" t="str">
            <v>SMT</v>
          </cell>
          <cell r="C4443">
            <v>1</v>
          </cell>
          <cell r="D4443" t="e">
            <v>#N/A</v>
          </cell>
        </row>
        <row r="4444">
          <cell r="A4444" t="str">
            <v>1RE1T7750CEV4</v>
          </cell>
          <cell r="B4444" t="str">
            <v>SMT</v>
          </cell>
          <cell r="C4444">
            <v>1</v>
          </cell>
          <cell r="D4444">
            <v>21</v>
          </cell>
        </row>
        <row r="4445">
          <cell r="A4445" t="str">
            <v>1VJ1T7750CEV4</v>
          </cell>
          <cell r="B4445" t="str">
            <v>SMT</v>
          </cell>
          <cell r="C4445">
            <v>1</v>
          </cell>
          <cell r="D4445" t="e">
            <v>#N/A</v>
          </cell>
        </row>
        <row r="4446">
          <cell r="A4446" t="str">
            <v>1RE1T7750EV4</v>
          </cell>
          <cell r="B4446" t="str">
            <v>SMT</v>
          </cell>
          <cell r="C4446">
            <v>1</v>
          </cell>
          <cell r="D4446">
            <v>21</v>
          </cell>
        </row>
        <row r="4447">
          <cell r="A4447" t="str">
            <v>1VJ1T7750EV4</v>
          </cell>
          <cell r="B4447" t="str">
            <v>SMT</v>
          </cell>
          <cell r="C4447">
            <v>1</v>
          </cell>
          <cell r="D4447" t="e">
            <v>#N/A</v>
          </cell>
        </row>
        <row r="4448">
          <cell r="A4448" t="str">
            <v>1RE1T7750XV4</v>
          </cell>
          <cell r="B4448" t="str">
            <v>SMT</v>
          </cell>
          <cell r="C4448">
            <v>1</v>
          </cell>
          <cell r="D4448">
            <v>21</v>
          </cell>
        </row>
        <row r="4449">
          <cell r="A4449" t="str">
            <v>1VJ1T7750XV4</v>
          </cell>
          <cell r="B4449" t="str">
            <v>SMT</v>
          </cell>
          <cell r="C4449">
            <v>1</v>
          </cell>
          <cell r="D4449" t="e">
            <v>#N/A</v>
          </cell>
        </row>
        <row r="4450">
          <cell r="A4450" t="str">
            <v>1AE1PQJX2PSL01ZB</v>
          </cell>
          <cell r="B4450" t="str">
            <v>SMT</v>
          </cell>
          <cell r="C4450">
            <v>1</v>
          </cell>
          <cell r="D4450">
            <v>1</v>
          </cell>
          <cell r="E4450">
            <v>2210</v>
          </cell>
          <cell r="F4450" t="str">
            <v>VC01</v>
          </cell>
          <cell r="G4450" t="str">
            <v>Auto</v>
          </cell>
          <cell r="H4450">
            <v>311</v>
          </cell>
          <cell r="I4450">
            <v>2210</v>
          </cell>
          <cell r="J4450">
            <v>2310</v>
          </cell>
          <cell r="K4450" t="str">
            <v>VC01</v>
          </cell>
        </row>
        <row r="4451">
          <cell r="A4451" t="str">
            <v>1AE1PQJX2PKAL01ZB</v>
          </cell>
          <cell r="B4451" t="str">
            <v>SMT</v>
          </cell>
          <cell r="C4451">
            <v>1</v>
          </cell>
          <cell r="D4451">
            <v>1</v>
          </cell>
          <cell r="E4451">
            <v>2210</v>
          </cell>
          <cell r="F4451" t="str">
            <v>VC01</v>
          </cell>
          <cell r="G4451" t="str">
            <v>Auto</v>
          </cell>
          <cell r="H4451">
            <v>311</v>
          </cell>
          <cell r="I4451">
            <v>2210</v>
          </cell>
          <cell r="J4451">
            <v>2310</v>
          </cell>
          <cell r="K4451" t="str">
            <v>VC01</v>
          </cell>
        </row>
        <row r="4452">
          <cell r="A4452" t="str">
            <v>1AE1PQJX2PSWL01ZB</v>
          </cell>
          <cell r="B4452" t="str">
            <v>SMT</v>
          </cell>
          <cell r="C4452">
            <v>1</v>
          </cell>
          <cell r="D4452">
            <v>1</v>
          </cell>
          <cell r="E4452">
            <v>2210</v>
          </cell>
          <cell r="F4452" t="str">
            <v>VC01</v>
          </cell>
          <cell r="G4452" t="str">
            <v>Auto</v>
          </cell>
          <cell r="H4452">
            <v>311</v>
          </cell>
          <cell r="I4452">
            <v>2210</v>
          </cell>
          <cell r="J4452">
            <v>2310</v>
          </cell>
          <cell r="K4452" t="str">
            <v>VC01</v>
          </cell>
        </row>
        <row r="4453">
          <cell r="A4453" t="str">
            <v>1AE1PSJXN0134ZB</v>
          </cell>
          <cell r="B4453" t="str">
            <v>SMT</v>
          </cell>
          <cell r="C4453">
            <v>1</v>
          </cell>
          <cell r="D4453">
            <v>1</v>
          </cell>
          <cell r="E4453">
            <v>2210</v>
          </cell>
          <cell r="F4453" t="str">
            <v>VC01</v>
          </cell>
          <cell r="G4453" t="str">
            <v>Auto</v>
          </cell>
          <cell r="H4453">
            <v>311</v>
          </cell>
          <cell r="I4453">
            <v>2210</v>
          </cell>
          <cell r="J4453">
            <v>2310</v>
          </cell>
          <cell r="K4453" t="str">
            <v>VC01</v>
          </cell>
        </row>
        <row r="4454">
          <cell r="A4454" t="str">
            <v>1AE1PSJXN0133ZB</v>
          </cell>
          <cell r="B4454" t="str">
            <v>SMT</v>
          </cell>
          <cell r="C4454">
            <v>1</v>
          </cell>
          <cell r="D4454">
            <v>1</v>
          </cell>
          <cell r="E4454">
            <v>2210</v>
          </cell>
          <cell r="F4454" t="str">
            <v>VC01</v>
          </cell>
          <cell r="G4454" t="str">
            <v>Auto</v>
          </cell>
          <cell r="H4454">
            <v>311</v>
          </cell>
          <cell r="I4454">
            <v>2210</v>
          </cell>
          <cell r="J4454">
            <v>2310</v>
          </cell>
          <cell r="K4454" t="str">
            <v>VC01</v>
          </cell>
        </row>
        <row r="4455">
          <cell r="A4455" t="str">
            <v>1AE1A608B3H7AAP-FE</v>
          </cell>
          <cell r="B4455" t="str">
            <v>SMT</v>
          </cell>
          <cell r="C4455">
            <v>1</v>
          </cell>
          <cell r="D4455" t="e">
            <v>#N/A</v>
          </cell>
          <cell r="E4455">
            <v>6210</v>
          </cell>
          <cell r="F4455" t="str">
            <v>VG01</v>
          </cell>
          <cell r="G4455" t="str">
            <v>Auto</v>
          </cell>
          <cell r="H4455">
            <v>311</v>
          </cell>
          <cell r="I4455">
            <v>6210</v>
          </cell>
          <cell r="J4455">
            <v>6220</v>
          </cell>
          <cell r="K4455" t="str">
            <v>VG01</v>
          </cell>
        </row>
        <row r="4456">
          <cell r="A4456" t="str">
            <v>1HT1A608B3H7AAP-FE</v>
          </cell>
          <cell r="B4456" t="str">
            <v>SMT</v>
          </cell>
          <cell r="C4456">
            <v>1</v>
          </cell>
          <cell r="D4456" t="e">
            <v>#N/A</v>
          </cell>
        </row>
        <row r="4457">
          <cell r="A4457" t="str">
            <v>1AE1A608B3H9AAP-FE</v>
          </cell>
          <cell r="B4457" t="str">
            <v>SMT</v>
          </cell>
          <cell r="C4457">
            <v>1</v>
          </cell>
          <cell r="D4457" t="e">
            <v>#N/A</v>
          </cell>
          <cell r="E4457">
            <v>6210</v>
          </cell>
          <cell r="F4457" t="str">
            <v>VG01</v>
          </cell>
          <cell r="G4457" t="str">
            <v>Auto</v>
          </cell>
          <cell r="H4457">
            <v>311</v>
          </cell>
          <cell r="I4457">
            <v>6210</v>
          </cell>
          <cell r="J4457">
            <v>6220</v>
          </cell>
          <cell r="K4457" t="str">
            <v>VG01</v>
          </cell>
        </row>
        <row r="4458">
          <cell r="A4458" t="str">
            <v>1HT1A608B3H9AAP-FE</v>
          </cell>
          <cell r="B4458" t="str">
            <v>SMT</v>
          </cell>
          <cell r="C4458">
            <v>1</v>
          </cell>
          <cell r="D4458" t="e">
            <v>#N/A</v>
          </cell>
        </row>
        <row r="4459">
          <cell r="A4459" t="str">
            <v>1CM1A603L-3K50-FE</v>
          </cell>
          <cell r="B4459" t="str">
            <v>SMT</v>
          </cell>
          <cell r="C4459">
            <v>1</v>
          </cell>
          <cell r="D4459" t="e">
            <v>#N/A</v>
          </cell>
          <cell r="E4459">
            <v>6210</v>
          </cell>
          <cell r="F4459" t="str">
            <v>VG01</v>
          </cell>
          <cell r="G4459" t="str">
            <v>Auto</v>
          </cell>
          <cell r="H4459">
            <v>311</v>
          </cell>
          <cell r="I4459">
            <v>6210</v>
          </cell>
          <cell r="J4459">
            <v>6220</v>
          </cell>
          <cell r="K4459" t="str">
            <v>VG01</v>
          </cell>
        </row>
        <row r="4460">
          <cell r="A4460" t="str">
            <v>1RH1A603L-3K50-FE</v>
          </cell>
          <cell r="B4460" t="str">
            <v>SMT</v>
          </cell>
          <cell r="C4460">
            <v>1</v>
          </cell>
          <cell r="D4460" t="e">
            <v>#N/A</v>
          </cell>
        </row>
        <row r="4461">
          <cell r="A4461" t="str">
            <v>1AE1A603L-3K50-FE</v>
          </cell>
          <cell r="B4461" t="str">
            <v>SMT</v>
          </cell>
          <cell r="C4461">
            <v>1</v>
          </cell>
          <cell r="D4461" t="e">
            <v>#N/A</v>
          </cell>
        </row>
        <row r="4462">
          <cell r="A4462" t="str">
            <v>1CM1A603L3F0AAP-FE</v>
          </cell>
          <cell r="B4462" t="str">
            <v>SMT</v>
          </cell>
          <cell r="C4462">
            <v>1</v>
          </cell>
          <cell r="D4462" t="e">
            <v>#N/A</v>
          </cell>
          <cell r="E4462">
            <v>6210</v>
          </cell>
          <cell r="F4462" t="str">
            <v>VG01</v>
          </cell>
          <cell r="G4462" t="str">
            <v>Auto</v>
          </cell>
          <cell r="H4462">
            <v>311</v>
          </cell>
          <cell r="I4462">
            <v>6210</v>
          </cell>
          <cell r="J4462">
            <v>6220</v>
          </cell>
          <cell r="K4462" t="str">
            <v>VG01</v>
          </cell>
        </row>
        <row r="4463">
          <cell r="A4463" t="str">
            <v>1RH1A603L3F0AAP-FE</v>
          </cell>
          <cell r="B4463" t="str">
            <v>SMT</v>
          </cell>
          <cell r="C4463">
            <v>1</v>
          </cell>
          <cell r="D4463" t="e">
            <v>#N/A</v>
          </cell>
        </row>
        <row r="4464">
          <cell r="A4464" t="str">
            <v>1AE1A603L3F0AAP-FE</v>
          </cell>
          <cell r="B4464" t="str">
            <v>SMT</v>
          </cell>
          <cell r="C4464">
            <v>1</v>
          </cell>
          <cell r="D4464" t="e">
            <v>#N/A</v>
          </cell>
        </row>
        <row r="4465">
          <cell r="A4465" t="str">
            <v>1CM1A603L3F6AEU-FE</v>
          </cell>
          <cell r="B4465" t="str">
            <v>SMT</v>
          </cell>
          <cell r="C4465">
            <v>1</v>
          </cell>
          <cell r="D4465" t="e">
            <v>#N/A</v>
          </cell>
          <cell r="E4465">
            <v>6210</v>
          </cell>
          <cell r="F4465" t="str">
            <v>VG01</v>
          </cell>
          <cell r="G4465" t="str">
            <v>Auto</v>
          </cell>
          <cell r="H4465">
            <v>311</v>
          </cell>
          <cell r="I4465">
            <v>6210</v>
          </cell>
          <cell r="J4465">
            <v>6220</v>
          </cell>
          <cell r="K4465" t="str">
            <v>VG01</v>
          </cell>
        </row>
        <row r="4466">
          <cell r="A4466" t="str">
            <v>1RH1A603L3F6AEU-FE</v>
          </cell>
          <cell r="B4466" t="str">
            <v>SMT</v>
          </cell>
          <cell r="C4466">
            <v>1</v>
          </cell>
          <cell r="D4466" t="e">
            <v>#N/A</v>
          </cell>
        </row>
        <row r="4467">
          <cell r="A4467" t="str">
            <v>1AE1A603L3F6AEU-FE</v>
          </cell>
          <cell r="B4467" t="str">
            <v>SMT</v>
          </cell>
          <cell r="C4467">
            <v>1</v>
          </cell>
          <cell r="D4467" t="e">
            <v>#N/A</v>
          </cell>
        </row>
        <row r="4468">
          <cell r="A4468" t="str">
            <v>1CM1A603L3F7AEU-FE</v>
          </cell>
          <cell r="B4468" t="str">
            <v>SMT</v>
          </cell>
          <cell r="C4468">
            <v>1</v>
          </cell>
          <cell r="D4468" t="e">
            <v>#N/A</v>
          </cell>
          <cell r="E4468">
            <v>6210</v>
          </cell>
          <cell r="F4468" t="str">
            <v>VG01</v>
          </cell>
          <cell r="G4468" t="str">
            <v>Auto</v>
          </cell>
          <cell r="H4468">
            <v>311</v>
          </cell>
          <cell r="I4468">
            <v>6210</v>
          </cell>
          <cell r="J4468">
            <v>6220</v>
          </cell>
          <cell r="K4468" t="str">
            <v>VG01</v>
          </cell>
        </row>
        <row r="4469">
          <cell r="A4469" t="str">
            <v>1RH1A603L3F7AEU-FE</v>
          </cell>
          <cell r="B4469" t="str">
            <v>SMT</v>
          </cell>
          <cell r="C4469">
            <v>1</v>
          </cell>
          <cell r="D4469" t="e">
            <v>#N/A</v>
          </cell>
        </row>
        <row r="4470">
          <cell r="A4470" t="str">
            <v>1AE1A603L3F7AEU-FE</v>
          </cell>
          <cell r="B4470" t="str">
            <v>SMT</v>
          </cell>
          <cell r="C4470">
            <v>1</v>
          </cell>
          <cell r="D4470" t="e">
            <v>#N/A</v>
          </cell>
        </row>
        <row r="4471">
          <cell r="A4471" t="str">
            <v>1CM1A603L3F9ABP-FE</v>
          </cell>
          <cell r="B4471" t="str">
            <v>SMT</v>
          </cell>
          <cell r="C4471">
            <v>1</v>
          </cell>
          <cell r="D4471" t="e">
            <v>#N/A</v>
          </cell>
          <cell r="E4471">
            <v>6210</v>
          </cell>
          <cell r="F4471" t="str">
            <v>VG01</v>
          </cell>
          <cell r="G4471" t="str">
            <v>Auto</v>
          </cell>
          <cell r="H4471">
            <v>311</v>
          </cell>
          <cell r="I4471">
            <v>6210</v>
          </cell>
          <cell r="J4471">
            <v>6220</v>
          </cell>
          <cell r="K4471" t="str">
            <v>VG01</v>
          </cell>
        </row>
        <row r="4472">
          <cell r="A4472" t="str">
            <v>1RH1A603L3F9ABP-FE</v>
          </cell>
          <cell r="B4472" t="str">
            <v>SMT</v>
          </cell>
          <cell r="C4472">
            <v>1</v>
          </cell>
          <cell r="D4472" t="e">
            <v>#N/A</v>
          </cell>
        </row>
        <row r="4473">
          <cell r="A4473" t="str">
            <v>1AE1A603L3F9ABP-FE</v>
          </cell>
          <cell r="B4473" t="str">
            <v>SMT</v>
          </cell>
          <cell r="C4473">
            <v>1</v>
          </cell>
          <cell r="D4473" t="e">
            <v>#N/A</v>
          </cell>
        </row>
        <row r="4474">
          <cell r="A4474" t="str">
            <v>1CM1A603L3G0ABP-FE</v>
          </cell>
          <cell r="B4474" t="str">
            <v>SMT</v>
          </cell>
          <cell r="C4474">
            <v>1</v>
          </cell>
          <cell r="D4474" t="e">
            <v>#N/A</v>
          </cell>
          <cell r="E4474">
            <v>6210</v>
          </cell>
          <cell r="F4474" t="str">
            <v>VG01</v>
          </cell>
          <cell r="G4474" t="str">
            <v>Auto</v>
          </cell>
          <cell r="H4474">
            <v>311</v>
          </cell>
          <cell r="I4474">
            <v>6210</v>
          </cell>
          <cell r="J4474">
            <v>6220</v>
          </cell>
          <cell r="K4474" t="str">
            <v>VG01</v>
          </cell>
        </row>
        <row r="4475">
          <cell r="A4475" t="str">
            <v>1RH1A603L3G0ABP-FE</v>
          </cell>
          <cell r="B4475" t="str">
            <v>SMT</v>
          </cell>
          <cell r="C4475">
            <v>1</v>
          </cell>
          <cell r="D4475" t="e">
            <v>#N/A</v>
          </cell>
        </row>
        <row r="4476">
          <cell r="A4476" t="str">
            <v>1AE1A603L3G0ABP-FE</v>
          </cell>
          <cell r="B4476" t="str">
            <v>SMT</v>
          </cell>
          <cell r="C4476">
            <v>1</v>
          </cell>
          <cell r="D4476" t="e">
            <v>#N/A</v>
          </cell>
        </row>
        <row r="4477">
          <cell r="A4477" t="str">
            <v>1CM1A603L3H8AAP-FE</v>
          </cell>
          <cell r="B4477" t="str">
            <v>SMT</v>
          </cell>
          <cell r="C4477">
            <v>1</v>
          </cell>
          <cell r="D4477" t="e">
            <v>#N/A</v>
          </cell>
          <cell r="E4477">
            <v>6210</v>
          </cell>
          <cell r="F4477" t="str">
            <v>VG01</v>
          </cell>
          <cell r="G4477" t="str">
            <v>Auto</v>
          </cell>
          <cell r="H4477">
            <v>311</v>
          </cell>
          <cell r="I4477">
            <v>6210</v>
          </cell>
          <cell r="J4477">
            <v>6220</v>
          </cell>
          <cell r="K4477" t="str">
            <v>VG01</v>
          </cell>
        </row>
        <row r="4478">
          <cell r="A4478" t="str">
            <v>1RH1A603L3H8AAP-FE</v>
          </cell>
          <cell r="B4478" t="str">
            <v>SMT</v>
          </cell>
          <cell r="C4478">
            <v>1</v>
          </cell>
          <cell r="D4478" t="e">
            <v>#N/A</v>
          </cell>
        </row>
        <row r="4479">
          <cell r="A4479" t="str">
            <v>1AE1A603L3H8AAP-FE</v>
          </cell>
          <cell r="B4479" t="str">
            <v>SMT</v>
          </cell>
          <cell r="C4479">
            <v>1</v>
          </cell>
          <cell r="D4479" t="e">
            <v>#N/A</v>
          </cell>
        </row>
        <row r="4480">
          <cell r="A4480" t="str">
            <v>1CM1A603Y3E6AAP-FE</v>
          </cell>
          <cell r="B4480" t="str">
            <v>SMT</v>
          </cell>
          <cell r="C4480">
            <v>1</v>
          </cell>
          <cell r="D4480" t="e">
            <v>#N/A</v>
          </cell>
          <cell r="E4480">
            <v>6210</v>
          </cell>
          <cell r="F4480" t="str">
            <v>VG01</v>
          </cell>
          <cell r="G4480" t="str">
            <v>Auto</v>
          </cell>
          <cell r="H4480">
            <v>311</v>
          </cell>
          <cell r="I4480">
            <v>6210</v>
          </cell>
          <cell r="J4480">
            <v>6220</v>
          </cell>
          <cell r="K4480" t="str">
            <v>VG01</v>
          </cell>
        </row>
        <row r="4481">
          <cell r="A4481" t="str">
            <v>1RH1A603Y3E6AAP-FE</v>
          </cell>
          <cell r="B4481" t="str">
            <v>SMT</v>
          </cell>
          <cell r="C4481">
            <v>1</v>
          </cell>
          <cell r="D4481" t="e">
            <v>#N/A</v>
          </cell>
        </row>
        <row r="4482">
          <cell r="A4482" t="str">
            <v>1TE1A603Y3E6AAP-FE</v>
          </cell>
          <cell r="B4482" t="str">
            <v>SMT</v>
          </cell>
          <cell r="C4482">
            <v>1</v>
          </cell>
          <cell r="D4482" t="e">
            <v>#N/A</v>
          </cell>
        </row>
        <row r="4483">
          <cell r="A4483" t="str">
            <v>1AE1A603Y3E6AAP-FE</v>
          </cell>
          <cell r="B4483" t="str">
            <v>SMT</v>
          </cell>
          <cell r="C4483">
            <v>1</v>
          </cell>
          <cell r="D4483" t="e">
            <v>#N/A</v>
          </cell>
        </row>
        <row r="4484">
          <cell r="A4484" t="str">
            <v>1CM1A603Y3F0ACP-FE</v>
          </cell>
          <cell r="B4484" t="str">
            <v>SMT</v>
          </cell>
          <cell r="C4484">
            <v>1</v>
          </cell>
          <cell r="D4484" t="e">
            <v>#N/A</v>
          </cell>
          <cell r="E4484">
            <v>6210</v>
          </cell>
          <cell r="F4484" t="str">
            <v>VG01</v>
          </cell>
          <cell r="G4484" t="str">
            <v>Auto</v>
          </cell>
          <cell r="H4484">
            <v>311</v>
          </cell>
          <cell r="I4484">
            <v>6210</v>
          </cell>
          <cell r="J4484">
            <v>6220</v>
          </cell>
          <cell r="K4484" t="str">
            <v>VG01</v>
          </cell>
        </row>
        <row r="4485">
          <cell r="A4485" t="str">
            <v>1RH1A603Y3F0ACP-FE</v>
          </cell>
          <cell r="B4485" t="str">
            <v>SMT</v>
          </cell>
          <cell r="C4485">
            <v>1</v>
          </cell>
          <cell r="D4485" t="e">
            <v>#N/A</v>
          </cell>
        </row>
        <row r="4486">
          <cell r="A4486" t="str">
            <v>1TE1A603Y3F0ACP-FE</v>
          </cell>
          <cell r="B4486" t="str">
            <v>SMT</v>
          </cell>
          <cell r="C4486">
            <v>1</v>
          </cell>
          <cell r="D4486" t="e">
            <v>#N/A</v>
          </cell>
        </row>
        <row r="4487">
          <cell r="A4487" t="str">
            <v>1AE1A603Y3F0ACP-FE</v>
          </cell>
          <cell r="B4487" t="str">
            <v>SMT</v>
          </cell>
          <cell r="C4487">
            <v>1</v>
          </cell>
          <cell r="D4487" t="e">
            <v>#N/A</v>
          </cell>
        </row>
        <row r="4488">
          <cell r="A4488" t="str">
            <v>1HT1A603Y3F0ACP-FE</v>
          </cell>
          <cell r="B4488" t="str">
            <v>SMT</v>
          </cell>
          <cell r="C4488">
            <v>1</v>
          </cell>
          <cell r="D4488" t="e">
            <v>#N/A</v>
          </cell>
        </row>
        <row r="4489">
          <cell r="A4489" t="str">
            <v>1RE1J605Q3J8AP2FES</v>
          </cell>
          <cell r="B4489" t="str">
            <v>SMT</v>
          </cell>
          <cell r="C4489">
            <v>1</v>
          </cell>
          <cell r="D4489">
            <v>60</v>
          </cell>
          <cell r="E4489">
            <v>6210</v>
          </cell>
          <cell r="F4489" t="str">
            <v>VG01</v>
          </cell>
          <cell r="G4489" t="str">
            <v>Auto</v>
          </cell>
          <cell r="H4489">
            <v>311</v>
          </cell>
          <cell r="I4489">
            <v>6210</v>
          </cell>
          <cell r="J4489">
            <v>6220</v>
          </cell>
          <cell r="K4489" t="str">
            <v>VG01</v>
          </cell>
        </row>
        <row r="4490">
          <cell r="A4490" t="str">
            <v>ANE605Q8YABP-FE-V4</v>
          </cell>
          <cell r="B4490" t="str">
            <v>SMT</v>
          </cell>
          <cell r="C4490">
            <v>1</v>
          </cell>
          <cell r="D4490" t="e">
            <v>#N/A</v>
          </cell>
        </row>
        <row r="4491">
          <cell r="A4491" t="str">
            <v>1AP1T7710XV4</v>
          </cell>
          <cell r="B4491" t="str">
            <v>DIP</v>
          </cell>
          <cell r="C4491">
            <v>1</v>
          </cell>
          <cell r="D4491" t="e">
            <v>#N/A</v>
          </cell>
          <cell r="E4491">
            <v>2210</v>
          </cell>
          <cell r="F4491" t="str">
            <v>VC01</v>
          </cell>
          <cell r="G4491" t="str">
            <v>Auto</v>
          </cell>
          <cell r="H4491">
            <v>311</v>
          </cell>
          <cell r="I4491">
            <v>2210</v>
          </cell>
          <cell r="J4491">
            <v>2523</v>
          </cell>
          <cell r="K4491" t="str">
            <v>VC01</v>
          </cell>
        </row>
        <row r="4492">
          <cell r="A4492" t="str">
            <v>1CM1T7710XV4</v>
          </cell>
          <cell r="B4492" t="str">
            <v>SMT</v>
          </cell>
          <cell r="C4492">
            <v>1</v>
          </cell>
          <cell r="D4492">
            <v>95</v>
          </cell>
          <cell r="E4492">
            <v>2210</v>
          </cell>
          <cell r="F4492" t="str">
            <v>VC01</v>
          </cell>
          <cell r="G4492" t="str">
            <v>Auto</v>
          </cell>
          <cell r="H4492">
            <v>311</v>
          </cell>
          <cell r="I4492">
            <v>2210</v>
          </cell>
          <cell r="J4492">
            <v>2523</v>
          </cell>
          <cell r="K4492" t="str">
            <v>VC01</v>
          </cell>
        </row>
        <row r="4493">
          <cell r="A4493" t="str">
            <v>1RH1T7710XV4</v>
          </cell>
          <cell r="B4493" t="str">
            <v>SMT</v>
          </cell>
          <cell r="C4493">
            <v>1</v>
          </cell>
          <cell r="D4493">
            <v>15</v>
          </cell>
        </row>
        <row r="4494">
          <cell r="A4494" t="str">
            <v>1AE1T7710XV4</v>
          </cell>
          <cell r="B4494" t="str">
            <v>SMT</v>
          </cell>
          <cell r="C4494">
            <v>1</v>
          </cell>
          <cell r="D4494">
            <v>10</v>
          </cell>
        </row>
        <row r="4495">
          <cell r="A4495" t="str">
            <v>A608C3G0AEU-FE-V4</v>
          </cell>
          <cell r="B4495" t="str">
            <v>SMT</v>
          </cell>
          <cell r="C4495">
            <v>1</v>
          </cell>
          <cell r="D4495" t="e">
            <v>#N/A</v>
          </cell>
        </row>
        <row r="4496">
          <cell r="A4496" t="str">
            <v>1CM1A603L3E6AAP-FE</v>
          </cell>
          <cell r="B4496" t="str">
            <v>SMT</v>
          </cell>
          <cell r="C4496">
            <v>1</v>
          </cell>
          <cell r="D4496" t="e">
            <v>#N/A</v>
          </cell>
          <cell r="E4496">
            <v>6210</v>
          </cell>
          <cell r="F4496" t="str">
            <v>VG01</v>
          </cell>
          <cell r="G4496" t="str">
            <v>Auto</v>
          </cell>
          <cell r="H4496">
            <v>311</v>
          </cell>
          <cell r="I4496">
            <v>6210</v>
          </cell>
          <cell r="J4496">
            <v>6220</v>
          </cell>
          <cell r="K4496" t="str">
            <v>VG01</v>
          </cell>
        </row>
        <row r="4497">
          <cell r="A4497" t="str">
            <v>1RH1A603L3E6AAP-FE</v>
          </cell>
          <cell r="B4497" t="str">
            <v>SMT</v>
          </cell>
          <cell r="C4497">
            <v>1</v>
          </cell>
          <cell r="D4497" t="e">
            <v>#N/A</v>
          </cell>
        </row>
        <row r="4498">
          <cell r="A4498" t="str">
            <v>1AE1A603L3E6AAP-FE</v>
          </cell>
          <cell r="B4498" t="str">
            <v>SMT</v>
          </cell>
          <cell r="C4498">
            <v>1</v>
          </cell>
          <cell r="D4498" t="e">
            <v>#N/A</v>
          </cell>
        </row>
        <row r="4499">
          <cell r="A4499" t="str">
            <v>1CM1A603L3F9AWT-FE</v>
          </cell>
          <cell r="B4499" t="str">
            <v>SMT</v>
          </cell>
          <cell r="C4499">
            <v>1</v>
          </cell>
          <cell r="D4499" t="e">
            <v>#N/A</v>
          </cell>
          <cell r="E4499">
            <v>6210</v>
          </cell>
          <cell r="F4499" t="str">
            <v>VG01</v>
          </cell>
          <cell r="G4499" t="str">
            <v>Auto</v>
          </cell>
          <cell r="H4499">
            <v>311</v>
          </cell>
          <cell r="I4499">
            <v>6210</v>
          </cell>
          <cell r="J4499">
            <v>6220</v>
          </cell>
          <cell r="K4499" t="str">
            <v>VG01</v>
          </cell>
        </row>
        <row r="4500">
          <cell r="A4500" t="str">
            <v>1RH1A603L3F9AWT-FE</v>
          </cell>
          <cell r="B4500" t="str">
            <v>SMT</v>
          </cell>
          <cell r="C4500">
            <v>1</v>
          </cell>
          <cell r="D4500" t="e">
            <v>#N/A</v>
          </cell>
        </row>
        <row r="4501">
          <cell r="A4501" t="str">
            <v>1AE1A603L3F9AWT-FE</v>
          </cell>
          <cell r="B4501" t="str">
            <v>SMT</v>
          </cell>
          <cell r="C4501">
            <v>1</v>
          </cell>
          <cell r="D4501" t="e">
            <v>#N/A</v>
          </cell>
        </row>
        <row r="4502">
          <cell r="A4502" t="str">
            <v>1CM1A603L3G1AEU-FE</v>
          </cell>
          <cell r="B4502" t="str">
            <v>SMT</v>
          </cell>
          <cell r="C4502">
            <v>1</v>
          </cell>
          <cell r="D4502" t="e">
            <v>#N/A</v>
          </cell>
          <cell r="E4502">
            <v>6210</v>
          </cell>
          <cell r="F4502" t="str">
            <v>VG01</v>
          </cell>
          <cell r="G4502" t="str">
            <v>Auto</v>
          </cell>
          <cell r="H4502">
            <v>311</v>
          </cell>
          <cell r="I4502">
            <v>6210</v>
          </cell>
          <cell r="J4502">
            <v>6220</v>
          </cell>
          <cell r="K4502" t="str">
            <v>VG01</v>
          </cell>
        </row>
        <row r="4503">
          <cell r="A4503" t="str">
            <v>1RH1A603L3G1AEU-FE</v>
          </cell>
          <cell r="B4503" t="str">
            <v>SMT</v>
          </cell>
          <cell r="C4503">
            <v>1</v>
          </cell>
          <cell r="D4503" t="e">
            <v>#N/A</v>
          </cell>
        </row>
        <row r="4504">
          <cell r="A4504" t="str">
            <v>1AE1A603L3G1AEU-FE</v>
          </cell>
          <cell r="B4504" t="str">
            <v>SMT</v>
          </cell>
          <cell r="C4504">
            <v>1</v>
          </cell>
          <cell r="D4504" t="e">
            <v>#N/A</v>
          </cell>
        </row>
        <row r="4505">
          <cell r="A4505" t="str">
            <v>1CM1A603L3H7AAP-FE</v>
          </cell>
          <cell r="B4505" t="str">
            <v>SMT</v>
          </cell>
          <cell r="C4505">
            <v>1</v>
          </cell>
          <cell r="D4505" t="e">
            <v>#N/A</v>
          </cell>
          <cell r="E4505">
            <v>6210</v>
          </cell>
          <cell r="F4505" t="str">
            <v>VG01</v>
          </cell>
          <cell r="G4505" t="str">
            <v>Auto</v>
          </cell>
          <cell r="H4505">
            <v>311</v>
          </cell>
          <cell r="I4505">
            <v>6210</v>
          </cell>
          <cell r="J4505">
            <v>6220</v>
          </cell>
          <cell r="K4505" t="str">
            <v>VG01</v>
          </cell>
        </row>
        <row r="4506">
          <cell r="A4506" t="str">
            <v>1RH1A603L3H7AAP-FE</v>
          </cell>
          <cell r="B4506" t="str">
            <v>SMT</v>
          </cell>
          <cell r="C4506">
            <v>1</v>
          </cell>
          <cell r="D4506" t="e">
            <v>#N/A</v>
          </cell>
        </row>
        <row r="4507">
          <cell r="A4507" t="str">
            <v>1AE1A603L3H7AAP-FE</v>
          </cell>
          <cell r="B4507" t="str">
            <v>SMT</v>
          </cell>
          <cell r="C4507">
            <v>1</v>
          </cell>
          <cell r="D4507" t="e">
            <v>#N/A</v>
          </cell>
        </row>
        <row r="4508">
          <cell r="A4508" t="str">
            <v>1CM1A603Y3E6ACP-FE</v>
          </cell>
          <cell r="B4508" t="str">
            <v>SMT</v>
          </cell>
          <cell r="C4508">
            <v>1</v>
          </cell>
          <cell r="D4508" t="e">
            <v>#N/A</v>
          </cell>
          <cell r="E4508">
            <v>6210</v>
          </cell>
          <cell r="F4508" t="str">
            <v>VG01</v>
          </cell>
          <cell r="G4508" t="str">
            <v>Auto</v>
          </cell>
          <cell r="H4508">
            <v>311</v>
          </cell>
          <cell r="I4508">
            <v>6210</v>
          </cell>
          <cell r="J4508">
            <v>6220</v>
          </cell>
          <cell r="K4508" t="str">
            <v>VG01</v>
          </cell>
        </row>
        <row r="4509">
          <cell r="A4509" t="str">
            <v>1RH1A603Y3E6ACP-FE</v>
          </cell>
          <cell r="B4509" t="str">
            <v>SMT</v>
          </cell>
          <cell r="C4509">
            <v>1</v>
          </cell>
          <cell r="D4509" t="e">
            <v>#N/A</v>
          </cell>
        </row>
        <row r="4510">
          <cell r="A4510" t="str">
            <v>1TE1A603Y3E6ACP-FE</v>
          </cell>
          <cell r="B4510" t="str">
            <v>SMT</v>
          </cell>
          <cell r="C4510">
            <v>1</v>
          </cell>
          <cell r="D4510" t="e">
            <v>#N/A</v>
          </cell>
        </row>
        <row r="4511">
          <cell r="A4511" t="str">
            <v>1AE1A603Y3E6ACP-FE</v>
          </cell>
          <cell r="B4511" t="str">
            <v>SMT</v>
          </cell>
          <cell r="C4511">
            <v>1</v>
          </cell>
          <cell r="D4511" t="e">
            <v>#N/A</v>
          </cell>
        </row>
        <row r="4512">
          <cell r="A4512" t="str">
            <v>1HT1A603Y3E6ACP-FE</v>
          </cell>
          <cell r="B4512" t="str">
            <v>SMT</v>
          </cell>
          <cell r="C4512">
            <v>1</v>
          </cell>
          <cell r="D4512" t="e">
            <v>#N/A</v>
          </cell>
        </row>
        <row r="4513">
          <cell r="A4513" t="str">
            <v>1CM1A603Y3F9AMP-FE</v>
          </cell>
          <cell r="B4513" t="str">
            <v>SMT</v>
          </cell>
          <cell r="C4513">
            <v>1</v>
          </cell>
          <cell r="D4513" t="e">
            <v>#N/A</v>
          </cell>
          <cell r="E4513">
            <v>6210</v>
          </cell>
          <cell r="F4513" t="str">
            <v>VG01</v>
          </cell>
          <cell r="G4513" t="str">
            <v>Auto</v>
          </cell>
          <cell r="H4513">
            <v>311</v>
          </cell>
          <cell r="I4513">
            <v>6210</v>
          </cell>
          <cell r="J4513">
            <v>6220</v>
          </cell>
          <cell r="K4513" t="str">
            <v>VG01</v>
          </cell>
        </row>
        <row r="4514">
          <cell r="A4514" t="str">
            <v>1RH1A603Y3F9AMP-FE</v>
          </cell>
          <cell r="B4514" t="str">
            <v>SMT</v>
          </cell>
          <cell r="C4514">
            <v>1</v>
          </cell>
          <cell r="D4514" t="e">
            <v>#N/A</v>
          </cell>
        </row>
        <row r="4515">
          <cell r="A4515" t="str">
            <v>1TE1A603Y3F9AMP-FE</v>
          </cell>
          <cell r="B4515" t="str">
            <v>SMT</v>
          </cell>
          <cell r="C4515">
            <v>1</v>
          </cell>
          <cell r="D4515" t="e">
            <v>#N/A</v>
          </cell>
        </row>
        <row r="4516">
          <cell r="A4516" t="str">
            <v>1AE1A603Y3F9AMP-FE</v>
          </cell>
          <cell r="B4516" t="str">
            <v>SMT</v>
          </cell>
          <cell r="C4516">
            <v>1</v>
          </cell>
          <cell r="D4516" t="e">
            <v>#N/A</v>
          </cell>
        </row>
        <row r="4517">
          <cell r="A4517" t="str">
            <v>1HT1A603Y3F9AMP-FE</v>
          </cell>
          <cell r="B4517" t="str">
            <v>SMT</v>
          </cell>
          <cell r="C4517">
            <v>1</v>
          </cell>
          <cell r="D4517" t="e">
            <v>#N/A</v>
          </cell>
        </row>
        <row r="4518">
          <cell r="A4518" t="str">
            <v>1CM1A603Y3G1AEU-FE</v>
          </cell>
          <cell r="B4518" t="str">
            <v>SMT</v>
          </cell>
          <cell r="C4518">
            <v>1</v>
          </cell>
          <cell r="D4518" t="e">
            <v>#N/A</v>
          </cell>
          <cell r="E4518">
            <v>6210</v>
          </cell>
          <cell r="F4518" t="str">
            <v>VG01</v>
          </cell>
          <cell r="G4518" t="str">
            <v>Auto</v>
          </cell>
          <cell r="H4518">
            <v>311</v>
          </cell>
          <cell r="I4518">
            <v>6210</v>
          </cell>
          <cell r="J4518">
            <v>6220</v>
          </cell>
          <cell r="K4518" t="str">
            <v>VG01</v>
          </cell>
        </row>
        <row r="4519">
          <cell r="A4519" t="str">
            <v>1RH1A603Y3G1AEU-FE</v>
          </cell>
          <cell r="B4519" t="str">
            <v>SMT</v>
          </cell>
          <cell r="C4519">
            <v>1</v>
          </cell>
          <cell r="D4519" t="e">
            <v>#N/A</v>
          </cell>
        </row>
        <row r="4520">
          <cell r="A4520" t="str">
            <v>1TE1A603Y3G1AEU-FE</v>
          </cell>
          <cell r="B4520" t="str">
            <v>SMT</v>
          </cell>
          <cell r="C4520">
            <v>1</v>
          </cell>
          <cell r="D4520" t="e">
            <v>#N/A</v>
          </cell>
        </row>
        <row r="4521">
          <cell r="A4521" t="str">
            <v>1AE1A603Y3G1AEU-FE</v>
          </cell>
          <cell r="B4521" t="str">
            <v>SMT</v>
          </cell>
          <cell r="C4521">
            <v>1</v>
          </cell>
          <cell r="D4521" t="e">
            <v>#N/A</v>
          </cell>
        </row>
        <row r="4522">
          <cell r="A4522" t="str">
            <v>1HT1A603Y3G1AEU-FE</v>
          </cell>
          <cell r="B4522" t="str">
            <v>SMT</v>
          </cell>
          <cell r="C4522">
            <v>1</v>
          </cell>
          <cell r="D4522" t="e">
            <v>#N/A</v>
          </cell>
        </row>
        <row r="4523">
          <cell r="A4523" t="str">
            <v>1AP1LPDT5432ZA</v>
          </cell>
          <cell r="B4523" t="str">
            <v>DIP</v>
          </cell>
          <cell r="C4523">
            <v>1</v>
          </cell>
          <cell r="D4523" t="e">
            <v>#N/A</v>
          </cell>
          <cell r="E4523">
            <v>2210</v>
          </cell>
          <cell r="F4523" t="str">
            <v>VC01</v>
          </cell>
          <cell r="G4523" t="str">
            <v>Auto</v>
          </cell>
          <cell r="H4523">
            <v>311</v>
          </cell>
          <cell r="I4523">
            <v>2210</v>
          </cell>
          <cell r="J4523" t="e">
            <v>#N/A</v>
          </cell>
          <cell r="K4523" t="str">
            <v>VC01</v>
          </cell>
        </row>
        <row r="4524">
          <cell r="A4524" t="str">
            <v>1AP1LPNT5112ZA</v>
          </cell>
          <cell r="B4524" t="str">
            <v>DIP</v>
          </cell>
          <cell r="C4524">
            <v>1</v>
          </cell>
          <cell r="D4524" t="e">
            <v>#N/A</v>
          </cell>
          <cell r="E4524">
            <v>2210</v>
          </cell>
          <cell r="F4524" t="str">
            <v>VC01</v>
          </cell>
          <cell r="G4524" t="str">
            <v>Auto</v>
          </cell>
          <cell r="H4524">
            <v>311</v>
          </cell>
          <cell r="I4524">
            <v>2210</v>
          </cell>
          <cell r="J4524" t="e">
            <v>#N/A</v>
          </cell>
          <cell r="K4524" t="str">
            <v>VC01</v>
          </cell>
        </row>
        <row r="4525">
          <cell r="A4525" t="str">
            <v>1AP1LPNT511P2ZA</v>
          </cell>
          <cell r="B4525" t="str">
            <v>DIP</v>
          </cell>
          <cell r="C4525">
            <v>1</v>
          </cell>
          <cell r="D4525" t="e">
            <v>#N/A</v>
          </cell>
          <cell r="E4525">
            <v>2210</v>
          </cell>
          <cell r="F4525" t="str">
            <v>VC01</v>
          </cell>
          <cell r="G4525" t="str">
            <v>Auto</v>
          </cell>
          <cell r="H4525">
            <v>311</v>
          </cell>
          <cell r="I4525">
            <v>2210</v>
          </cell>
          <cell r="J4525" t="e">
            <v>#N/A</v>
          </cell>
          <cell r="K4525" t="str">
            <v>VC01</v>
          </cell>
        </row>
        <row r="4526">
          <cell r="A4526" t="str">
            <v>1AP1LPNT5562ZA</v>
          </cell>
          <cell r="B4526" t="str">
            <v>DIP</v>
          </cell>
          <cell r="C4526">
            <v>1</v>
          </cell>
          <cell r="D4526" t="e">
            <v>#N/A</v>
          </cell>
          <cell r="E4526">
            <v>2210</v>
          </cell>
          <cell r="F4526" t="str">
            <v>VC01</v>
          </cell>
          <cell r="G4526" t="str">
            <v>Auto</v>
          </cell>
          <cell r="H4526">
            <v>311</v>
          </cell>
          <cell r="I4526">
            <v>2210</v>
          </cell>
          <cell r="J4526" t="e">
            <v>#N/A</v>
          </cell>
          <cell r="K4526" t="str">
            <v>VC01</v>
          </cell>
        </row>
        <row r="4527">
          <cell r="A4527" t="str">
            <v>1RE1LPDT5211ZB</v>
          </cell>
          <cell r="B4527" t="str">
            <v>SMT</v>
          </cell>
          <cell r="C4527">
            <v>1</v>
          </cell>
          <cell r="D4527">
            <v>79</v>
          </cell>
        </row>
        <row r="4528">
          <cell r="A4528" t="str">
            <v>1VJ1LPDT5211ZB</v>
          </cell>
          <cell r="B4528" t="str">
            <v>SMT</v>
          </cell>
          <cell r="C4528">
            <v>1</v>
          </cell>
          <cell r="D4528" t="e">
            <v>#N/A</v>
          </cell>
        </row>
        <row r="4529">
          <cell r="A4529" t="str">
            <v>1RE1LPDT5431ZB</v>
          </cell>
          <cell r="B4529" t="str">
            <v>SMT</v>
          </cell>
          <cell r="C4529">
            <v>1</v>
          </cell>
          <cell r="D4529">
            <v>82</v>
          </cell>
        </row>
        <row r="4530">
          <cell r="A4530" t="str">
            <v>1VJ1LPDT5431ZB</v>
          </cell>
          <cell r="B4530" t="str">
            <v>SMT</v>
          </cell>
          <cell r="C4530">
            <v>1</v>
          </cell>
          <cell r="D4530" t="e">
            <v>#N/A</v>
          </cell>
        </row>
        <row r="4531">
          <cell r="A4531" t="str">
            <v>1RE1LPDT5901ZA</v>
          </cell>
          <cell r="B4531" t="str">
            <v>SMT</v>
          </cell>
          <cell r="C4531">
            <v>1</v>
          </cell>
          <cell r="D4531">
            <v>48</v>
          </cell>
        </row>
        <row r="4532">
          <cell r="A4532" t="str">
            <v>1VJ1LPDT5901ZA</v>
          </cell>
          <cell r="B4532" t="str">
            <v>SMT</v>
          </cell>
          <cell r="C4532">
            <v>1</v>
          </cell>
          <cell r="D4532" t="e">
            <v>#N/A</v>
          </cell>
        </row>
        <row r="4533">
          <cell r="A4533" t="str">
            <v>1AP1LPNT5051ZA</v>
          </cell>
          <cell r="B4533" t="str">
            <v>DIP</v>
          </cell>
          <cell r="C4533">
            <v>1</v>
          </cell>
          <cell r="D4533" t="e">
            <v>#N/A</v>
          </cell>
          <cell r="E4533">
            <v>2210</v>
          </cell>
          <cell r="F4533" t="str">
            <v>VC01</v>
          </cell>
          <cell r="G4533" t="str">
            <v>Auto</v>
          </cell>
          <cell r="H4533">
            <v>311</v>
          </cell>
          <cell r="I4533">
            <v>2210</v>
          </cell>
          <cell r="J4533" t="e">
            <v>#N/A</v>
          </cell>
          <cell r="K4533" t="str">
            <v>VC01</v>
          </cell>
        </row>
        <row r="4534">
          <cell r="A4534" t="str">
            <v>1RE1LPNT5051ZA</v>
          </cell>
          <cell r="B4534" t="str">
            <v>SMT</v>
          </cell>
          <cell r="C4534">
            <v>1</v>
          </cell>
          <cell r="D4534">
            <v>48</v>
          </cell>
        </row>
        <row r="4535">
          <cell r="A4535" t="str">
            <v>1VJ1LPNT5051ZA</v>
          </cell>
          <cell r="B4535" t="str">
            <v>SMT</v>
          </cell>
          <cell r="C4535">
            <v>1</v>
          </cell>
          <cell r="D4535" t="e">
            <v>#N/A</v>
          </cell>
        </row>
        <row r="4536">
          <cell r="A4536" t="str">
            <v>1AP1LPNT5111ZA</v>
          </cell>
          <cell r="B4536" t="str">
            <v>DIP</v>
          </cell>
          <cell r="C4536">
            <v>1</v>
          </cell>
          <cell r="D4536" t="e">
            <v>#N/A</v>
          </cell>
          <cell r="E4536">
            <v>2210</v>
          </cell>
          <cell r="F4536" t="str">
            <v>VC01</v>
          </cell>
          <cell r="G4536" t="str">
            <v>Auto</v>
          </cell>
          <cell r="H4536">
            <v>311</v>
          </cell>
          <cell r="I4536">
            <v>2210</v>
          </cell>
          <cell r="J4536" t="e">
            <v>#N/A</v>
          </cell>
          <cell r="K4536" t="str">
            <v>VC01</v>
          </cell>
        </row>
        <row r="4537">
          <cell r="A4537" t="str">
            <v>1RE1LPNT5111ZA</v>
          </cell>
          <cell r="B4537" t="str">
            <v>SMT</v>
          </cell>
          <cell r="C4537">
            <v>1</v>
          </cell>
          <cell r="D4537">
            <v>187</v>
          </cell>
        </row>
        <row r="4538">
          <cell r="A4538" t="str">
            <v>1VI1LPNT5111ZA</v>
          </cell>
          <cell r="B4538" t="str">
            <v>SMT</v>
          </cell>
          <cell r="C4538">
            <v>1</v>
          </cell>
          <cell r="D4538" t="e">
            <v>#N/A</v>
          </cell>
        </row>
        <row r="4539">
          <cell r="A4539" t="str">
            <v>1AP1LPNT511CN1ZA</v>
          </cell>
          <cell r="B4539" t="str">
            <v>DIP</v>
          </cell>
          <cell r="C4539">
            <v>1</v>
          </cell>
          <cell r="D4539" t="e">
            <v>#N/A</v>
          </cell>
          <cell r="E4539">
            <v>2210</v>
          </cell>
          <cell r="F4539" t="str">
            <v>VC01</v>
          </cell>
          <cell r="G4539" t="str">
            <v>Auto</v>
          </cell>
          <cell r="H4539">
            <v>311</v>
          </cell>
          <cell r="I4539">
            <v>2210</v>
          </cell>
          <cell r="J4539" t="e">
            <v>#N/A</v>
          </cell>
          <cell r="K4539" t="str">
            <v>VC01</v>
          </cell>
        </row>
        <row r="4540">
          <cell r="A4540" t="str">
            <v>1RE1LPNT511CN1ZA</v>
          </cell>
          <cell r="B4540" t="str">
            <v>SMT</v>
          </cell>
          <cell r="C4540">
            <v>1</v>
          </cell>
          <cell r="D4540">
            <v>186</v>
          </cell>
        </row>
        <row r="4541">
          <cell r="A4541" t="str">
            <v>1VI1LPNT511CN1ZA</v>
          </cell>
          <cell r="B4541" t="str">
            <v>SMT</v>
          </cell>
          <cell r="C4541">
            <v>1</v>
          </cell>
          <cell r="D4541" t="e">
            <v>#N/A</v>
          </cell>
        </row>
        <row r="4542">
          <cell r="A4542" t="str">
            <v>1AP1LPNT511P1ZA</v>
          </cell>
          <cell r="B4542" t="str">
            <v>DIP</v>
          </cell>
          <cell r="C4542">
            <v>1</v>
          </cell>
          <cell r="D4542" t="e">
            <v>#N/A</v>
          </cell>
          <cell r="E4542">
            <v>2210</v>
          </cell>
          <cell r="F4542" t="str">
            <v>VC01</v>
          </cell>
          <cell r="G4542" t="str">
            <v>Auto</v>
          </cell>
          <cell r="H4542">
            <v>311</v>
          </cell>
          <cell r="I4542">
            <v>2210</v>
          </cell>
          <cell r="J4542" t="e">
            <v>#N/A</v>
          </cell>
          <cell r="K4542" t="str">
            <v>VC01</v>
          </cell>
        </row>
        <row r="4543">
          <cell r="A4543" t="str">
            <v>1RE1LPNT511P1ZA</v>
          </cell>
          <cell r="B4543" t="str">
            <v>SMT</v>
          </cell>
          <cell r="C4543">
            <v>1</v>
          </cell>
          <cell r="D4543">
            <v>187</v>
          </cell>
        </row>
        <row r="4544">
          <cell r="A4544" t="str">
            <v>1VI1LPNT511P1ZA</v>
          </cell>
          <cell r="B4544" t="str">
            <v>SMT</v>
          </cell>
          <cell r="C4544">
            <v>1</v>
          </cell>
          <cell r="D4544" t="e">
            <v>#N/A</v>
          </cell>
        </row>
        <row r="4545">
          <cell r="A4545" t="str">
            <v>1AP1LPNT511P3ZA</v>
          </cell>
          <cell r="B4545" t="str">
            <v>DIP</v>
          </cell>
          <cell r="C4545">
            <v>1</v>
          </cell>
          <cell r="D4545" t="e">
            <v>#N/A</v>
          </cell>
          <cell r="E4545">
            <v>2210</v>
          </cell>
          <cell r="F4545" t="str">
            <v>VC01</v>
          </cell>
          <cell r="G4545" t="str">
            <v>Auto</v>
          </cell>
          <cell r="H4545">
            <v>311</v>
          </cell>
          <cell r="I4545">
            <v>2210</v>
          </cell>
          <cell r="J4545" t="e">
            <v>#N/A</v>
          </cell>
          <cell r="K4545" t="str">
            <v>VC01</v>
          </cell>
        </row>
        <row r="4546">
          <cell r="A4546" t="str">
            <v>1RE1LPNT511P3ZA</v>
          </cell>
          <cell r="B4546" t="str">
            <v>SMT</v>
          </cell>
          <cell r="C4546">
            <v>1</v>
          </cell>
          <cell r="D4546">
            <v>7</v>
          </cell>
        </row>
        <row r="4547">
          <cell r="A4547" t="str">
            <v>1AP1LPNT5511ZA</v>
          </cell>
          <cell r="B4547" t="str">
            <v>DIP</v>
          </cell>
          <cell r="C4547">
            <v>1</v>
          </cell>
          <cell r="D4547" t="e">
            <v>#N/A</v>
          </cell>
          <cell r="E4547">
            <v>2210</v>
          </cell>
          <cell r="F4547" t="str">
            <v>VC01</v>
          </cell>
          <cell r="G4547" t="str">
            <v>Auto</v>
          </cell>
          <cell r="H4547">
            <v>311</v>
          </cell>
          <cell r="I4547">
            <v>2210</v>
          </cell>
          <cell r="J4547" t="e">
            <v>#N/A</v>
          </cell>
          <cell r="K4547" t="str">
            <v>VC01</v>
          </cell>
        </row>
        <row r="4548">
          <cell r="A4548" t="str">
            <v>1RE1LPNT5511ZA</v>
          </cell>
          <cell r="B4548" t="str">
            <v>SMT</v>
          </cell>
          <cell r="C4548">
            <v>1</v>
          </cell>
          <cell r="D4548">
            <v>266</v>
          </cell>
        </row>
        <row r="4549">
          <cell r="A4549" t="str">
            <v>1VI1LPNT5511ZA</v>
          </cell>
          <cell r="B4549" t="str">
            <v>SMT</v>
          </cell>
          <cell r="C4549">
            <v>1</v>
          </cell>
          <cell r="D4549" t="e">
            <v>#N/A</v>
          </cell>
        </row>
        <row r="4550">
          <cell r="A4550" t="str">
            <v>1AP1LPNT551CN1ZA</v>
          </cell>
          <cell r="B4550" t="str">
            <v>DIP</v>
          </cell>
          <cell r="C4550">
            <v>1</v>
          </cell>
          <cell r="D4550" t="e">
            <v>#N/A</v>
          </cell>
          <cell r="E4550">
            <v>2210</v>
          </cell>
          <cell r="F4550" t="str">
            <v>VC01</v>
          </cell>
          <cell r="G4550" t="str">
            <v>Auto</v>
          </cell>
          <cell r="H4550">
            <v>311</v>
          </cell>
          <cell r="I4550">
            <v>2210</v>
          </cell>
          <cell r="J4550" t="e">
            <v>#N/A</v>
          </cell>
          <cell r="K4550" t="str">
            <v>VC01</v>
          </cell>
        </row>
        <row r="4551">
          <cell r="A4551" t="str">
            <v>1RE1LPNT551CN1ZA</v>
          </cell>
          <cell r="B4551" t="str">
            <v>SMT</v>
          </cell>
          <cell r="C4551">
            <v>1</v>
          </cell>
          <cell r="D4551">
            <v>266</v>
          </cell>
        </row>
        <row r="4552">
          <cell r="A4552" t="str">
            <v>1VI1LPNT551CN1ZA</v>
          </cell>
          <cell r="B4552" t="str">
            <v>SMT</v>
          </cell>
          <cell r="C4552">
            <v>1</v>
          </cell>
          <cell r="D4552" t="e">
            <v>#N/A</v>
          </cell>
        </row>
        <row r="4553">
          <cell r="A4553" t="str">
            <v>1AP1LPNT5531ZA</v>
          </cell>
          <cell r="B4553" t="str">
            <v>DIP</v>
          </cell>
          <cell r="C4553">
            <v>1</v>
          </cell>
          <cell r="D4553" t="e">
            <v>#N/A</v>
          </cell>
          <cell r="E4553">
            <v>2210</v>
          </cell>
          <cell r="F4553" t="str">
            <v>VC01</v>
          </cell>
          <cell r="G4553" t="str">
            <v>Auto</v>
          </cell>
          <cell r="H4553">
            <v>311</v>
          </cell>
          <cell r="I4553">
            <v>2210</v>
          </cell>
          <cell r="J4553" t="e">
            <v>#N/A</v>
          </cell>
          <cell r="K4553" t="str">
            <v>VC01</v>
          </cell>
        </row>
        <row r="4554">
          <cell r="A4554" t="str">
            <v>1RE1LPNT5531ZA</v>
          </cell>
          <cell r="B4554" t="str">
            <v>SMT</v>
          </cell>
          <cell r="C4554">
            <v>1</v>
          </cell>
          <cell r="D4554">
            <v>274</v>
          </cell>
        </row>
        <row r="4555">
          <cell r="A4555" t="str">
            <v>1VI1LPNT5531ZA</v>
          </cell>
          <cell r="B4555" t="str">
            <v>SMT</v>
          </cell>
          <cell r="C4555">
            <v>1</v>
          </cell>
          <cell r="D4555" t="e">
            <v>#N/A</v>
          </cell>
        </row>
        <row r="4556">
          <cell r="A4556" t="str">
            <v>1AP1LPNT5561ZA</v>
          </cell>
          <cell r="B4556" t="str">
            <v>DIP</v>
          </cell>
          <cell r="C4556">
            <v>1</v>
          </cell>
          <cell r="D4556" t="e">
            <v>#N/A</v>
          </cell>
          <cell r="E4556">
            <v>2210</v>
          </cell>
          <cell r="F4556" t="str">
            <v>VC01</v>
          </cell>
          <cell r="G4556" t="str">
            <v>Auto</v>
          </cell>
          <cell r="H4556">
            <v>311</v>
          </cell>
          <cell r="I4556">
            <v>2210</v>
          </cell>
          <cell r="J4556" t="e">
            <v>#N/A</v>
          </cell>
          <cell r="K4556" t="str">
            <v>VC01</v>
          </cell>
        </row>
        <row r="4557">
          <cell r="A4557" t="str">
            <v>1RE1LPNT5561ZA</v>
          </cell>
          <cell r="B4557" t="str">
            <v>SMT</v>
          </cell>
          <cell r="C4557">
            <v>1</v>
          </cell>
          <cell r="D4557">
            <v>274</v>
          </cell>
        </row>
        <row r="4558">
          <cell r="A4558" t="str">
            <v>1VI1LPNT5561ZA</v>
          </cell>
          <cell r="B4558" t="str">
            <v>SMT</v>
          </cell>
          <cell r="C4558">
            <v>1</v>
          </cell>
          <cell r="D4558" t="e">
            <v>#N/A</v>
          </cell>
        </row>
        <row r="4559">
          <cell r="A4559" t="str">
            <v>1AP1LPTGP600A01HZA</v>
          </cell>
          <cell r="B4559" t="str">
            <v>DIP</v>
          </cell>
          <cell r="C4559">
            <v>1</v>
          </cell>
          <cell r="D4559" t="e">
            <v>#N/A</v>
          </cell>
          <cell r="E4559">
            <v>2210</v>
          </cell>
          <cell r="F4559" t="str">
            <v>VC01</v>
          </cell>
          <cell r="G4559" t="str">
            <v>Auto</v>
          </cell>
          <cell r="H4559">
            <v>311</v>
          </cell>
          <cell r="I4559">
            <v>2210</v>
          </cell>
          <cell r="J4559" t="e">
            <v>#N/A</v>
          </cell>
          <cell r="K4559" t="str">
            <v>VC01</v>
          </cell>
        </row>
        <row r="4560">
          <cell r="A4560" t="str">
            <v>1RE1LPTGP600A01HZA</v>
          </cell>
          <cell r="B4560" t="str">
            <v>SMT</v>
          </cell>
          <cell r="C4560">
            <v>1</v>
          </cell>
          <cell r="D4560">
            <v>158</v>
          </cell>
        </row>
        <row r="4561">
          <cell r="A4561" t="str">
            <v>1VI1LPTGP600A01HZA</v>
          </cell>
          <cell r="B4561" t="str">
            <v>SMT</v>
          </cell>
          <cell r="C4561">
            <v>1</v>
          </cell>
          <cell r="D4561" t="e">
            <v>#N/A</v>
          </cell>
        </row>
        <row r="4562">
          <cell r="A4562" t="str">
            <v>1VI2LPTGP600A01HZA</v>
          </cell>
          <cell r="B4562" t="str">
            <v>SMT</v>
          </cell>
          <cell r="C4562">
            <v>1</v>
          </cell>
          <cell r="D4562" t="e">
            <v>#N/A</v>
          </cell>
        </row>
        <row r="4563">
          <cell r="A4563" t="str">
            <v>PNLB2350ZB-ZG</v>
          </cell>
          <cell r="B4563" t="str">
            <v>SMT</v>
          </cell>
          <cell r="C4563">
            <v>1</v>
          </cell>
          <cell r="D4563" t="e">
            <v>#N/A</v>
          </cell>
        </row>
        <row r="4564">
          <cell r="A4564" t="str">
            <v>1AP1LPTGP600A03HZA</v>
          </cell>
          <cell r="B4564" t="str">
            <v>DIP</v>
          </cell>
          <cell r="C4564">
            <v>1</v>
          </cell>
          <cell r="D4564" t="e">
            <v>#N/A</v>
          </cell>
          <cell r="E4564">
            <v>2210</v>
          </cell>
          <cell r="F4564" t="str">
            <v>VC01</v>
          </cell>
          <cell r="G4564" t="str">
            <v>Auto</v>
          </cell>
          <cell r="H4564">
            <v>311</v>
          </cell>
          <cell r="I4564">
            <v>2210</v>
          </cell>
          <cell r="J4564" t="e">
            <v>#N/A</v>
          </cell>
          <cell r="K4564" t="str">
            <v>VC01</v>
          </cell>
        </row>
        <row r="4565">
          <cell r="A4565" t="str">
            <v>1RE1LPTGP600A03HZA</v>
          </cell>
          <cell r="B4565" t="str">
            <v>SMT</v>
          </cell>
          <cell r="C4565">
            <v>1</v>
          </cell>
          <cell r="D4565">
            <v>158</v>
          </cell>
        </row>
        <row r="4566">
          <cell r="A4566" t="str">
            <v>1VI1LPTGP600A03HZA</v>
          </cell>
          <cell r="B4566" t="str">
            <v>SMT</v>
          </cell>
          <cell r="C4566">
            <v>1</v>
          </cell>
          <cell r="D4566" t="e">
            <v>#N/A</v>
          </cell>
        </row>
        <row r="4567">
          <cell r="A4567" t="str">
            <v>1VI2LPTGP600A03HZA</v>
          </cell>
          <cell r="B4567" t="str">
            <v>SMT</v>
          </cell>
          <cell r="C4567">
            <v>1</v>
          </cell>
          <cell r="D4567" t="e">
            <v>#N/A</v>
          </cell>
        </row>
        <row r="4568">
          <cell r="A4568" t="str">
            <v>1AP1LPTGP600ALGHZA</v>
          </cell>
          <cell r="B4568" t="str">
            <v>DIP</v>
          </cell>
          <cell r="C4568">
            <v>1</v>
          </cell>
          <cell r="D4568" t="e">
            <v>#N/A</v>
          </cell>
          <cell r="E4568">
            <v>2210</v>
          </cell>
          <cell r="F4568" t="str">
            <v>VC01</v>
          </cell>
          <cell r="G4568" t="str">
            <v>Auto</v>
          </cell>
          <cell r="H4568">
            <v>311</v>
          </cell>
          <cell r="I4568">
            <v>2210</v>
          </cell>
          <cell r="J4568" t="e">
            <v>#N/A</v>
          </cell>
          <cell r="K4568" t="str">
            <v>VC01</v>
          </cell>
        </row>
        <row r="4569">
          <cell r="A4569" t="str">
            <v>1RE1LPTGP600ALGHZA</v>
          </cell>
          <cell r="B4569" t="str">
            <v>SMT</v>
          </cell>
          <cell r="C4569">
            <v>1</v>
          </cell>
          <cell r="D4569">
            <v>158</v>
          </cell>
        </row>
        <row r="4570">
          <cell r="A4570" t="str">
            <v>1VI1LPTGP600ALGHZA</v>
          </cell>
          <cell r="B4570" t="str">
            <v>SMT</v>
          </cell>
          <cell r="C4570">
            <v>1</v>
          </cell>
          <cell r="D4570" t="e">
            <v>#N/A</v>
          </cell>
        </row>
        <row r="4571">
          <cell r="A4571" t="str">
            <v>1VI2LPTGP600ALGHZA</v>
          </cell>
          <cell r="B4571" t="str">
            <v>SMT</v>
          </cell>
          <cell r="C4571">
            <v>1</v>
          </cell>
          <cell r="D4571" t="e">
            <v>#N/A</v>
          </cell>
        </row>
        <row r="4572">
          <cell r="A4572" t="str">
            <v>1AP1LPTGP600ALHZA</v>
          </cell>
          <cell r="B4572" t="str">
            <v>DIP</v>
          </cell>
          <cell r="C4572">
            <v>1</v>
          </cell>
          <cell r="D4572" t="e">
            <v>#N/A</v>
          </cell>
          <cell r="E4572">
            <v>2210</v>
          </cell>
          <cell r="F4572" t="str">
            <v>VC01</v>
          </cell>
          <cell r="G4572" t="str">
            <v>Auto</v>
          </cell>
          <cell r="H4572">
            <v>311</v>
          </cell>
          <cell r="I4572">
            <v>2210</v>
          </cell>
          <cell r="J4572" t="e">
            <v>#N/A</v>
          </cell>
          <cell r="K4572" t="str">
            <v>VC01</v>
          </cell>
        </row>
        <row r="4573">
          <cell r="A4573" t="str">
            <v>1RE1LPTGP600ALHZA</v>
          </cell>
          <cell r="B4573" t="str">
            <v>SMT</v>
          </cell>
          <cell r="C4573">
            <v>1</v>
          </cell>
          <cell r="D4573">
            <v>158</v>
          </cell>
        </row>
        <row r="4574">
          <cell r="A4574" t="str">
            <v>1VI1LPTGP600ALHZA</v>
          </cell>
          <cell r="B4574" t="str">
            <v>SMT</v>
          </cell>
          <cell r="C4574">
            <v>1</v>
          </cell>
          <cell r="D4574" t="e">
            <v>#N/A</v>
          </cell>
        </row>
        <row r="4575">
          <cell r="A4575" t="str">
            <v>1VI2LPTGP600ALHZA</v>
          </cell>
          <cell r="B4575" t="str">
            <v>SMT</v>
          </cell>
          <cell r="C4575">
            <v>1</v>
          </cell>
          <cell r="D4575" t="e">
            <v>#N/A</v>
          </cell>
        </row>
        <row r="4576">
          <cell r="A4576" t="str">
            <v>1AP1LPTGP600CEGHZA</v>
          </cell>
          <cell r="B4576" t="str">
            <v>DIP</v>
          </cell>
          <cell r="C4576">
            <v>1</v>
          </cell>
          <cell r="D4576" t="e">
            <v>#N/A</v>
          </cell>
          <cell r="E4576">
            <v>2210</v>
          </cell>
          <cell r="F4576" t="str">
            <v>VC01</v>
          </cell>
          <cell r="G4576" t="str">
            <v>Auto</v>
          </cell>
          <cell r="H4576">
            <v>311</v>
          </cell>
          <cell r="I4576">
            <v>2210</v>
          </cell>
          <cell r="J4576" t="e">
            <v>#N/A</v>
          </cell>
          <cell r="K4576" t="str">
            <v>VC01</v>
          </cell>
        </row>
        <row r="4577">
          <cell r="A4577" t="str">
            <v>1VI1LPTGP600CEGHZA</v>
          </cell>
          <cell r="B4577" t="str">
            <v>SMT</v>
          </cell>
          <cell r="C4577">
            <v>1</v>
          </cell>
          <cell r="D4577" t="e">
            <v>#N/A</v>
          </cell>
        </row>
        <row r="4578">
          <cell r="A4578" t="str">
            <v>1VI2LPTGP600CEGHZA</v>
          </cell>
          <cell r="B4578" t="str">
            <v>SMT</v>
          </cell>
          <cell r="C4578">
            <v>1</v>
          </cell>
          <cell r="D4578" t="e">
            <v>#N/A</v>
          </cell>
        </row>
        <row r="4579">
          <cell r="A4579" t="str">
            <v>1AP1LPTGP600CEHZA</v>
          </cell>
          <cell r="B4579" t="str">
            <v>DIP</v>
          </cell>
          <cell r="C4579">
            <v>1</v>
          </cell>
          <cell r="D4579" t="e">
            <v>#N/A</v>
          </cell>
          <cell r="E4579">
            <v>2210</v>
          </cell>
          <cell r="F4579" t="str">
            <v>VC01</v>
          </cell>
          <cell r="G4579" t="str">
            <v>Auto</v>
          </cell>
          <cell r="H4579">
            <v>311</v>
          </cell>
          <cell r="I4579">
            <v>2210</v>
          </cell>
          <cell r="J4579" t="e">
            <v>#N/A</v>
          </cell>
          <cell r="K4579" t="str">
            <v>VC01</v>
          </cell>
        </row>
        <row r="4580">
          <cell r="A4580" t="str">
            <v>1RE1LPTGP600CEHZA</v>
          </cell>
          <cell r="B4580" t="str">
            <v>SMT</v>
          </cell>
          <cell r="C4580">
            <v>1</v>
          </cell>
          <cell r="D4580">
            <v>158</v>
          </cell>
        </row>
        <row r="4581">
          <cell r="A4581" t="str">
            <v>1VI1LPTGP600CEHZA</v>
          </cell>
          <cell r="B4581" t="str">
            <v>SMT</v>
          </cell>
          <cell r="C4581">
            <v>1</v>
          </cell>
          <cell r="D4581" t="e">
            <v>#N/A</v>
          </cell>
        </row>
        <row r="4582">
          <cell r="A4582" t="str">
            <v>1VI2LPTGP600CEHZA</v>
          </cell>
          <cell r="B4582" t="str">
            <v>SMT</v>
          </cell>
          <cell r="C4582">
            <v>1</v>
          </cell>
          <cell r="D4582" t="e">
            <v>#N/A</v>
          </cell>
        </row>
        <row r="4583">
          <cell r="A4583" t="str">
            <v>1AP1LPTGP600CHZA</v>
          </cell>
          <cell r="B4583" t="str">
            <v>DIP</v>
          </cell>
          <cell r="C4583">
            <v>1</v>
          </cell>
          <cell r="D4583" t="e">
            <v>#N/A</v>
          </cell>
          <cell r="E4583">
            <v>2210</v>
          </cell>
          <cell r="F4583" t="str">
            <v>VC01</v>
          </cell>
          <cell r="G4583" t="str">
            <v>Auto</v>
          </cell>
          <cell r="H4583">
            <v>311</v>
          </cell>
          <cell r="I4583">
            <v>2210</v>
          </cell>
          <cell r="J4583" t="e">
            <v>#N/A</v>
          </cell>
          <cell r="K4583" t="str">
            <v>VC01</v>
          </cell>
        </row>
        <row r="4584">
          <cell r="A4584" t="str">
            <v>1RE1LPTGP600CHZA</v>
          </cell>
          <cell r="B4584" t="str">
            <v>SMT</v>
          </cell>
          <cell r="C4584">
            <v>1</v>
          </cell>
          <cell r="D4584">
            <v>158</v>
          </cell>
        </row>
        <row r="4585">
          <cell r="A4585" t="str">
            <v>1VI1LPTGP600CHZA</v>
          </cell>
          <cell r="B4585" t="str">
            <v>SMT</v>
          </cell>
          <cell r="C4585">
            <v>1</v>
          </cell>
          <cell r="D4585" t="e">
            <v>#N/A</v>
          </cell>
        </row>
        <row r="4586">
          <cell r="A4586" t="str">
            <v>1VI2LPTGP600CHZA</v>
          </cell>
          <cell r="B4586" t="str">
            <v>SMT</v>
          </cell>
          <cell r="C4586">
            <v>1</v>
          </cell>
          <cell r="D4586" t="e">
            <v>#N/A</v>
          </cell>
        </row>
        <row r="4587">
          <cell r="A4587" t="str">
            <v>1AP1LPTGP600GHZA</v>
          </cell>
          <cell r="B4587" t="str">
            <v>DIP</v>
          </cell>
          <cell r="C4587">
            <v>1</v>
          </cell>
          <cell r="D4587" t="e">
            <v>#N/A</v>
          </cell>
          <cell r="E4587">
            <v>2210</v>
          </cell>
          <cell r="F4587" t="str">
            <v>VC01</v>
          </cell>
          <cell r="G4587" t="str">
            <v>Auto</v>
          </cell>
          <cell r="H4587">
            <v>311</v>
          </cell>
          <cell r="I4587">
            <v>2210</v>
          </cell>
          <cell r="J4587" t="e">
            <v>#N/A</v>
          </cell>
          <cell r="K4587" t="str">
            <v>VC01</v>
          </cell>
        </row>
        <row r="4588">
          <cell r="A4588" t="str">
            <v>1RE1LPTGP600GHZA</v>
          </cell>
          <cell r="B4588" t="str">
            <v>SMT</v>
          </cell>
          <cell r="C4588">
            <v>1</v>
          </cell>
          <cell r="D4588">
            <v>158</v>
          </cell>
        </row>
        <row r="4589">
          <cell r="A4589" t="str">
            <v>1VI1LPTGP600GHZA</v>
          </cell>
          <cell r="B4589" t="str">
            <v>SMT</v>
          </cell>
          <cell r="C4589">
            <v>1</v>
          </cell>
          <cell r="D4589" t="e">
            <v>#N/A</v>
          </cell>
        </row>
        <row r="4590">
          <cell r="A4590" t="str">
            <v>1VI2LPTGP600GHZA</v>
          </cell>
          <cell r="B4590" t="str">
            <v>SMT</v>
          </cell>
          <cell r="C4590">
            <v>1</v>
          </cell>
          <cell r="D4590" t="e">
            <v>#N/A</v>
          </cell>
        </row>
        <row r="4591">
          <cell r="A4591" t="str">
            <v>1AP1LPTGP600HZA</v>
          </cell>
          <cell r="B4591" t="str">
            <v>DIP</v>
          </cell>
          <cell r="C4591">
            <v>1</v>
          </cell>
          <cell r="D4591" t="e">
            <v>#N/A</v>
          </cell>
          <cell r="E4591">
            <v>2210</v>
          </cell>
          <cell r="F4591" t="str">
            <v>VC01</v>
          </cell>
          <cell r="G4591" t="str">
            <v>Auto</v>
          </cell>
          <cell r="H4591">
            <v>311</v>
          </cell>
          <cell r="I4591">
            <v>2210</v>
          </cell>
          <cell r="J4591" t="e">
            <v>#N/A</v>
          </cell>
          <cell r="K4591" t="str">
            <v>VC01</v>
          </cell>
        </row>
        <row r="4592">
          <cell r="A4592" t="str">
            <v>1RE1LPTGP600HZA</v>
          </cell>
          <cell r="B4592" t="str">
            <v>SMT</v>
          </cell>
          <cell r="C4592">
            <v>1</v>
          </cell>
          <cell r="D4592">
            <v>158</v>
          </cell>
        </row>
        <row r="4593">
          <cell r="A4593" t="str">
            <v>1VI1LPTGP600HZA</v>
          </cell>
          <cell r="B4593" t="str">
            <v>SMT</v>
          </cell>
          <cell r="C4593">
            <v>1</v>
          </cell>
          <cell r="D4593" t="e">
            <v>#N/A</v>
          </cell>
        </row>
        <row r="4594">
          <cell r="A4594" t="str">
            <v>1VI2LPTGP600HZA</v>
          </cell>
          <cell r="B4594" t="str">
            <v>SMT</v>
          </cell>
          <cell r="C4594">
            <v>1</v>
          </cell>
          <cell r="D4594" t="e">
            <v>#N/A</v>
          </cell>
        </row>
        <row r="4595">
          <cell r="A4595" t="str">
            <v>1AP1LPTGP600LAHZA</v>
          </cell>
          <cell r="B4595" t="str">
            <v>DIP</v>
          </cell>
          <cell r="C4595">
            <v>1</v>
          </cell>
          <cell r="D4595" t="e">
            <v>#N/A</v>
          </cell>
          <cell r="E4595">
            <v>2210</v>
          </cell>
          <cell r="F4595" t="str">
            <v>VC01</v>
          </cell>
          <cell r="G4595" t="str">
            <v>Auto</v>
          </cell>
          <cell r="H4595">
            <v>311</v>
          </cell>
          <cell r="I4595">
            <v>2210</v>
          </cell>
          <cell r="J4595" t="e">
            <v>#N/A</v>
          </cell>
          <cell r="K4595" t="str">
            <v>VC01</v>
          </cell>
        </row>
        <row r="4596">
          <cell r="A4596" t="str">
            <v>1RE1LPTGP600LAHZA</v>
          </cell>
          <cell r="B4596" t="str">
            <v>SMT</v>
          </cell>
          <cell r="C4596">
            <v>1</v>
          </cell>
          <cell r="D4596">
            <v>158</v>
          </cell>
        </row>
        <row r="4597">
          <cell r="A4597" t="str">
            <v>1VI1LPTGP600LAHZA</v>
          </cell>
          <cell r="B4597" t="str">
            <v>SMT</v>
          </cell>
          <cell r="C4597">
            <v>1</v>
          </cell>
          <cell r="D4597" t="e">
            <v>#N/A</v>
          </cell>
        </row>
        <row r="4598">
          <cell r="A4598" t="str">
            <v>1VI2LPTGP600LAHZA</v>
          </cell>
          <cell r="B4598" t="str">
            <v>SMT</v>
          </cell>
          <cell r="C4598">
            <v>1</v>
          </cell>
          <cell r="D4598" t="e">
            <v>#N/A</v>
          </cell>
        </row>
        <row r="4599">
          <cell r="A4599" t="str">
            <v>1AP1LPTGP600LCHZA</v>
          </cell>
          <cell r="B4599" t="str">
            <v>DIP</v>
          </cell>
          <cell r="C4599">
            <v>1</v>
          </cell>
          <cell r="D4599" t="e">
            <v>#N/A</v>
          </cell>
          <cell r="E4599">
            <v>2210</v>
          </cell>
          <cell r="F4599" t="str">
            <v>VC01</v>
          </cell>
          <cell r="G4599" t="str">
            <v>Auto</v>
          </cell>
          <cell r="H4599">
            <v>311</v>
          </cell>
          <cell r="I4599">
            <v>2210</v>
          </cell>
          <cell r="J4599" t="e">
            <v>#N/A</v>
          </cell>
          <cell r="K4599" t="str">
            <v>VC01</v>
          </cell>
        </row>
        <row r="4600">
          <cell r="A4600" t="str">
            <v>1RE1LPTGP600LCHZA</v>
          </cell>
          <cell r="B4600" t="str">
            <v>SMT</v>
          </cell>
          <cell r="C4600">
            <v>1</v>
          </cell>
          <cell r="D4600">
            <v>158</v>
          </cell>
        </row>
        <row r="4601">
          <cell r="A4601" t="str">
            <v>1VI1LPTGP600LCHZA</v>
          </cell>
          <cell r="B4601" t="str">
            <v>SMT</v>
          </cell>
          <cell r="C4601">
            <v>1</v>
          </cell>
          <cell r="D4601" t="e">
            <v>#N/A</v>
          </cell>
        </row>
        <row r="4602">
          <cell r="A4602" t="str">
            <v>1VI2LPTGP600LCHZA</v>
          </cell>
          <cell r="B4602" t="str">
            <v>SMT</v>
          </cell>
          <cell r="C4602">
            <v>1</v>
          </cell>
          <cell r="D4602" t="e">
            <v>#N/A</v>
          </cell>
        </row>
        <row r="4603">
          <cell r="A4603" t="str">
            <v>1AP1LPTGP600RUHZA</v>
          </cell>
          <cell r="B4603" t="str">
            <v>DIP</v>
          </cell>
          <cell r="C4603">
            <v>1</v>
          </cell>
          <cell r="D4603" t="e">
            <v>#N/A</v>
          </cell>
          <cell r="E4603">
            <v>2210</v>
          </cell>
          <cell r="F4603" t="str">
            <v>VC01</v>
          </cell>
          <cell r="G4603" t="str">
            <v>Auto</v>
          </cell>
          <cell r="H4603">
            <v>311</v>
          </cell>
          <cell r="I4603">
            <v>2210</v>
          </cell>
          <cell r="J4603" t="e">
            <v>#N/A</v>
          </cell>
          <cell r="K4603" t="str">
            <v>VC01</v>
          </cell>
        </row>
        <row r="4604">
          <cell r="A4604" t="str">
            <v>1RE1LPTGP600RUHZA</v>
          </cell>
          <cell r="B4604" t="str">
            <v>SMT</v>
          </cell>
          <cell r="C4604">
            <v>1</v>
          </cell>
          <cell r="D4604">
            <v>158</v>
          </cell>
        </row>
        <row r="4605">
          <cell r="A4605" t="str">
            <v>1VI1LPTGP600RUHZA</v>
          </cell>
          <cell r="B4605" t="str">
            <v>SMT</v>
          </cell>
          <cell r="C4605">
            <v>1</v>
          </cell>
          <cell r="D4605" t="e">
            <v>#N/A</v>
          </cell>
        </row>
        <row r="4606">
          <cell r="A4606" t="str">
            <v>1VI2LPTGP600RUHZA</v>
          </cell>
          <cell r="B4606" t="str">
            <v>SMT</v>
          </cell>
          <cell r="C4606">
            <v>1</v>
          </cell>
          <cell r="D4606" t="e">
            <v>#N/A</v>
          </cell>
        </row>
        <row r="4607">
          <cell r="A4607" t="str">
            <v>1RE1LPTPA60A01RZA</v>
          </cell>
          <cell r="B4607" t="str">
            <v>SMT</v>
          </cell>
          <cell r="C4607">
            <v>1</v>
          </cell>
          <cell r="D4607">
            <v>29</v>
          </cell>
        </row>
        <row r="4608">
          <cell r="A4608" t="str">
            <v>1VJ1LPTPA60A01RZA</v>
          </cell>
          <cell r="B4608" t="str">
            <v>SMT</v>
          </cell>
          <cell r="C4608">
            <v>1</v>
          </cell>
          <cell r="D4608" t="e">
            <v>#N/A</v>
          </cell>
        </row>
        <row r="4609">
          <cell r="A4609" t="str">
            <v>PNLB2348ZA-GW</v>
          </cell>
          <cell r="B4609" t="str">
            <v>SMT</v>
          </cell>
          <cell r="C4609">
            <v>1</v>
          </cell>
          <cell r="D4609" t="e">
            <v>#N/A</v>
          </cell>
        </row>
        <row r="4610">
          <cell r="A4610" t="str">
            <v>1RE1LPTPA60A03RZA</v>
          </cell>
          <cell r="B4610" t="str">
            <v>SMT</v>
          </cell>
          <cell r="C4610">
            <v>1</v>
          </cell>
          <cell r="D4610">
            <v>29</v>
          </cell>
        </row>
        <row r="4611">
          <cell r="A4611" t="str">
            <v>1VJ1LPTPA60A03RZA</v>
          </cell>
          <cell r="B4611" t="str">
            <v>SMT</v>
          </cell>
          <cell r="C4611">
            <v>1</v>
          </cell>
          <cell r="D4611" t="e">
            <v>#N/A</v>
          </cell>
        </row>
        <row r="4612">
          <cell r="A4612" t="str">
            <v>1RE1LPTPA60ALRZA</v>
          </cell>
          <cell r="B4612" t="str">
            <v>SMT</v>
          </cell>
          <cell r="C4612">
            <v>1</v>
          </cell>
          <cell r="D4612">
            <v>29</v>
          </cell>
        </row>
        <row r="4613">
          <cell r="A4613" t="str">
            <v>1VJ1LPTPA60ALRZA</v>
          </cell>
          <cell r="B4613" t="str">
            <v>SMT</v>
          </cell>
          <cell r="C4613">
            <v>1</v>
          </cell>
          <cell r="D4613" t="e">
            <v>#N/A</v>
          </cell>
        </row>
        <row r="4614">
          <cell r="A4614" t="str">
            <v>1RE1LPTPA60CERZA</v>
          </cell>
          <cell r="B4614" t="str">
            <v>SMT</v>
          </cell>
          <cell r="C4614">
            <v>1</v>
          </cell>
          <cell r="D4614">
            <v>29</v>
          </cell>
        </row>
        <row r="4615">
          <cell r="A4615" t="str">
            <v>1VJ1LPTPA60CERZA</v>
          </cell>
          <cell r="B4615" t="str">
            <v>SMT</v>
          </cell>
          <cell r="C4615">
            <v>1</v>
          </cell>
          <cell r="D4615" t="e">
            <v>#N/A</v>
          </cell>
        </row>
        <row r="4616">
          <cell r="A4616" t="str">
            <v>1RE1LPTPA60CRZA</v>
          </cell>
          <cell r="B4616" t="str">
            <v>SMT</v>
          </cell>
          <cell r="C4616">
            <v>1</v>
          </cell>
          <cell r="D4616">
            <v>29</v>
          </cell>
        </row>
        <row r="4617">
          <cell r="A4617" t="str">
            <v>1VJ1LPTPA60CRZA</v>
          </cell>
          <cell r="B4617" t="str">
            <v>SMT</v>
          </cell>
          <cell r="C4617">
            <v>1</v>
          </cell>
          <cell r="D4617" t="e">
            <v>#N/A</v>
          </cell>
        </row>
        <row r="4618">
          <cell r="A4618" t="str">
            <v>1RE1LPTPA60LARZA</v>
          </cell>
          <cell r="B4618" t="str">
            <v>SMT</v>
          </cell>
          <cell r="C4618">
            <v>1</v>
          </cell>
          <cell r="D4618">
            <v>29</v>
          </cell>
        </row>
        <row r="4619">
          <cell r="A4619" t="str">
            <v>1VJ1LPTPA60LARZA</v>
          </cell>
          <cell r="B4619" t="str">
            <v>SMT</v>
          </cell>
          <cell r="C4619">
            <v>1</v>
          </cell>
          <cell r="D4619" t="e">
            <v>#N/A</v>
          </cell>
        </row>
        <row r="4620">
          <cell r="A4620" t="str">
            <v>1RE1LPTPA60LCRZA</v>
          </cell>
          <cell r="B4620" t="str">
            <v>SMT</v>
          </cell>
          <cell r="C4620">
            <v>1</v>
          </cell>
          <cell r="D4620">
            <v>29</v>
          </cell>
        </row>
        <row r="4621">
          <cell r="A4621" t="str">
            <v>1VJ1LPTPA60LCRZA</v>
          </cell>
          <cell r="B4621" t="str">
            <v>SMT</v>
          </cell>
          <cell r="C4621">
            <v>1</v>
          </cell>
          <cell r="D4621" t="e">
            <v>#N/A</v>
          </cell>
        </row>
        <row r="4622">
          <cell r="A4622" t="str">
            <v>1RE1LPTPA60RURZA</v>
          </cell>
          <cell r="B4622" t="str">
            <v>SMT</v>
          </cell>
          <cell r="C4622">
            <v>1</v>
          </cell>
          <cell r="D4622">
            <v>29</v>
          </cell>
        </row>
        <row r="4623">
          <cell r="A4623" t="str">
            <v>1VJ1LPTPA60RURZA</v>
          </cell>
          <cell r="B4623" t="str">
            <v>SMT</v>
          </cell>
          <cell r="C4623">
            <v>1</v>
          </cell>
          <cell r="D4623" t="e">
            <v>#N/A</v>
          </cell>
        </row>
        <row r="4624">
          <cell r="A4624" t="str">
            <v>1RE1LPTPA60RZA</v>
          </cell>
          <cell r="B4624" t="str">
            <v>SMT</v>
          </cell>
          <cell r="C4624">
            <v>1</v>
          </cell>
          <cell r="D4624">
            <v>29</v>
          </cell>
        </row>
        <row r="4625">
          <cell r="A4625" t="str">
            <v>1VJ1LPTPA60RZA</v>
          </cell>
          <cell r="B4625" t="str">
            <v>SMT</v>
          </cell>
          <cell r="C4625">
            <v>1</v>
          </cell>
          <cell r="D4625" t="e">
            <v>#N/A</v>
          </cell>
        </row>
        <row r="4626">
          <cell r="A4626" t="str">
            <v>1CM1H603Y-3K20PP2</v>
          </cell>
          <cell r="B4626" t="str">
            <v>SMT</v>
          </cell>
          <cell r="C4626">
            <v>1</v>
          </cell>
          <cell r="D4626">
            <v>6</v>
          </cell>
          <cell r="E4626">
            <v>6210</v>
          </cell>
          <cell r="F4626" t="str">
            <v>VG01</v>
          </cell>
          <cell r="G4626" t="str">
            <v>Auto</v>
          </cell>
          <cell r="H4626">
            <v>311</v>
          </cell>
          <cell r="I4626">
            <v>6210</v>
          </cell>
          <cell r="J4626">
            <v>6220</v>
          </cell>
          <cell r="K4626" t="str">
            <v>VG01</v>
          </cell>
        </row>
        <row r="4627">
          <cell r="A4627" t="str">
            <v>1RH1H603Y-3K20PP2</v>
          </cell>
          <cell r="B4627" t="str">
            <v>SMT</v>
          </cell>
          <cell r="C4627">
            <v>1</v>
          </cell>
          <cell r="D4627">
            <v>4</v>
          </cell>
        </row>
        <row r="4628">
          <cell r="A4628" t="str">
            <v>1TE1H603Y-3K20PP2</v>
          </cell>
          <cell r="B4628" t="str">
            <v>SMT</v>
          </cell>
          <cell r="C4628">
            <v>1</v>
          </cell>
          <cell r="D4628">
            <v>10</v>
          </cell>
        </row>
        <row r="4629">
          <cell r="A4629" t="str">
            <v>1AE1H603Y-3K20PP2</v>
          </cell>
          <cell r="B4629" t="str">
            <v>SMT</v>
          </cell>
          <cell r="C4629">
            <v>1</v>
          </cell>
          <cell r="D4629">
            <v>10</v>
          </cell>
        </row>
        <row r="4630">
          <cell r="A4630" t="str">
            <v>1HT1H603Y-3K20PP2</v>
          </cell>
          <cell r="B4630" t="str">
            <v>SMT</v>
          </cell>
          <cell r="C4630">
            <v>1</v>
          </cell>
          <cell r="D4630">
            <v>10</v>
          </cell>
        </row>
        <row r="4631">
          <cell r="A4631" t="str">
            <v>1CM1H683L-3K20PP2</v>
          </cell>
          <cell r="B4631" t="str">
            <v>SMT</v>
          </cell>
          <cell r="C4631">
            <v>1</v>
          </cell>
          <cell r="D4631">
            <v>426</v>
          </cell>
          <cell r="E4631">
            <v>6210</v>
          </cell>
          <cell r="F4631" t="str">
            <v>VG01</v>
          </cell>
          <cell r="G4631" t="str">
            <v>Auto</v>
          </cell>
          <cell r="H4631">
            <v>311</v>
          </cell>
          <cell r="I4631">
            <v>6210</v>
          </cell>
          <cell r="J4631">
            <v>6220</v>
          </cell>
          <cell r="K4631" t="str">
            <v>VG01</v>
          </cell>
        </row>
        <row r="4632">
          <cell r="A4632" t="str">
            <v>1RH1H683L-3K20PP2</v>
          </cell>
          <cell r="B4632" t="str">
            <v>SMT</v>
          </cell>
          <cell r="C4632">
            <v>1</v>
          </cell>
          <cell r="D4632">
            <v>35</v>
          </cell>
        </row>
        <row r="4633">
          <cell r="A4633" t="str">
            <v>1AE1H683L-3K20PP2</v>
          </cell>
          <cell r="B4633" t="str">
            <v>SMT</v>
          </cell>
          <cell r="C4633">
            <v>1</v>
          </cell>
          <cell r="D4633">
            <v>151</v>
          </cell>
        </row>
        <row r="4634">
          <cell r="A4634" t="str">
            <v>1HT1H683L-3K20PP2</v>
          </cell>
          <cell r="B4634" t="str">
            <v>SMT</v>
          </cell>
          <cell r="C4634">
            <v>1</v>
          </cell>
          <cell r="D4634">
            <v>18</v>
          </cell>
        </row>
        <row r="4635">
          <cell r="A4635" t="str">
            <v>1RE2H685Q-3K20PP2</v>
          </cell>
          <cell r="B4635" t="str">
            <v>SMT</v>
          </cell>
          <cell r="C4635">
            <v>1</v>
          </cell>
          <cell r="D4635">
            <v>306</v>
          </cell>
          <cell r="E4635">
            <v>6210</v>
          </cell>
          <cell r="F4635" t="str">
            <v>VG01</v>
          </cell>
          <cell r="G4635" t="str">
            <v>Auto</v>
          </cell>
          <cell r="H4635">
            <v>311</v>
          </cell>
          <cell r="I4635">
            <v>6210</v>
          </cell>
          <cell r="J4635">
            <v>6220</v>
          </cell>
          <cell r="K4635" t="str">
            <v>VG01</v>
          </cell>
        </row>
        <row r="4636">
          <cell r="A4636" t="str">
            <v>1RE1H685Q-3K20PP2</v>
          </cell>
          <cell r="B4636" t="str">
            <v>SMT</v>
          </cell>
          <cell r="C4636">
            <v>1</v>
          </cell>
          <cell r="D4636">
            <v>136</v>
          </cell>
        </row>
        <row r="4637">
          <cell r="A4637" t="str">
            <v>1VI1H685Q-3K20PP2</v>
          </cell>
          <cell r="B4637" t="str">
            <v>SMT</v>
          </cell>
          <cell r="C4637">
            <v>1</v>
          </cell>
          <cell r="D4637" t="e">
            <v>#N/A</v>
          </cell>
        </row>
        <row r="4638">
          <cell r="A4638" t="str">
            <v>1VI2H685Q-3K20PP2</v>
          </cell>
          <cell r="B4638" t="str">
            <v>SMT</v>
          </cell>
          <cell r="C4638">
            <v>1</v>
          </cell>
          <cell r="D4638" t="e">
            <v>#N/A</v>
          </cell>
        </row>
        <row r="4639">
          <cell r="A4639" t="str">
            <v>1AP1T7710ALV4</v>
          </cell>
          <cell r="B4639" t="str">
            <v>DIP</v>
          </cell>
          <cell r="C4639">
            <v>1</v>
          </cell>
          <cell r="D4639" t="e">
            <v>#N/A</v>
          </cell>
          <cell r="E4639">
            <v>2210</v>
          </cell>
          <cell r="F4639" t="str">
            <v>VC01</v>
          </cell>
          <cell r="G4639" t="str">
            <v>Auto</v>
          </cell>
          <cell r="H4639">
            <v>311</v>
          </cell>
          <cell r="I4639">
            <v>2210</v>
          </cell>
          <cell r="J4639">
            <v>2310</v>
          </cell>
          <cell r="K4639" t="str">
            <v>VC01</v>
          </cell>
        </row>
        <row r="4640">
          <cell r="A4640" t="str">
            <v>1CM1T7710ALV4</v>
          </cell>
          <cell r="B4640" t="str">
            <v>SMT</v>
          </cell>
          <cell r="C4640">
            <v>1</v>
          </cell>
          <cell r="D4640">
            <v>100</v>
          </cell>
          <cell r="E4640">
            <v>2210</v>
          </cell>
          <cell r="F4640" t="str">
            <v>VC01</v>
          </cell>
          <cell r="G4640" t="str">
            <v>Auto</v>
          </cell>
          <cell r="H4640">
            <v>311</v>
          </cell>
          <cell r="I4640">
            <v>2210</v>
          </cell>
          <cell r="J4640">
            <v>2310</v>
          </cell>
          <cell r="K4640" t="str">
            <v>VC01</v>
          </cell>
        </row>
        <row r="4641">
          <cell r="A4641" t="str">
            <v>1RH1T7710ALV4</v>
          </cell>
          <cell r="B4641" t="str">
            <v>SMT</v>
          </cell>
          <cell r="C4641">
            <v>1</v>
          </cell>
          <cell r="D4641">
            <v>15</v>
          </cell>
        </row>
        <row r="4642">
          <cell r="A4642" t="str">
            <v>1AE1T7710ALV4</v>
          </cell>
          <cell r="B4642" t="str">
            <v>SMT</v>
          </cell>
          <cell r="C4642">
            <v>1</v>
          </cell>
          <cell r="D4642">
            <v>10</v>
          </cell>
        </row>
        <row r="4643">
          <cell r="A4643" t="str">
            <v>1RE2NS0110XVN</v>
          </cell>
          <cell r="B4643" t="str">
            <v>SMT</v>
          </cell>
          <cell r="C4643">
            <v>1</v>
          </cell>
          <cell r="D4643">
            <v>195</v>
          </cell>
          <cell r="E4643">
            <v>2210</v>
          </cell>
          <cell r="F4643" t="str">
            <v>VC01</v>
          </cell>
          <cell r="G4643" t="str">
            <v>Auto</v>
          </cell>
          <cell r="H4643">
            <v>311</v>
          </cell>
          <cell r="I4643">
            <v>2210</v>
          </cell>
          <cell r="J4643">
            <v>2310</v>
          </cell>
          <cell r="K4643" t="str">
            <v>VC01</v>
          </cell>
        </row>
        <row r="4644">
          <cell r="A4644" t="str">
            <v>1RE1NS0110XVN</v>
          </cell>
          <cell r="B4644" t="str">
            <v>SMT</v>
          </cell>
          <cell r="C4644">
            <v>1</v>
          </cell>
          <cell r="D4644">
            <v>114</v>
          </cell>
        </row>
        <row r="4645">
          <cell r="A4645" t="str">
            <v>1AE1A603M-3J0A-FE</v>
          </cell>
          <cell r="B4645" t="str">
            <v>SMT</v>
          </cell>
          <cell r="C4645">
            <v>1</v>
          </cell>
          <cell r="D4645" t="e">
            <v>#N/A</v>
          </cell>
          <cell r="E4645">
            <v>6210</v>
          </cell>
          <cell r="F4645" t="str">
            <v>VG01</v>
          </cell>
          <cell r="G4645" t="str">
            <v>Auto</v>
          </cell>
          <cell r="H4645">
            <v>311</v>
          </cell>
          <cell r="I4645">
            <v>6210</v>
          </cell>
          <cell r="J4645">
            <v>6220</v>
          </cell>
          <cell r="K4645" t="str">
            <v>VG01</v>
          </cell>
        </row>
        <row r="4646">
          <cell r="A4646" t="str">
            <v>1CM1A603Y-3J8A-FES</v>
          </cell>
          <cell r="B4646" t="str">
            <v>SMT</v>
          </cell>
          <cell r="C4646">
            <v>1</v>
          </cell>
          <cell r="D4646" t="e">
            <v>#N/A</v>
          </cell>
          <cell r="E4646">
            <v>6210</v>
          </cell>
          <cell r="F4646" t="str">
            <v>VG01</v>
          </cell>
          <cell r="G4646" t="str">
            <v>Auto</v>
          </cell>
          <cell r="H4646">
            <v>311</v>
          </cell>
          <cell r="I4646">
            <v>6210</v>
          </cell>
          <cell r="J4646">
            <v>6220</v>
          </cell>
          <cell r="K4646" t="str">
            <v>VG01</v>
          </cell>
        </row>
        <row r="4647">
          <cell r="A4647" t="str">
            <v>1RH1A603Y-3J8A-FES</v>
          </cell>
          <cell r="B4647" t="str">
            <v>SMT</v>
          </cell>
          <cell r="C4647">
            <v>1</v>
          </cell>
          <cell r="D4647" t="e">
            <v>#N/A</v>
          </cell>
        </row>
        <row r="4648">
          <cell r="A4648" t="str">
            <v>1TE1A603Y-3J8A-FES</v>
          </cell>
          <cell r="B4648" t="str">
            <v>SMT</v>
          </cell>
          <cell r="C4648">
            <v>1</v>
          </cell>
          <cell r="D4648" t="e">
            <v>#N/A</v>
          </cell>
        </row>
        <row r="4649">
          <cell r="A4649" t="str">
            <v>1AE1A603Y-3J8A-FES</v>
          </cell>
          <cell r="B4649" t="str">
            <v>SMT</v>
          </cell>
          <cell r="C4649">
            <v>1</v>
          </cell>
          <cell r="D4649" t="e">
            <v>#N/A</v>
          </cell>
        </row>
        <row r="4650">
          <cell r="A4650" t="str">
            <v>1HT1A603Y-3J8A-FES</v>
          </cell>
          <cell r="B4650" t="str">
            <v>SMT</v>
          </cell>
          <cell r="C4650">
            <v>1</v>
          </cell>
          <cell r="D4650" t="e">
            <v>#N/A</v>
          </cell>
        </row>
        <row r="4651">
          <cell r="A4651" t="str">
            <v>1CM1A603Y3F9ABP-FE</v>
          </cell>
          <cell r="B4651" t="str">
            <v>SMT</v>
          </cell>
          <cell r="C4651">
            <v>1</v>
          </cell>
          <cell r="D4651" t="e">
            <v>#N/A</v>
          </cell>
          <cell r="E4651">
            <v>6210</v>
          </cell>
          <cell r="F4651" t="str">
            <v>VG01</v>
          </cell>
          <cell r="G4651" t="str">
            <v>Auto</v>
          </cell>
          <cell r="H4651">
            <v>311</v>
          </cell>
          <cell r="I4651">
            <v>6210</v>
          </cell>
          <cell r="J4651">
            <v>6220</v>
          </cell>
          <cell r="K4651" t="str">
            <v>VG01</v>
          </cell>
        </row>
        <row r="4652">
          <cell r="A4652" t="str">
            <v>1RH1A603Y3F9ABP-FE</v>
          </cell>
          <cell r="B4652" t="str">
            <v>SMT</v>
          </cell>
          <cell r="C4652">
            <v>1</v>
          </cell>
          <cell r="D4652" t="e">
            <v>#N/A</v>
          </cell>
        </row>
        <row r="4653">
          <cell r="A4653" t="str">
            <v>1TE1A603Y3F9ABP-FE</v>
          </cell>
          <cell r="B4653" t="str">
            <v>SMT</v>
          </cell>
          <cell r="C4653">
            <v>1</v>
          </cell>
          <cell r="D4653" t="e">
            <v>#N/A</v>
          </cell>
        </row>
        <row r="4654">
          <cell r="A4654" t="str">
            <v>1AE1A603Y3F9ABP-FE</v>
          </cell>
          <cell r="B4654" t="str">
            <v>SMT</v>
          </cell>
          <cell r="C4654">
            <v>1</v>
          </cell>
          <cell r="D4654" t="e">
            <v>#N/A</v>
          </cell>
        </row>
        <row r="4655">
          <cell r="A4655" t="str">
            <v>1HT1A603Y3F9ABP-FE</v>
          </cell>
          <cell r="B4655" t="str">
            <v>SMT</v>
          </cell>
          <cell r="C4655">
            <v>1</v>
          </cell>
          <cell r="D4655" t="e">
            <v>#N/A</v>
          </cell>
        </row>
        <row r="4656">
          <cell r="A4656" t="str">
            <v>1CM1A603Y-3J0A-FE</v>
          </cell>
          <cell r="B4656" t="str">
            <v>SMT</v>
          </cell>
          <cell r="C4656">
            <v>1</v>
          </cell>
          <cell r="D4656" t="e">
            <v>#N/A</v>
          </cell>
          <cell r="E4656">
            <v>6210</v>
          </cell>
          <cell r="F4656" t="str">
            <v>VG01</v>
          </cell>
          <cell r="G4656" t="str">
            <v>Auto</v>
          </cell>
          <cell r="H4656">
            <v>311</v>
          </cell>
          <cell r="I4656">
            <v>6210</v>
          </cell>
          <cell r="J4656">
            <v>6220</v>
          </cell>
          <cell r="K4656" t="str">
            <v>VG01</v>
          </cell>
        </row>
        <row r="4657">
          <cell r="A4657" t="str">
            <v>1RH1A603Y-3J0A-FE</v>
          </cell>
          <cell r="B4657" t="str">
            <v>SMT</v>
          </cell>
          <cell r="C4657">
            <v>1</v>
          </cell>
          <cell r="D4657" t="e">
            <v>#N/A</v>
          </cell>
        </row>
        <row r="4658">
          <cell r="A4658" t="str">
            <v>1TE1A603Y-3J0A-FE</v>
          </cell>
          <cell r="B4658" t="str">
            <v>SMT</v>
          </cell>
          <cell r="C4658">
            <v>1</v>
          </cell>
          <cell r="D4658" t="e">
            <v>#N/A</v>
          </cell>
        </row>
        <row r="4659">
          <cell r="A4659" t="str">
            <v>1AE1A603Y-3J0A-FE</v>
          </cell>
          <cell r="B4659" t="str">
            <v>SMT</v>
          </cell>
          <cell r="C4659">
            <v>1</v>
          </cell>
          <cell r="D4659" t="e">
            <v>#N/A</v>
          </cell>
        </row>
        <row r="4660">
          <cell r="A4660" t="str">
            <v>1HT1A603Y-3J0A-FE</v>
          </cell>
          <cell r="B4660" t="str">
            <v>SMT</v>
          </cell>
          <cell r="C4660">
            <v>1</v>
          </cell>
          <cell r="D4660" t="e">
            <v>#N/A</v>
          </cell>
        </row>
        <row r="4661">
          <cell r="A4661" t="str">
            <v>1CM1A603Y-3J3A-FES</v>
          </cell>
          <cell r="B4661" t="str">
            <v>SMT</v>
          </cell>
          <cell r="C4661">
            <v>1</v>
          </cell>
          <cell r="D4661" t="e">
            <v>#N/A</v>
          </cell>
          <cell r="E4661">
            <v>6210</v>
          </cell>
          <cell r="F4661" t="str">
            <v>VG01</v>
          </cell>
          <cell r="G4661" t="str">
            <v>Auto</v>
          </cell>
          <cell r="H4661">
            <v>311</v>
          </cell>
          <cell r="I4661">
            <v>6210</v>
          </cell>
          <cell r="J4661">
            <v>6220</v>
          </cell>
          <cell r="K4661" t="str">
            <v>VG01</v>
          </cell>
        </row>
        <row r="4662">
          <cell r="A4662" t="str">
            <v>1RH1A603Y-3J3A-FES</v>
          </cell>
          <cell r="B4662" t="str">
            <v>SMT</v>
          </cell>
          <cell r="C4662">
            <v>1</v>
          </cell>
          <cell r="D4662" t="e">
            <v>#N/A</v>
          </cell>
        </row>
        <row r="4663">
          <cell r="A4663" t="str">
            <v>1TE1A603Y-3J3A-FES</v>
          </cell>
          <cell r="B4663" t="str">
            <v>SMT</v>
          </cell>
          <cell r="C4663">
            <v>1</v>
          </cell>
          <cell r="D4663" t="e">
            <v>#N/A</v>
          </cell>
        </row>
        <row r="4664">
          <cell r="A4664" t="str">
            <v>1AE1A603Y-3J3A-FES</v>
          </cell>
          <cell r="B4664" t="str">
            <v>SMT</v>
          </cell>
          <cell r="C4664">
            <v>1</v>
          </cell>
          <cell r="D4664" t="e">
            <v>#N/A</v>
          </cell>
        </row>
        <row r="4665">
          <cell r="A4665" t="str">
            <v>1HT1A603Y-3J3A-FES</v>
          </cell>
          <cell r="B4665" t="str">
            <v>SMT</v>
          </cell>
          <cell r="C4665">
            <v>1</v>
          </cell>
          <cell r="D4665" t="e">
            <v>#N/A</v>
          </cell>
        </row>
        <row r="4666">
          <cell r="A4666" t="str">
            <v>1CM1A603Y3J9ABP-FE</v>
          </cell>
          <cell r="B4666" t="str">
            <v>SMT</v>
          </cell>
          <cell r="C4666">
            <v>1</v>
          </cell>
          <cell r="D4666" t="e">
            <v>#N/A</v>
          </cell>
          <cell r="E4666">
            <v>6210</v>
          </cell>
          <cell r="F4666" t="str">
            <v>VG01</v>
          </cell>
          <cell r="G4666" t="str">
            <v>Auto</v>
          </cell>
          <cell r="H4666">
            <v>311</v>
          </cell>
          <cell r="I4666">
            <v>6210</v>
          </cell>
          <cell r="J4666">
            <v>6220</v>
          </cell>
          <cell r="K4666" t="str">
            <v>VG01</v>
          </cell>
        </row>
        <row r="4667">
          <cell r="A4667" t="str">
            <v>1RH1A603Y3J9ABP-FE</v>
          </cell>
          <cell r="B4667" t="str">
            <v>SMT</v>
          </cell>
          <cell r="C4667">
            <v>1</v>
          </cell>
          <cell r="D4667" t="e">
            <v>#N/A</v>
          </cell>
        </row>
        <row r="4668">
          <cell r="A4668" t="str">
            <v>1TE1A603Y3J9ABP-FE</v>
          </cell>
          <cell r="B4668" t="str">
            <v>SMT</v>
          </cell>
          <cell r="C4668">
            <v>1</v>
          </cell>
          <cell r="D4668" t="e">
            <v>#N/A</v>
          </cell>
        </row>
        <row r="4669">
          <cell r="A4669" t="str">
            <v>1AE1A603Y3J9ABP-FE</v>
          </cell>
          <cell r="B4669" t="str">
            <v>SMT</v>
          </cell>
          <cell r="C4669">
            <v>1</v>
          </cell>
          <cell r="D4669" t="e">
            <v>#N/A</v>
          </cell>
        </row>
        <row r="4670">
          <cell r="A4670" t="str">
            <v>1HT1A603Y3J9ABP-FE</v>
          </cell>
          <cell r="B4670" t="str">
            <v>SMT</v>
          </cell>
          <cell r="C4670">
            <v>1</v>
          </cell>
          <cell r="D4670" t="e">
            <v>#N/A</v>
          </cell>
        </row>
        <row r="4671">
          <cell r="A4671" t="str">
            <v>1RE2CH457P</v>
          </cell>
          <cell r="B4671" t="str">
            <v>SMT</v>
          </cell>
          <cell r="C4671">
            <v>1</v>
          </cell>
          <cell r="D4671">
            <v>107</v>
          </cell>
          <cell r="E4671">
            <v>9210</v>
          </cell>
          <cell r="F4671" t="str">
            <v>VE01</v>
          </cell>
          <cell r="G4671" t="str">
            <v>Auto</v>
          </cell>
          <cell r="H4671">
            <v>311</v>
          </cell>
          <cell r="I4671">
            <v>9210</v>
          </cell>
          <cell r="J4671">
            <v>9340</v>
          </cell>
          <cell r="K4671" t="str">
            <v>VE01</v>
          </cell>
        </row>
        <row r="4672">
          <cell r="A4672" t="str">
            <v>1RE1CH457P</v>
          </cell>
          <cell r="B4672" t="str">
            <v>SMT</v>
          </cell>
          <cell r="C4672">
            <v>1</v>
          </cell>
          <cell r="D4672">
            <v>91</v>
          </cell>
        </row>
        <row r="4673">
          <cell r="A4673" t="str">
            <v>1VJ1CH457P</v>
          </cell>
          <cell r="B4673" t="str">
            <v>SMT</v>
          </cell>
          <cell r="C4673">
            <v>1</v>
          </cell>
          <cell r="D4673">
            <v>1</v>
          </cell>
        </row>
        <row r="4674">
          <cell r="A4674" t="str">
            <v>PULB1023ZA-GL</v>
          </cell>
          <cell r="B4674" t="str">
            <v>SMT</v>
          </cell>
          <cell r="C4674">
            <v>1</v>
          </cell>
          <cell r="D4674" t="e">
            <v>#N/A</v>
          </cell>
        </row>
        <row r="4675">
          <cell r="A4675" t="str">
            <v>3RE2CH457P</v>
          </cell>
          <cell r="B4675" t="str">
            <v>SMT</v>
          </cell>
          <cell r="C4675">
            <v>1</v>
          </cell>
          <cell r="D4675">
            <v>7</v>
          </cell>
          <cell r="E4675">
            <v>9210</v>
          </cell>
          <cell r="F4675" t="str">
            <v>VE01</v>
          </cell>
          <cell r="G4675" t="str">
            <v>Auto</v>
          </cell>
          <cell r="H4675">
            <v>311</v>
          </cell>
          <cell r="I4675">
            <v>9210</v>
          </cell>
          <cell r="J4675">
            <v>9340</v>
          </cell>
          <cell r="K4675" t="str">
            <v>VE01</v>
          </cell>
        </row>
        <row r="4676">
          <cell r="A4676" t="str">
            <v>3RE1CH457P</v>
          </cell>
          <cell r="B4676" t="str">
            <v>SMT</v>
          </cell>
          <cell r="C4676">
            <v>1</v>
          </cell>
          <cell r="D4676">
            <v>14</v>
          </cell>
        </row>
        <row r="4677">
          <cell r="A4677" t="str">
            <v>2RE1CH457P</v>
          </cell>
          <cell r="B4677" t="str">
            <v>SMT</v>
          </cell>
          <cell r="C4677">
            <v>1</v>
          </cell>
          <cell r="D4677">
            <v>81</v>
          </cell>
          <cell r="E4677">
            <v>9210</v>
          </cell>
          <cell r="F4677" t="str">
            <v>VE01</v>
          </cell>
          <cell r="G4677" t="str">
            <v>Auto</v>
          </cell>
          <cell r="H4677">
            <v>311</v>
          </cell>
          <cell r="I4677">
            <v>9210</v>
          </cell>
          <cell r="J4677">
            <v>9340</v>
          </cell>
          <cell r="K4677" t="str">
            <v>VE01</v>
          </cell>
        </row>
        <row r="4678">
          <cell r="A4678" t="str">
            <v>PGLB2093ZA-6H</v>
          </cell>
          <cell r="B4678" t="str">
            <v>SMT</v>
          </cell>
          <cell r="C4678">
            <v>1</v>
          </cell>
          <cell r="D4678">
            <v>1</v>
          </cell>
        </row>
        <row r="4679">
          <cell r="A4679" t="str">
            <v>1RE2SMS19-V4</v>
          </cell>
          <cell r="B4679" t="str">
            <v>SMT</v>
          </cell>
          <cell r="C4679">
            <v>1</v>
          </cell>
          <cell r="D4679">
            <v>87</v>
          </cell>
          <cell r="E4679">
            <v>9210</v>
          </cell>
          <cell r="F4679" t="str">
            <v>VE01</v>
          </cell>
          <cell r="G4679" t="str">
            <v>Auto</v>
          </cell>
          <cell r="H4679">
            <v>311</v>
          </cell>
          <cell r="I4679">
            <v>9210</v>
          </cell>
          <cell r="J4679">
            <v>9340</v>
          </cell>
          <cell r="K4679" t="str">
            <v>VE01</v>
          </cell>
        </row>
        <row r="4680">
          <cell r="A4680" t="str">
            <v>1RE1SMS19-V4</v>
          </cell>
          <cell r="B4680" t="str">
            <v>SMT</v>
          </cell>
          <cell r="C4680">
            <v>1</v>
          </cell>
          <cell r="D4680">
            <v>82</v>
          </cell>
        </row>
        <row r="4681">
          <cell r="A4681" t="str">
            <v>1VJ1SMS19-V4</v>
          </cell>
          <cell r="B4681" t="str">
            <v>SMT</v>
          </cell>
          <cell r="C4681">
            <v>1</v>
          </cell>
          <cell r="D4681" t="e">
            <v>#N/A</v>
          </cell>
        </row>
        <row r="4682">
          <cell r="A4682" t="str">
            <v>1RE2SRB20YSZB-V4</v>
          </cell>
          <cell r="B4682" t="str">
            <v>SMT</v>
          </cell>
          <cell r="C4682">
            <v>1</v>
          </cell>
          <cell r="D4682">
            <v>568</v>
          </cell>
          <cell r="E4682">
            <v>9210</v>
          </cell>
          <cell r="F4682" t="str">
            <v>VE01</v>
          </cell>
          <cell r="G4682" t="str">
            <v>Auto</v>
          </cell>
          <cell r="H4682">
            <v>311</v>
          </cell>
          <cell r="I4682">
            <v>9210</v>
          </cell>
          <cell r="J4682">
            <v>9220</v>
          </cell>
          <cell r="K4682" t="str">
            <v>VE01</v>
          </cell>
        </row>
        <row r="4683">
          <cell r="A4683" t="str">
            <v>1RE2SRB20YSZE-V4</v>
          </cell>
          <cell r="B4683" t="str">
            <v>SMT</v>
          </cell>
          <cell r="C4683">
            <v>1</v>
          </cell>
          <cell r="D4683">
            <v>568</v>
          </cell>
          <cell r="E4683">
            <v>9210</v>
          </cell>
          <cell r="F4683" t="str">
            <v>VE01</v>
          </cell>
          <cell r="G4683" t="str">
            <v>Auto</v>
          </cell>
          <cell r="H4683">
            <v>311</v>
          </cell>
          <cell r="I4683">
            <v>9210</v>
          </cell>
          <cell r="J4683">
            <v>9220</v>
          </cell>
          <cell r="K4683" t="str">
            <v>VE01</v>
          </cell>
        </row>
        <row r="4684">
          <cell r="A4684" t="str">
            <v>1RE1SRB20YSZB-V4</v>
          </cell>
          <cell r="B4684" t="str">
            <v>SMT</v>
          </cell>
          <cell r="C4684">
            <v>1</v>
          </cell>
          <cell r="D4684">
            <v>293</v>
          </cell>
        </row>
        <row r="4685">
          <cell r="A4685" t="str">
            <v>1VJ1SRB20YSZB-V4</v>
          </cell>
          <cell r="B4685" t="str">
            <v>SMT</v>
          </cell>
          <cell r="C4685">
            <v>1</v>
          </cell>
          <cell r="D4685" t="e">
            <v>#N/A</v>
          </cell>
        </row>
        <row r="4686">
          <cell r="A4686" t="str">
            <v>1VJ2SRB20-V4</v>
          </cell>
          <cell r="B4686" t="str">
            <v>SMT</v>
          </cell>
          <cell r="C4686">
            <v>1</v>
          </cell>
          <cell r="D4686" t="e">
            <v>#N/A</v>
          </cell>
        </row>
        <row r="4687">
          <cell r="A4687" t="str">
            <v>PGLB1751TA-WK</v>
          </cell>
          <cell r="B4687" t="str">
            <v>SMT</v>
          </cell>
          <cell r="C4687">
            <v>1</v>
          </cell>
          <cell r="D4687" t="e">
            <v>#N/A</v>
          </cell>
        </row>
        <row r="4688">
          <cell r="A4688" t="str">
            <v>1RE2SHH14YSZB-V4</v>
          </cell>
          <cell r="B4688" t="str">
            <v>SMT</v>
          </cell>
          <cell r="C4688">
            <v>1</v>
          </cell>
          <cell r="D4688">
            <v>104</v>
          </cell>
          <cell r="E4688">
            <v>9210</v>
          </cell>
          <cell r="F4688" t="str">
            <v>VE01</v>
          </cell>
          <cell r="G4688" t="str">
            <v>Auto</v>
          </cell>
          <cell r="H4688">
            <v>311</v>
          </cell>
          <cell r="I4688">
            <v>9210</v>
          </cell>
          <cell r="J4688">
            <v>9340</v>
          </cell>
          <cell r="K4688" t="str">
            <v>VE01</v>
          </cell>
        </row>
        <row r="4689">
          <cell r="A4689" t="str">
            <v>1RE1SHH14YSZB-V4</v>
          </cell>
          <cell r="B4689" t="str">
            <v>SMT</v>
          </cell>
          <cell r="C4689">
            <v>1</v>
          </cell>
          <cell r="D4689">
            <v>110</v>
          </cell>
        </row>
        <row r="4690">
          <cell r="A4690" t="str">
            <v>1VJ1SHH14YSZB-V4</v>
          </cell>
          <cell r="B4690" t="str">
            <v>SMT</v>
          </cell>
          <cell r="C4690">
            <v>1</v>
          </cell>
          <cell r="D4690" t="e">
            <v>#N/A</v>
          </cell>
        </row>
        <row r="4691">
          <cell r="A4691" t="str">
            <v>PGLB1753XA-GL</v>
          </cell>
          <cell r="B4691" t="str">
            <v>SMT</v>
          </cell>
          <cell r="C4691">
            <v>1</v>
          </cell>
          <cell r="D4691" t="e">
            <v>#N/A</v>
          </cell>
        </row>
        <row r="4692">
          <cell r="A4692" t="str">
            <v>1RE2SRC14YSZE-V4</v>
          </cell>
          <cell r="B4692" t="str">
            <v>SMT</v>
          </cell>
          <cell r="C4692">
            <v>1</v>
          </cell>
          <cell r="D4692">
            <v>567</v>
          </cell>
          <cell r="E4692">
            <v>9210</v>
          </cell>
          <cell r="F4692" t="str">
            <v>VE01</v>
          </cell>
          <cell r="G4692" t="str">
            <v>Auto</v>
          </cell>
          <cell r="H4692">
            <v>311</v>
          </cell>
          <cell r="I4692">
            <v>9210</v>
          </cell>
          <cell r="J4692">
            <v>9220</v>
          </cell>
          <cell r="K4692" t="str">
            <v>VE01</v>
          </cell>
        </row>
        <row r="4693">
          <cell r="A4693" t="str">
            <v>1RE2SRC14YSZB-V4</v>
          </cell>
          <cell r="B4693" t="str">
            <v>SMT</v>
          </cell>
          <cell r="C4693">
            <v>1</v>
          </cell>
          <cell r="D4693">
            <v>567</v>
          </cell>
          <cell r="E4693">
            <v>9210</v>
          </cell>
          <cell r="F4693" t="str">
            <v>VE01</v>
          </cell>
          <cell r="G4693" t="str">
            <v>Auto</v>
          </cell>
          <cell r="H4693">
            <v>311</v>
          </cell>
          <cell r="I4693">
            <v>9210</v>
          </cell>
          <cell r="J4693">
            <v>9220</v>
          </cell>
          <cell r="K4693" t="str">
            <v>VE01</v>
          </cell>
        </row>
        <row r="4694">
          <cell r="A4694" t="str">
            <v>1RE1SRC14YSZB-V4</v>
          </cell>
          <cell r="B4694" t="str">
            <v>SMT</v>
          </cell>
          <cell r="C4694">
            <v>1</v>
          </cell>
          <cell r="D4694">
            <v>293</v>
          </cell>
        </row>
        <row r="4695">
          <cell r="A4695" t="str">
            <v>1VJ1SRC14YSZB-V4</v>
          </cell>
          <cell r="B4695" t="str">
            <v>SMT</v>
          </cell>
          <cell r="C4695">
            <v>1</v>
          </cell>
          <cell r="D4695" t="e">
            <v>#N/A</v>
          </cell>
        </row>
        <row r="4696">
          <cell r="A4696" t="str">
            <v>1VJ2SRC14YDYS-V4</v>
          </cell>
          <cell r="B4696" t="str">
            <v>SMT</v>
          </cell>
          <cell r="C4696">
            <v>1</v>
          </cell>
          <cell r="D4696" t="e">
            <v>#N/A</v>
          </cell>
        </row>
        <row r="4697">
          <cell r="A4697" t="str">
            <v>1RE2STD14YSZB-V4</v>
          </cell>
          <cell r="B4697" t="str">
            <v>SMT</v>
          </cell>
          <cell r="C4697">
            <v>1</v>
          </cell>
          <cell r="D4697">
            <v>151</v>
          </cell>
          <cell r="E4697">
            <v>9210</v>
          </cell>
          <cell r="F4697" t="str">
            <v>VE01</v>
          </cell>
          <cell r="G4697" t="str">
            <v>Auto</v>
          </cell>
          <cell r="H4697">
            <v>311</v>
          </cell>
          <cell r="I4697">
            <v>9210</v>
          </cell>
          <cell r="J4697">
            <v>9340</v>
          </cell>
          <cell r="K4697" t="str">
            <v>VE01</v>
          </cell>
        </row>
        <row r="4698">
          <cell r="A4698" t="str">
            <v>1RE1STD14YSZB-V4</v>
          </cell>
          <cell r="B4698" t="str">
            <v>SMT</v>
          </cell>
          <cell r="C4698">
            <v>1</v>
          </cell>
          <cell r="D4698">
            <v>93</v>
          </cell>
        </row>
        <row r="4699">
          <cell r="A4699" t="str">
            <v>1VJ1STD14YSZB-V4</v>
          </cell>
          <cell r="B4699" t="str">
            <v>SMT</v>
          </cell>
          <cell r="C4699">
            <v>1</v>
          </cell>
          <cell r="D4699" t="e">
            <v>#N/A</v>
          </cell>
        </row>
        <row r="4700">
          <cell r="A4700" t="str">
            <v>PGLB1754XA-GL</v>
          </cell>
          <cell r="B4700" t="str">
            <v>SMT</v>
          </cell>
          <cell r="C4700">
            <v>1</v>
          </cell>
          <cell r="D4700" t="e">
            <v>#N/A</v>
          </cell>
        </row>
        <row r="4701">
          <cell r="A4701" t="str">
            <v>Nhập kho</v>
          </cell>
          <cell r="B4701" t="str">
            <v>Stock</v>
          </cell>
          <cell r="C4701">
            <v>1</v>
          </cell>
          <cell r="D4701" t="e">
            <v>#N/A</v>
          </cell>
          <cell r="E4701">
            <v>2210</v>
          </cell>
        </row>
        <row r="4702">
          <cell r="A4702" t="str">
            <v>1AP1NS5172XVN</v>
          </cell>
          <cell r="B4702" t="str">
            <v>DIP</v>
          </cell>
          <cell r="C4702">
            <v>1</v>
          </cell>
          <cell r="D4702" t="e">
            <v>#N/A</v>
          </cell>
          <cell r="E4702">
            <v>2210</v>
          </cell>
          <cell r="F4702" t="str">
            <v>VC01</v>
          </cell>
          <cell r="G4702" t="str">
            <v>Auto</v>
          </cell>
          <cell r="H4702">
            <v>311</v>
          </cell>
          <cell r="I4702">
            <v>2210</v>
          </cell>
          <cell r="J4702">
            <v>2310</v>
          </cell>
          <cell r="K4702" t="str">
            <v>VC01</v>
          </cell>
        </row>
        <row r="4703">
          <cell r="A4703" t="str">
            <v>1RE1LPFG520REAYA</v>
          </cell>
          <cell r="B4703" t="str">
            <v>SMT</v>
          </cell>
          <cell r="C4703">
            <v>1</v>
          </cell>
          <cell r="D4703">
            <v>55</v>
          </cell>
        </row>
        <row r="4704">
          <cell r="A4704" t="str">
            <v>1RE1LPFG520RDAYA</v>
          </cell>
          <cell r="B4704" t="str">
            <v>SMT</v>
          </cell>
          <cell r="C4704">
            <v>1</v>
          </cell>
          <cell r="D4704">
            <v>51</v>
          </cell>
        </row>
        <row r="4705">
          <cell r="A4705" t="str">
            <v>1RE1LPFG520RBAZA</v>
          </cell>
          <cell r="B4705" t="str">
            <v>SMT</v>
          </cell>
          <cell r="C4705">
            <v>1</v>
          </cell>
          <cell r="D4705">
            <v>48</v>
          </cell>
        </row>
        <row r="4706">
          <cell r="A4706" t="str">
            <v>1RE1LPFG520RDAZA</v>
          </cell>
          <cell r="B4706" t="str">
            <v>SMT</v>
          </cell>
          <cell r="C4706">
            <v>1</v>
          </cell>
          <cell r="D4706">
            <v>51</v>
          </cell>
        </row>
        <row r="4707">
          <cell r="A4707" t="str">
            <v>1AE1A603L-3J0A-P1</v>
          </cell>
          <cell r="B4707" t="str">
            <v>SMT</v>
          </cell>
          <cell r="C4707">
            <v>1</v>
          </cell>
          <cell r="D4707">
            <v>57</v>
          </cell>
        </row>
        <row r="4708">
          <cell r="A4708" t="str">
            <v>1AE1A603L-3J3A-P1</v>
          </cell>
          <cell r="B4708" t="str">
            <v>SMT</v>
          </cell>
          <cell r="C4708">
            <v>1</v>
          </cell>
          <cell r="D4708">
            <v>74</v>
          </cell>
        </row>
        <row r="4709">
          <cell r="A4709" t="str">
            <v>1AE1A603L-3K50-P1</v>
          </cell>
          <cell r="B4709" t="str">
            <v>SMT</v>
          </cell>
          <cell r="C4709">
            <v>1</v>
          </cell>
          <cell r="D4709">
            <v>57</v>
          </cell>
        </row>
        <row r="4710">
          <cell r="A4710" t="str">
            <v>1AE1A603L3E6AAP-P1</v>
          </cell>
          <cell r="B4710" t="str">
            <v>SMT</v>
          </cell>
          <cell r="C4710">
            <v>1</v>
          </cell>
          <cell r="D4710">
            <v>60</v>
          </cell>
        </row>
        <row r="4711">
          <cell r="A4711" t="str">
            <v>1AE1A603L3E8AAP-P1</v>
          </cell>
          <cell r="B4711" t="str">
            <v>SMT</v>
          </cell>
          <cell r="C4711">
            <v>1</v>
          </cell>
          <cell r="D4711">
            <v>59</v>
          </cell>
        </row>
        <row r="4712">
          <cell r="A4712" t="str">
            <v>1AE1A603L3F0AAP-P1</v>
          </cell>
          <cell r="B4712" t="str">
            <v>SMT</v>
          </cell>
          <cell r="C4712">
            <v>1</v>
          </cell>
          <cell r="D4712">
            <v>60</v>
          </cell>
        </row>
        <row r="4713">
          <cell r="A4713" t="str">
            <v>1AE1A603L3F6AEU-P1</v>
          </cell>
          <cell r="B4713" t="str">
            <v>SMT</v>
          </cell>
          <cell r="C4713">
            <v>1</v>
          </cell>
          <cell r="D4713">
            <v>60</v>
          </cell>
        </row>
        <row r="4714">
          <cell r="A4714" t="str">
            <v>1AE1A603L3F7AEU-P1</v>
          </cell>
          <cell r="B4714" t="str">
            <v>SMT</v>
          </cell>
          <cell r="C4714">
            <v>1</v>
          </cell>
          <cell r="D4714">
            <v>60</v>
          </cell>
        </row>
        <row r="4715">
          <cell r="A4715" t="str">
            <v>1AE1A603L3F9ABP-P1</v>
          </cell>
          <cell r="B4715" t="str">
            <v>SMT</v>
          </cell>
          <cell r="C4715">
            <v>1</v>
          </cell>
          <cell r="D4715">
            <v>59</v>
          </cell>
        </row>
        <row r="4716">
          <cell r="A4716" t="str">
            <v>1AE1A603L3F9AWT-P1</v>
          </cell>
          <cell r="B4716" t="str">
            <v>SMT</v>
          </cell>
          <cell r="C4716">
            <v>1</v>
          </cell>
          <cell r="D4716">
            <v>59</v>
          </cell>
        </row>
        <row r="4717">
          <cell r="A4717" t="str">
            <v>1AE1A603L3G0ABP-P1 U</v>
          </cell>
          <cell r="B4717" t="str">
            <v>SMT</v>
          </cell>
          <cell r="C4717">
            <v>1</v>
          </cell>
          <cell r="D4717" t="e">
            <v>#N/A</v>
          </cell>
        </row>
        <row r="4718">
          <cell r="A4718" t="str">
            <v>1AE1A603L3G1AEU-P1</v>
          </cell>
          <cell r="B4718" t="str">
            <v>SMT</v>
          </cell>
          <cell r="C4718">
            <v>1</v>
          </cell>
          <cell r="D4718">
            <v>60</v>
          </cell>
        </row>
        <row r="4719">
          <cell r="A4719" t="str">
            <v>1AE1A603L3G2AEU-P1</v>
          </cell>
          <cell r="B4719" t="str">
            <v>SMT</v>
          </cell>
          <cell r="C4719">
            <v>1</v>
          </cell>
          <cell r="D4719">
            <v>60</v>
          </cell>
        </row>
        <row r="4720">
          <cell r="A4720" t="str">
            <v>1AE1A603L3H7AAP-P1</v>
          </cell>
          <cell r="B4720" t="str">
            <v>SMT</v>
          </cell>
          <cell r="C4720">
            <v>1</v>
          </cell>
          <cell r="D4720">
            <v>57</v>
          </cell>
        </row>
        <row r="4721">
          <cell r="A4721" t="str">
            <v>1AE1A603L3H8AAP-P1</v>
          </cell>
          <cell r="B4721" t="str">
            <v>SMT</v>
          </cell>
          <cell r="C4721">
            <v>1</v>
          </cell>
          <cell r="D4721">
            <v>56</v>
          </cell>
        </row>
        <row r="4722">
          <cell r="A4722" t="str">
            <v>1AE1A603L3H9AAP-P1</v>
          </cell>
          <cell r="B4722" t="str">
            <v>SMT</v>
          </cell>
          <cell r="C4722">
            <v>1</v>
          </cell>
          <cell r="D4722">
            <v>57</v>
          </cell>
        </row>
        <row r="4723">
          <cell r="A4723" t="str">
            <v>1AE1A603L3J1AP2-P1</v>
          </cell>
          <cell r="B4723" t="str">
            <v>SMT</v>
          </cell>
          <cell r="C4723">
            <v>1</v>
          </cell>
          <cell r="D4723">
            <v>65</v>
          </cell>
        </row>
        <row r="4724">
          <cell r="A4724" t="str">
            <v>1AE1A603L3J9ABP-P1</v>
          </cell>
          <cell r="B4724" t="str">
            <v>SMT</v>
          </cell>
          <cell r="C4724">
            <v>1</v>
          </cell>
          <cell r="D4724">
            <v>54</v>
          </cell>
        </row>
        <row r="4725">
          <cell r="A4725" t="str">
            <v>1AE1A603L3K4ATP-P1</v>
          </cell>
          <cell r="B4725" t="str">
            <v>SMT</v>
          </cell>
          <cell r="C4725">
            <v>1</v>
          </cell>
          <cell r="D4725">
            <v>60</v>
          </cell>
        </row>
        <row r="4726">
          <cell r="A4726" t="str">
            <v>1AE1A603M-3J0A-P1</v>
          </cell>
          <cell r="B4726" t="str">
            <v>SMT</v>
          </cell>
          <cell r="C4726">
            <v>1</v>
          </cell>
          <cell r="D4726">
            <v>2</v>
          </cell>
          <cell r="E4726">
            <v>6210</v>
          </cell>
          <cell r="F4726" t="str">
            <v>VG01</v>
          </cell>
          <cell r="G4726" t="str">
            <v>Auto</v>
          </cell>
          <cell r="H4726">
            <v>311</v>
          </cell>
          <cell r="I4726">
            <v>6210</v>
          </cell>
          <cell r="J4726">
            <v>6220</v>
          </cell>
          <cell r="K4726" t="str">
            <v>VG01</v>
          </cell>
        </row>
        <row r="4727">
          <cell r="A4727" t="str">
            <v>1AE1A603M-3J3A-P1</v>
          </cell>
          <cell r="B4727" t="str">
            <v>SMT</v>
          </cell>
          <cell r="C4727">
            <v>1</v>
          </cell>
          <cell r="D4727">
            <v>1</v>
          </cell>
          <cell r="E4727">
            <v>6210</v>
          </cell>
          <cell r="F4727" t="str">
            <v>VG01</v>
          </cell>
          <cell r="G4727" t="str">
            <v>Auto</v>
          </cell>
          <cell r="H4727">
            <v>311</v>
          </cell>
          <cell r="I4727">
            <v>6210</v>
          </cell>
          <cell r="J4727">
            <v>6220</v>
          </cell>
          <cell r="K4727" t="str">
            <v>VG01</v>
          </cell>
        </row>
        <row r="4728">
          <cell r="A4728" t="str">
            <v>1AE1A603Y-3J0A-P1</v>
          </cell>
          <cell r="B4728" t="str">
            <v>SMT</v>
          </cell>
          <cell r="C4728">
            <v>1</v>
          </cell>
          <cell r="D4728">
            <v>21</v>
          </cell>
        </row>
        <row r="4729">
          <cell r="A4729" t="str">
            <v>1AE1A603Y-3J3A-P1</v>
          </cell>
          <cell r="B4729" t="str">
            <v>SMT</v>
          </cell>
          <cell r="C4729">
            <v>1</v>
          </cell>
          <cell r="D4729">
            <v>14</v>
          </cell>
        </row>
        <row r="4730">
          <cell r="A4730" t="str">
            <v>1AE1A603Y-3J8A-P1</v>
          </cell>
          <cell r="B4730" t="str">
            <v>SMT</v>
          </cell>
          <cell r="C4730">
            <v>1</v>
          </cell>
          <cell r="D4730">
            <v>15</v>
          </cell>
        </row>
        <row r="4731">
          <cell r="A4731" t="str">
            <v>1AE1A603Y3E6AAP-P1</v>
          </cell>
          <cell r="B4731" t="str">
            <v>SMT</v>
          </cell>
          <cell r="C4731">
            <v>1</v>
          </cell>
          <cell r="D4731">
            <v>19</v>
          </cell>
        </row>
        <row r="4732">
          <cell r="A4732" t="str">
            <v>1AE1A603Y3E6ACP-P1</v>
          </cell>
          <cell r="B4732" t="str">
            <v>SMT</v>
          </cell>
          <cell r="C4732">
            <v>1</v>
          </cell>
          <cell r="D4732">
            <v>20</v>
          </cell>
        </row>
        <row r="4733">
          <cell r="A4733" t="str">
            <v>1AE1A603Y3F0AAP-P1</v>
          </cell>
          <cell r="B4733" t="str">
            <v>SMT</v>
          </cell>
          <cell r="C4733">
            <v>1</v>
          </cell>
          <cell r="D4733">
            <v>19</v>
          </cell>
        </row>
        <row r="4734">
          <cell r="A4734" t="str">
            <v>1AE1A603Y3F0ACP-P1</v>
          </cell>
          <cell r="B4734" t="str">
            <v>SMT</v>
          </cell>
          <cell r="C4734">
            <v>1</v>
          </cell>
          <cell r="D4734">
            <v>20</v>
          </cell>
        </row>
        <row r="4735">
          <cell r="A4735" t="str">
            <v>1AE1A603Y3F9ABP-P1</v>
          </cell>
          <cell r="B4735" t="str">
            <v>SMT</v>
          </cell>
          <cell r="C4735">
            <v>1</v>
          </cell>
          <cell r="D4735">
            <v>20</v>
          </cell>
        </row>
        <row r="4736">
          <cell r="A4736" t="str">
            <v>1AE1A603Y3F9AMP-P1</v>
          </cell>
          <cell r="B4736" t="str">
            <v>SMT</v>
          </cell>
          <cell r="C4736">
            <v>1</v>
          </cell>
          <cell r="D4736">
            <v>19</v>
          </cell>
        </row>
        <row r="4737">
          <cell r="A4737" t="str">
            <v>1AE1A603Y3G1AEU-P1</v>
          </cell>
          <cell r="B4737" t="str">
            <v>SMT</v>
          </cell>
          <cell r="C4737">
            <v>1</v>
          </cell>
          <cell r="D4737">
            <v>20</v>
          </cell>
        </row>
        <row r="4738">
          <cell r="A4738" t="str">
            <v>1AE1A603Y3J9ABP-P1</v>
          </cell>
          <cell r="B4738" t="str">
            <v>SMT</v>
          </cell>
          <cell r="C4738">
            <v>1</v>
          </cell>
          <cell r="D4738">
            <v>21</v>
          </cell>
        </row>
        <row r="4739">
          <cell r="A4739" t="str">
            <v>1AE1A608B3G1AEU-P1</v>
          </cell>
          <cell r="B4739" t="str">
            <v>SMT</v>
          </cell>
          <cell r="C4739">
            <v>1</v>
          </cell>
          <cell r="D4739">
            <v>12</v>
          </cell>
          <cell r="E4739">
            <v>6210</v>
          </cell>
          <cell r="F4739" t="str">
            <v>VG01</v>
          </cell>
          <cell r="G4739" t="str">
            <v>Auto</v>
          </cell>
          <cell r="H4739">
            <v>311</v>
          </cell>
          <cell r="I4739">
            <v>6210</v>
          </cell>
          <cell r="J4739">
            <v>6220</v>
          </cell>
          <cell r="K4739" t="str">
            <v>VG01</v>
          </cell>
        </row>
        <row r="4740">
          <cell r="A4740" t="str">
            <v>1AE1A608B3H7AAP-P1</v>
          </cell>
          <cell r="B4740" t="str">
            <v>SMT</v>
          </cell>
          <cell r="C4740">
            <v>1</v>
          </cell>
          <cell r="D4740">
            <v>14</v>
          </cell>
          <cell r="E4740">
            <v>6210</v>
          </cell>
          <cell r="F4740" t="str">
            <v>VG01</v>
          </cell>
          <cell r="G4740" t="str">
            <v>Auto</v>
          </cell>
          <cell r="H4740">
            <v>311</v>
          </cell>
          <cell r="I4740">
            <v>6210</v>
          </cell>
          <cell r="J4740">
            <v>6220</v>
          </cell>
          <cell r="K4740" t="str">
            <v>VG01</v>
          </cell>
        </row>
        <row r="4741">
          <cell r="A4741" t="str">
            <v>1AE1A608B3H9AAP-P1</v>
          </cell>
          <cell r="B4741" t="str">
            <v>SMT</v>
          </cell>
          <cell r="C4741">
            <v>1</v>
          </cell>
          <cell r="D4741">
            <v>10</v>
          </cell>
          <cell r="E4741">
            <v>6210</v>
          </cell>
          <cell r="F4741" t="str">
            <v>VG01</v>
          </cell>
          <cell r="G4741" t="str">
            <v>Auto</v>
          </cell>
          <cell r="H4741">
            <v>311</v>
          </cell>
          <cell r="I4741">
            <v>6210</v>
          </cell>
          <cell r="J4741">
            <v>6220</v>
          </cell>
          <cell r="K4741" t="str">
            <v>VG01</v>
          </cell>
        </row>
        <row r="4742">
          <cell r="A4742" t="str">
            <v>1AE1J603L3J8AP2-P1</v>
          </cell>
          <cell r="B4742" t="str">
            <v>SMT</v>
          </cell>
          <cell r="C4742">
            <v>1</v>
          </cell>
          <cell r="D4742">
            <v>11</v>
          </cell>
        </row>
        <row r="4743">
          <cell r="A4743" t="str">
            <v>1CM1A603L-3J0A-P1</v>
          </cell>
          <cell r="B4743" t="str">
            <v>SMT</v>
          </cell>
          <cell r="C4743">
            <v>1</v>
          </cell>
          <cell r="D4743">
            <v>159</v>
          </cell>
          <cell r="E4743">
            <v>6210</v>
          </cell>
          <cell r="F4743" t="str">
            <v>VG01</v>
          </cell>
          <cell r="G4743" t="str">
            <v>Auto</v>
          </cell>
          <cell r="H4743">
            <v>311</v>
          </cell>
          <cell r="I4743">
            <v>6210</v>
          </cell>
          <cell r="J4743">
            <v>6220</v>
          </cell>
          <cell r="K4743" t="str">
            <v>VG01</v>
          </cell>
        </row>
        <row r="4744">
          <cell r="A4744" t="str">
            <v>1CM1A603L-3J3A-P1</v>
          </cell>
          <cell r="B4744" t="str">
            <v>SMT</v>
          </cell>
          <cell r="C4744">
            <v>1</v>
          </cell>
          <cell r="D4744">
            <v>222</v>
          </cell>
          <cell r="E4744">
            <v>6210</v>
          </cell>
          <cell r="F4744" t="str">
            <v>VG01</v>
          </cell>
          <cell r="G4744" t="str">
            <v>Auto</v>
          </cell>
          <cell r="H4744">
            <v>311</v>
          </cell>
          <cell r="I4744">
            <v>6210</v>
          </cell>
          <cell r="J4744">
            <v>6220</v>
          </cell>
          <cell r="K4744" t="str">
            <v>VG01</v>
          </cell>
        </row>
        <row r="4745">
          <cell r="A4745" t="str">
            <v>1CM1A603L-3K50-P1</v>
          </cell>
          <cell r="B4745" t="str">
            <v>SMT</v>
          </cell>
          <cell r="C4745">
            <v>1</v>
          </cell>
          <cell r="D4745">
            <v>159</v>
          </cell>
          <cell r="E4745">
            <v>6210</v>
          </cell>
          <cell r="F4745" t="str">
            <v>VG01</v>
          </cell>
          <cell r="G4745" t="str">
            <v>Auto</v>
          </cell>
          <cell r="H4745">
            <v>311</v>
          </cell>
          <cell r="I4745">
            <v>6210</v>
          </cell>
          <cell r="J4745">
            <v>6220</v>
          </cell>
          <cell r="K4745" t="str">
            <v>VG01</v>
          </cell>
        </row>
        <row r="4746">
          <cell r="A4746" t="str">
            <v>1CM1A603L3E6AAP-P1</v>
          </cell>
          <cell r="B4746" t="str">
            <v>SMT</v>
          </cell>
          <cell r="C4746">
            <v>1</v>
          </cell>
          <cell r="D4746">
            <v>114</v>
          </cell>
          <cell r="E4746">
            <v>6210</v>
          </cell>
          <cell r="F4746" t="str">
            <v>VG01</v>
          </cell>
          <cell r="G4746" t="str">
            <v>Auto</v>
          </cell>
          <cell r="H4746">
            <v>311</v>
          </cell>
          <cell r="I4746">
            <v>6210</v>
          </cell>
          <cell r="J4746">
            <v>6220</v>
          </cell>
          <cell r="K4746" t="str">
            <v>VG01</v>
          </cell>
        </row>
        <row r="4747">
          <cell r="A4747" t="str">
            <v>1CM1A603L3E8AAP-P1</v>
          </cell>
          <cell r="B4747" t="str">
            <v>SMT</v>
          </cell>
          <cell r="C4747">
            <v>1</v>
          </cell>
          <cell r="D4747">
            <v>114</v>
          </cell>
          <cell r="E4747">
            <v>6210</v>
          </cell>
          <cell r="F4747" t="str">
            <v>VG01</v>
          </cell>
          <cell r="G4747" t="str">
            <v>Auto</v>
          </cell>
          <cell r="H4747">
            <v>311</v>
          </cell>
          <cell r="I4747">
            <v>6210</v>
          </cell>
          <cell r="J4747">
            <v>6220</v>
          </cell>
          <cell r="K4747" t="str">
            <v>VG01</v>
          </cell>
        </row>
        <row r="4748">
          <cell r="A4748" t="str">
            <v>1CM1A603L3F0AAP-P1</v>
          </cell>
          <cell r="B4748" t="str">
            <v>SMT</v>
          </cell>
          <cell r="C4748">
            <v>1</v>
          </cell>
          <cell r="D4748">
            <v>112</v>
          </cell>
          <cell r="E4748">
            <v>6210</v>
          </cell>
          <cell r="F4748" t="str">
            <v>VG01</v>
          </cell>
          <cell r="G4748" t="str">
            <v>Auto</v>
          </cell>
          <cell r="H4748">
            <v>311</v>
          </cell>
          <cell r="I4748">
            <v>6210</v>
          </cell>
          <cell r="J4748">
            <v>6220</v>
          </cell>
          <cell r="K4748" t="str">
            <v>VG01</v>
          </cell>
        </row>
        <row r="4749">
          <cell r="A4749" t="str">
            <v>1CM1A603L3F6AEU-P1</v>
          </cell>
          <cell r="B4749" t="str">
            <v>SMT</v>
          </cell>
          <cell r="C4749">
            <v>1</v>
          </cell>
          <cell r="D4749">
            <v>113</v>
          </cell>
          <cell r="E4749">
            <v>6210</v>
          </cell>
          <cell r="F4749" t="str">
            <v>VG01</v>
          </cell>
          <cell r="G4749" t="str">
            <v>Auto</v>
          </cell>
          <cell r="H4749">
            <v>311</v>
          </cell>
          <cell r="I4749">
            <v>6210</v>
          </cell>
          <cell r="J4749">
            <v>6220</v>
          </cell>
          <cell r="K4749" t="str">
            <v>VG01</v>
          </cell>
        </row>
        <row r="4750">
          <cell r="A4750" t="str">
            <v>1CM1A603L3F7AEU-P1</v>
          </cell>
          <cell r="B4750" t="str">
            <v>SMT</v>
          </cell>
          <cell r="C4750">
            <v>1</v>
          </cell>
          <cell r="D4750">
            <v>113</v>
          </cell>
          <cell r="E4750">
            <v>6210</v>
          </cell>
          <cell r="F4750" t="str">
            <v>VG01</v>
          </cell>
          <cell r="G4750" t="str">
            <v>Auto</v>
          </cell>
          <cell r="H4750">
            <v>311</v>
          </cell>
          <cell r="I4750">
            <v>6210</v>
          </cell>
          <cell r="J4750">
            <v>6220</v>
          </cell>
          <cell r="K4750" t="str">
            <v>VG01</v>
          </cell>
        </row>
        <row r="4751">
          <cell r="A4751" t="str">
            <v>1CM1A603L3F9ABP-P1</v>
          </cell>
          <cell r="B4751" t="str">
            <v>SMT</v>
          </cell>
          <cell r="C4751">
            <v>1</v>
          </cell>
          <cell r="D4751">
            <v>113</v>
          </cell>
          <cell r="E4751">
            <v>6210</v>
          </cell>
          <cell r="F4751" t="str">
            <v>VG01</v>
          </cell>
          <cell r="G4751" t="str">
            <v>Auto</v>
          </cell>
          <cell r="H4751">
            <v>311</v>
          </cell>
          <cell r="I4751">
            <v>6210</v>
          </cell>
          <cell r="J4751">
            <v>6220</v>
          </cell>
          <cell r="K4751" t="str">
            <v>VG01</v>
          </cell>
        </row>
        <row r="4752">
          <cell r="A4752" t="str">
            <v>1CM1A603L3F9AWT-P1</v>
          </cell>
          <cell r="B4752" t="str">
            <v>SMT</v>
          </cell>
          <cell r="C4752">
            <v>1</v>
          </cell>
          <cell r="D4752">
            <v>113</v>
          </cell>
          <cell r="E4752">
            <v>6210</v>
          </cell>
          <cell r="F4752" t="str">
            <v>VG01</v>
          </cell>
          <cell r="G4752" t="str">
            <v>Auto</v>
          </cell>
          <cell r="H4752">
            <v>311</v>
          </cell>
          <cell r="I4752">
            <v>6210</v>
          </cell>
          <cell r="J4752">
            <v>6220</v>
          </cell>
          <cell r="K4752" t="str">
            <v>VG01</v>
          </cell>
        </row>
        <row r="4753">
          <cell r="A4753" t="str">
            <v>1CM1A603L3G0ABP-P1 U</v>
          </cell>
          <cell r="B4753" t="str">
            <v>SMT</v>
          </cell>
          <cell r="C4753">
            <v>1</v>
          </cell>
          <cell r="D4753" t="e">
            <v>#N/A</v>
          </cell>
        </row>
        <row r="4754">
          <cell r="A4754" t="str">
            <v>1CM1A603L3G1AEU-P1</v>
          </cell>
          <cell r="B4754" t="str">
            <v>SMT</v>
          </cell>
          <cell r="C4754">
            <v>1</v>
          </cell>
          <cell r="D4754">
            <v>113</v>
          </cell>
          <cell r="E4754">
            <v>6210</v>
          </cell>
          <cell r="F4754" t="str">
            <v>VG01</v>
          </cell>
          <cell r="G4754" t="str">
            <v>Auto</v>
          </cell>
          <cell r="H4754">
            <v>311</v>
          </cell>
          <cell r="I4754">
            <v>6210</v>
          </cell>
          <cell r="J4754">
            <v>6220</v>
          </cell>
          <cell r="K4754" t="str">
            <v>VG01</v>
          </cell>
        </row>
        <row r="4755">
          <cell r="A4755" t="str">
            <v>1CM1A603L3G2AEU-P1</v>
          </cell>
          <cell r="B4755" t="str">
            <v>SMT</v>
          </cell>
          <cell r="C4755">
            <v>1</v>
          </cell>
          <cell r="D4755">
            <v>113</v>
          </cell>
          <cell r="E4755">
            <v>6210</v>
          </cell>
          <cell r="F4755" t="str">
            <v>VG01</v>
          </cell>
          <cell r="G4755" t="str">
            <v>Auto</v>
          </cell>
          <cell r="H4755">
            <v>311</v>
          </cell>
          <cell r="I4755">
            <v>6210</v>
          </cell>
          <cell r="J4755">
            <v>6220</v>
          </cell>
          <cell r="K4755" t="str">
            <v>VG01</v>
          </cell>
        </row>
        <row r="4756">
          <cell r="A4756" t="str">
            <v>1CM1A603L3H7AAP-P1</v>
          </cell>
          <cell r="B4756" t="str">
            <v>SMT</v>
          </cell>
          <cell r="C4756">
            <v>1</v>
          </cell>
          <cell r="D4756">
            <v>115</v>
          </cell>
          <cell r="E4756">
            <v>6210</v>
          </cell>
          <cell r="F4756" t="str">
            <v>VG01</v>
          </cell>
          <cell r="G4756" t="str">
            <v>Auto</v>
          </cell>
          <cell r="H4756">
            <v>311</v>
          </cell>
          <cell r="I4756">
            <v>6210</v>
          </cell>
          <cell r="J4756">
            <v>6220</v>
          </cell>
          <cell r="K4756" t="str">
            <v>VG01</v>
          </cell>
        </row>
        <row r="4757">
          <cell r="A4757" t="str">
            <v>1CM1A603L3H8AAP-P1</v>
          </cell>
          <cell r="B4757" t="str">
            <v>SMT</v>
          </cell>
          <cell r="C4757">
            <v>1</v>
          </cell>
          <cell r="D4757">
            <v>115</v>
          </cell>
          <cell r="E4757">
            <v>6210</v>
          </cell>
          <cell r="F4757" t="str">
            <v>VG01</v>
          </cell>
          <cell r="G4757" t="str">
            <v>Auto</v>
          </cell>
          <cell r="H4757">
            <v>311</v>
          </cell>
          <cell r="I4757">
            <v>6210</v>
          </cell>
          <cell r="J4757">
            <v>6220</v>
          </cell>
          <cell r="K4757" t="str">
            <v>VG01</v>
          </cell>
        </row>
        <row r="4758">
          <cell r="A4758" t="str">
            <v>1CM1A603L3H9AAP-P1</v>
          </cell>
          <cell r="B4758" t="str">
            <v>SMT</v>
          </cell>
          <cell r="C4758">
            <v>1</v>
          </cell>
          <cell r="D4758">
            <v>113</v>
          </cell>
          <cell r="E4758">
            <v>6210</v>
          </cell>
          <cell r="F4758" t="str">
            <v>VG01</v>
          </cell>
          <cell r="G4758" t="str">
            <v>Auto</v>
          </cell>
          <cell r="H4758">
            <v>311</v>
          </cell>
          <cell r="I4758">
            <v>6210</v>
          </cell>
          <cell r="J4758">
            <v>6220</v>
          </cell>
          <cell r="K4758" t="str">
            <v>VG01</v>
          </cell>
        </row>
        <row r="4759">
          <cell r="A4759" t="str">
            <v>1CM1A603L3J1AP2-P1</v>
          </cell>
          <cell r="B4759" t="str">
            <v>SMT</v>
          </cell>
          <cell r="C4759">
            <v>1</v>
          </cell>
          <cell r="D4759">
            <v>179</v>
          </cell>
          <cell r="E4759">
            <v>6210</v>
          </cell>
          <cell r="F4759" t="str">
            <v>VG01</v>
          </cell>
          <cell r="G4759" t="str">
            <v>Auto</v>
          </cell>
          <cell r="H4759">
            <v>311</v>
          </cell>
          <cell r="I4759">
            <v>6210</v>
          </cell>
          <cell r="J4759">
            <v>6220</v>
          </cell>
          <cell r="K4759" t="str">
            <v>VG01</v>
          </cell>
        </row>
        <row r="4760">
          <cell r="A4760" t="str">
            <v>1CM1A603L3J9ABP-P1</v>
          </cell>
          <cell r="B4760" t="str">
            <v>SMT</v>
          </cell>
          <cell r="C4760">
            <v>1</v>
          </cell>
          <cell r="D4760">
            <v>168</v>
          </cell>
          <cell r="E4760">
            <v>6210</v>
          </cell>
          <cell r="F4760" t="str">
            <v>VG01</v>
          </cell>
          <cell r="G4760" t="str">
            <v>Auto</v>
          </cell>
          <cell r="H4760">
            <v>311</v>
          </cell>
          <cell r="I4760">
            <v>6210</v>
          </cell>
          <cell r="J4760">
            <v>6220</v>
          </cell>
          <cell r="K4760" t="str">
            <v>VG01</v>
          </cell>
        </row>
        <row r="4761">
          <cell r="A4761" t="str">
            <v>1CM1A603L3K4ATP-P1</v>
          </cell>
          <cell r="B4761" t="str">
            <v>SMT</v>
          </cell>
          <cell r="C4761">
            <v>1</v>
          </cell>
          <cell r="D4761">
            <v>113</v>
          </cell>
          <cell r="E4761">
            <v>6210</v>
          </cell>
          <cell r="F4761" t="str">
            <v>VG01</v>
          </cell>
          <cell r="G4761" t="str">
            <v>Auto</v>
          </cell>
          <cell r="H4761">
            <v>311</v>
          </cell>
          <cell r="I4761">
            <v>6210</v>
          </cell>
          <cell r="J4761">
            <v>6220</v>
          </cell>
          <cell r="K4761" t="str">
            <v>VG01</v>
          </cell>
        </row>
        <row r="4762">
          <cell r="A4762" t="str">
            <v>1CM1A603Y-3J0A-P1</v>
          </cell>
          <cell r="B4762" t="str">
            <v>SMT</v>
          </cell>
          <cell r="C4762">
            <v>1</v>
          </cell>
          <cell r="D4762">
            <v>49</v>
          </cell>
          <cell r="E4762">
            <v>6210</v>
          </cell>
          <cell r="F4762" t="str">
            <v>VG01</v>
          </cell>
          <cell r="G4762" t="str">
            <v>Auto</v>
          </cell>
          <cell r="H4762">
            <v>311</v>
          </cell>
          <cell r="I4762">
            <v>6210</v>
          </cell>
          <cell r="J4762">
            <v>6220</v>
          </cell>
          <cell r="K4762" t="str">
            <v>VG01</v>
          </cell>
        </row>
        <row r="4763">
          <cell r="A4763" t="str">
            <v>1CM1A603Y-3J3A-P1</v>
          </cell>
          <cell r="B4763" t="str">
            <v>SMT</v>
          </cell>
          <cell r="C4763">
            <v>1</v>
          </cell>
          <cell r="D4763">
            <v>41</v>
          </cell>
          <cell r="E4763">
            <v>6210</v>
          </cell>
          <cell r="F4763" t="str">
            <v>VG01</v>
          </cell>
          <cell r="G4763" t="str">
            <v>Auto</v>
          </cell>
          <cell r="H4763">
            <v>311</v>
          </cell>
          <cell r="I4763">
            <v>6210</v>
          </cell>
          <cell r="J4763">
            <v>6220</v>
          </cell>
          <cell r="K4763" t="str">
            <v>VG01</v>
          </cell>
        </row>
        <row r="4764">
          <cell r="A4764" t="str">
            <v>1CM1A603Y-3J8A-P1</v>
          </cell>
          <cell r="B4764" t="str">
            <v>SMT</v>
          </cell>
          <cell r="C4764">
            <v>1</v>
          </cell>
          <cell r="D4764">
            <v>48</v>
          </cell>
          <cell r="E4764">
            <v>6210</v>
          </cell>
          <cell r="F4764" t="str">
            <v>VG01</v>
          </cell>
          <cell r="G4764" t="str">
            <v>Auto</v>
          </cell>
          <cell r="H4764">
            <v>311</v>
          </cell>
          <cell r="I4764">
            <v>6210</v>
          </cell>
          <cell r="J4764">
            <v>6220</v>
          </cell>
          <cell r="K4764" t="str">
            <v>VG01</v>
          </cell>
        </row>
        <row r="4765">
          <cell r="A4765" t="str">
            <v>1CM1A603Y3E6AAP-P1</v>
          </cell>
          <cell r="B4765" t="str">
            <v>SMT</v>
          </cell>
          <cell r="C4765">
            <v>1</v>
          </cell>
          <cell r="D4765">
            <v>15</v>
          </cell>
          <cell r="E4765">
            <v>6210</v>
          </cell>
          <cell r="F4765" t="str">
            <v>VG01</v>
          </cell>
          <cell r="G4765" t="str">
            <v>Auto</v>
          </cell>
          <cell r="H4765">
            <v>311</v>
          </cell>
          <cell r="I4765">
            <v>6210</v>
          </cell>
          <cell r="J4765">
            <v>6220</v>
          </cell>
          <cell r="K4765" t="str">
            <v>VG01</v>
          </cell>
        </row>
        <row r="4766">
          <cell r="A4766" t="str">
            <v>1CM1A603Y3E6ACP-P1</v>
          </cell>
          <cell r="B4766" t="str">
            <v>SMT</v>
          </cell>
          <cell r="C4766">
            <v>1</v>
          </cell>
          <cell r="D4766">
            <v>15</v>
          </cell>
          <cell r="E4766">
            <v>6210</v>
          </cell>
          <cell r="F4766" t="str">
            <v>VG01</v>
          </cell>
          <cell r="G4766" t="str">
            <v>Auto</v>
          </cell>
          <cell r="H4766">
            <v>311</v>
          </cell>
          <cell r="I4766">
            <v>6210</v>
          </cell>
          <cell r="J4766">
            <v>6220</v>
          </cell>
          <cell r="K4766" t="str">
            <v>VG01</v>
          </cell>
        </row>
        <row r="4767">
          <cell r="A4767" t="str">
            <v>1CM1A603Y3F0AAP-P1</v>
          </cell>
          <cell r="B4767" t="str">
            <v>SMT</v>
          </cell>
          <cell r="C4767">
            <v>1</v>
          </cell>
          <cell r="D4767">
            <v>15</v>
          </cell>
          <cell r="E4767">
            <v>6210</v>
          </cell>
          <cell r="F4767" t="str">
            <v>VG01</v>
          </cell>
          <cell r="G4767" t="str">
            <v>Auto</v>
          </cell>
          <cell r="H4767">
            <v>311</v>
          </cell>
          <cell r="I4767">
            <v>6210</v>
          </cell>
          <cell r="J4767">
            <v>6220</v>
          </cell>
          <cell r="K4767" t="str">
            <v>VG01</v>
          </cell>
        </row>
        <row r="4768">
          <cell r="A4768" t="str">
            <v>1CM1A603Y3F0ACP-P1</v>
          </cell>
          <cell r="B4768" t="str">
            <v>SMT</v>
          </cell>
          <cell r="C4768">
            <v>1</v>
          </cell>
          <cell r="D4768">
            <v>15</v>
          </cell>
          <cell r="E4768">
            <v>6210</v>
          </cell>
          <cell r="F4768" t="str">
            <v>VG01</v>
          </cell>
          <cell r="G4768" t="str">
            <v>Auto</v>
          </cell>
          <cell r="H4768">
            <v>311</v>
          </cell>
          <cell r="I4768">
            <v>6210</v>
          </cell>
          <cell r="J4768">
            <v>6220</v>
          </cell>
          <cell r="K4768" t="str">
            <v>VG01</v>
          </cell>
        </row>
        <row r="4769">
          <cell r="A4769" t="str">
            <v>1CM1A603Y3F9ABP-P1</v>
          </cell>
          <cell r="B4769" t="str">
            <v>SMT</v>
          </cell>
          <cell r="C4769">
            <v>1</v>
          </cell>
          <cell r="D4769">
            <v>15</v>
          </cell>
          <cell r="E4769">
            <v>6210</v>
          </cell>
          <cell r="F4769" t="str">
            <v>VG01</v>
          </cell>
          <cell r="G4769" t="str">
            <v>Auto</v>
          </cell>
          <cell r="H4769">
            <v>311</v>
          </cell>
          <cell r="I4769">
            <v>6210</v>
          </cell>
          <cell r="J4769">
            <v>6220</v>
          </cell>
          <cell r="K4769" t="str">
            <v>VG01</v>
          </cell>
        </row>
        <row r="4770">
          <cell r="A4770" t="str">
            <v>1CM1A603Y3F9AMP-P1</v>
          </cell>
          <cell r="B4770" t="str">
            <v>SMT</v>
          </cell>
          <cell r="C4770">
            <v>1</v>
          </cell>
          <cell r="D4770">
            <v>15</v>
          </cell>
          <cell r="E4770">
            <v>6210</v>
          </cell>
          <cell r="F4770" t="str">
            <v>VG01</v>
          </cell>
          <cell r="G4770" t="str">
            <v>Auto</v>
          </cell>
          <cell r="H4770">
            <v>311</v>
          </cell>
          <cell r="I4770">
            <v>6210</v>
          </cell>
          <cell r="J4770">
            <v>6220</v>
          </cell>
          <cell r="K4770" t="str">
            <v>VG01</v>
          </cell>
        </row>
        <row r="4771">
          <cell r="A4771" t="str">
            <v>1CM1A603Y3G1AEU-P1</v>
          </cell>
          <cell r="B4771" t="str">
            <v>SMT</v>
          </cell>
          <cell r="C4771">
            <v>1</v>
          </cell>
          <cell r="D4771">
            <v>15</v>
          </cell>
          <cell r="E4771">
            <v>6210</v>
          </cell>
          <cell r="F4771" t="str">
            <v>VG01</v>
          </cell>
          <cell r="G4771" t="str">
            <v>Auto</v>
          </cell>
          <cell r="H4771">
            <v>311</v>
          </cell>
          <cell r="I4771">
            <v>6210</v>
          </cell>
          <cell r="J4771">
            <v>6220</v>
          </cell>
          <cell r="K4771" t="str">
            <v>VG01</v>
          </cell>
        </row>
        <row r="4772">
          <cell r="A4772" t="str">
            <v>1CM1A603Y3J9ABP-P1</v>
          </cell>
          <cell r="B4772" t="str">
            <v>SMT</v>
          </cell>
          <cell r="C4772">
            <v>1</v>
          </cell>
          <cell r="D4772">
            <v>36</v>
          </cell>
          <cell r="E4772">
            <v>6210</v>
          </cell>
          <cell r="F4772" t="str">
            <v>VG01</v>
          </cell>
          <cell r="G4772" t="str">
            <v>Auto</v>
          </cell>
          <cell r="H4772">
            <v>311</v>
          </cell>
          <cell r="I4772">
            <v>6210</v>
          </cell>
          <cell r="J4772">
            <v>6220</v>
          </cell>
          <cell r="K4772" t="str">
            <v>VG01</v>
          </cell>
        </row>
        <row r="4773">
          <cell r="A4773" t="str">
            <v>1CM1J603L3J8AP2-P1</v>
          </cell>
          <cell r="B4773" t="str">
            <v>SMT</v>
          </cell>
          <cell r="C4773">
            <v>1</v>
          </cell>
          <cell r="D4773">
            <v>101</v>
          </cell>
          <cell r="E4773">
            <v>6210</v>
          </cell>
          <cell r="F4773" t="str">
            <v>VG01</v>
          </cell>
          <cell r="G4773" t="str">
            <v>Auto</v>
          </cell>
          <cell r="H4773">
            <v>311</v>
          </cell>
          <cell r="I4773">
            <v>6210</v>
          </cell>
          <cell r="J4773">
            <v>6220</v>
          </cell>
          <cell r="K4773" t="str">
            <v>VG01</v>
          </cell>
        </row>
        <row r="4774">
          <cell r="A4774" t="str">
            <v>1HT1A603Y-3J0A-P1</v>
          </cell>
          <cell r="B4774" t="str">
            <v>SMT</v>
          </cell>
          <cell r="C4774">
            <v>1</v>
          </cell>
          <cell r="D4774">
            <v>22</v>
          </cell>
        </row>
        <row r="4775">
          <cell r="A4775" t="str">
            <v>1HT1A603Y-3J3A-P1</v>
          </cell>
          <cell r="B4775" t="str">
            <v>SMT</v>
          </cell>
          <cell r="C4775">
            <v>1</v>
          </cell>
          <cell r="D4775">
            <v>20</v>
          </cell>
        </row>
        <row r="4776">
          <cell r="A4776" t="str">
            <v>1HT1A603Y-3J8A-P1</v>
          </cell>
          <cell r="B4776" t="str">
            <v>SMT</v>
          </cell>
          <cell r="C4776">
            <v>1</v>
          </cell>
          <cell r="D4776">
            <v>20</v>
          </cell>
        </row>
        <row r="4777">
          <cell r="A4777" t="str">
            <v>1HT1A603Y3E6ACP-P1</v>
          </cell>
          <cell r="B4777" t="str">
            <v>SMT</v>
          </cell>
          <cell r="C4777">
            <v>1</v>
          </cell>
          <cell r="D4777">
            <v>4</v>
          </cell>
        </row>
        <row r="4778">
          <cell r="A4778" t="str">
            <v>1HT1A603Y3F0ACP-P1</v>
          </cell>
          <cell r="B4778" t="str">
            <v>SMT</v>
          </cell>
          <cell r="C4778">
            <v>1</v>
          </cell>
          <cell r="D4778">
            <v>4</v>
          </cell>
        </row>
        <row r="4779">
          <cell r="A4779" t="str">
            <v>1HT1A603Y3F9ABP-P1</v>
          </cell>
          <cell r="B4779" t="str">
            <v>SMT</v>
          </cell>
          <cell r="C4779">
            <v>1</v>
          </cell>
          <cell r="D4779">
            <v>6</v>
          </cell>
        </row>
        <row r="4780">
          <cell r="A4780" t="str">
            <v>1HT1A603Y3F9AMP-P1</v>
          </cell>
          <cell r="B4780" t="str">
            <v>SMT</v>
          </cell>
          <cell r="C4780">
            <v>1</v>
          </cell>
          <cell r="D4780">
            <v>6</v>
          </cell>
        </row>
        <row r="4781">
          <cell r="A4781" t="str">
            <v>1HT1A603Y3G1AEU-P1</v>
          </cell>
          <cell r="B4781" t="str">
            <v>SMT</v>
          </cell>
          <cell r="C4781">
            <v>1</v>
          </cell>
          <cell r="D4781">
            <v>6</v>
          </cell>
        </row>
        <row r="4782">
          <cell r="A4782" t="str">
            <v>1HT1A603Y3J9ABP-P1</v>
          </cell>
          <cell r="B4782" t="str">
            <v>SMT</v>
          </cell>
          <cell r="C4782">
            <v>1</v>
          </cell>
          <cell r="D4782">
            <v>16</v>
          </cell>
        </row>
        <row r="4783">
          <cell r="A4783" t="str">
            <v>1HT1A608B3G1AEU-P1</v>
          </cell>
          <cell r="B4783" t="str">
            <v>SMT</v>
          </cell>
          <cell r="C4783">
            <v>1</v>
          </cell>
          <cell r="D4783">
            <v>12</v>
          </cell>
        </row>
        <row r="4784">
          <cell r="A4784" t="str">
            <v>1HT1A608B3H7AAP-P1</v>
          </cell>
          <cell r="B4784" t="str">
            <v>SMT</v>
          </cell>
          <cell r="C4784">
            <v>1</v>
          </cell>
          <cell r="D4784">
            <v>14</v>
          </cell>
        </row>
        <row r="4785">
          <cell r="A4785" t="str">
            <v>1HT1A608B3H9AAP-P1</v>
          </cell>
          <cell r="B4785" t="str">
            <v>SMT</v>
          </cell>
          <cell r="C4785">
            <v>1</v>
          </cell>
          <cell r="D4785">
            <v>10</v>
          </cell>
        </row>
        <row r="4786">
          <cell r="A4786" t="str">
            <v>1RE1A605Q-3E4A-P1</v>
          </cell>
          <cell r="B4786" t="str">
            <v>SMT</v>
          </cell>
          <cell r="C4786">
            <v>1</v>
          </cell>
          <cell r="D4786">
            <v>41</v>
          </cell>
          <cell r="E4786">
            <v>6210</v>
          </cell>
          <cell r="F4786" t="str">
            <v>VG01</v>
          </cell>
          <cell r="G4786" t="str">
            <v>Auto</v>
          </cell>
          <cell r="H4786">
            <v>311</v>
          </cell>
          <cell r="I4786">
            <v>6210</v>
          </cell>
          <cell r="J4786">
            <v>6220</v>
          </cell>
          <cell r="K4786" t="str">
            <v>VG01</v>
          </cell>
        </row>
        <row r="4787">
          <cell r="A4787" t="str">
            <v>1RE1A605S-3J0A-P1</v>
          </cell>
          <cell r="B4787" t="str">
            <v>SMT</v>
          </cell>
          <cell r="C4787">
            <v>1</v>
          </cell>
          <cell r="D4787">
            <v>9</v>
          </cell>
          <cell r="E4787">
            <v>6210</v>
          </cell>
          <cell r="F4787" t="str">
            <v>VG01</v>
          </cell>
          <cell r="G4787" t="str">
            <v>Auto</v>
          </cell>
          <cell r="H4787">
            <v>311</v>
          </cell>
          <cell r="I4787">
            <v>6210</v>
          </cell>
          <cell r="J4787">
            <v>6220</v>
          </cell>
          <cell r="K4787" t="str">
            <v>VG01</v>
          </cell>
        </row>
        <row r="4788">
          <cell r="A4788" t="str">
            <v>1RE1A605S-3J8A-P1</v>
          </cell>
          <cell r="B4788" t="str">
            <v>SMT</v>
          </cell>
          <cell r="C4788">
            <v>1</v>
          </cell>
          <cell r="D4788">
            <v>3</v>
          </cell>
          <cell r="E4788">
            <v>6210</v>
          </cell>
          <cell r="F4788" t="str">
            <v>VG01</v>
          </cell>
          <cell r="G4788" t="str">
            <v>Auto</v>
          </cell>
          <cell r="H4788">
            <v>311</v>
          </cell>
          <cell r="I4788">
            <v>6210</v>
          </cell>
          <cell r="J4788">
            <v>6220</v>
          </cell>
          <cell r="K4788" t="str">
            <v>VG01</v>
          </cell>
        </row>
        <row r="4789">
          <cell r="A4789" t="str">
            <v>1RE1A607B3J8AP2P1</v>
          </cell>
          <cell r="B4789" t="str">
            <v>SMT</v>
          </cell>
          <cell r="C4789">
            <v>1</v>
          </cell>
          <cell r="D4789">
            <v>180</v>
          </cell>
        </row>
        <row r="4790">
          <cell r="A4790" t="str">
            <v>1RE1A608B-3J8AP1</v>
          </cell>
          <cell r="B4790" t="str">
            <v>SMT</v>
          </cell>
          <cell r="C4790">
            <v>1</v>
          </cell>
          <cell r="D4790">
            <v>3</v>
          </cell>
        </row>
        <row r="4791">
          <cell r="A4791" t="str">
            <v>1RE1A608C-3J3A-P1</v>
          </cell>
          <cell r="B4791" t="str">
            <v>SMT</v>
          </cell>
          <cell r="C4791">
            <v>1</v>
          </cell>
          <cell r="D4791">
            <v>83</v>
          </cell>
          <cell r="E4791">
            <v>6210</v>
          </cell>
          <cell r="F4791" t="str">
            <v>VG01</v>
          </cell>
          <cell r="G4791" t="str">
            <v>Auto</v>
          </cell>
          <cell r="H4791">
            <v>311</v>
          </cell>
          <cell r="I4791">
            <v>6210</v>
          </cell>
          <cell r="J4791">
            <v>6220</v>
          </cell>
          <cell r="K4791" t="str">
            <v>VG01</v>
          </cell>
        </row>
        <row r="4792">
          <cell r="A4792" t="str">
            <v>1RE1J603L3J8AP2-P1</v>
          </cell>
          <cell r="B4792" t="str">
            <v>SMT</v>
          </cell>
          <cell r="C4792">
            <v>1</v>
          </cell>
          <cell r="D4792">
            <v>116</v>
          </cell>
        </row>
        <row r="4793">
          <cell r="A4793" t="str">
            <v>1RE1J605Q3J8AP2-P1</v>
          </cell>
          <cell r="B4793" t="str">
            <v>SMT</v>
          </cell>
          <cell r="C4793">
            <v>1</v>
          </cell>
          <cell r="D4793">
            <v>60</v>
          </cell>
          <cell r="E4793">
            <v>6210</v>
          </cell>
          <cell r="F4793" t="str">
            <v>VG01</v>
          </cell>
          <cell r="G4793" t="str">
            <v>Auto</v>
          </cell>
          <cell r="H4793">
            <v>311</v>
          </cell>
          <cell r="I4793">
            <v>6210</v>
          </cell>
          <cell r="J4793">
            <v>6220</v>
          </cell>
          <cell r="K4793" t="str">
            <v>VG01</v>
          </cell>
        </row>
        <row r="4794">
          <cell r="A4794" t="str">
            <v>1RE2A607B3J8AP2P1</v>
          </cell>
          <cell r="B4794" t="str">
            <v>SMT</v>
          </cell>
          <cell r="C4794">
            <v>1</v>
          </cell>
          <cell r="D4794">
            <v>300</v>
          </cell>
          <cell r="E4794">
            <v>6210</v>
          </cell>
          <cell r="F4794" t="str">
            <v>VG01</v>
          </cell>
          <cell r="G4794" t="str">
            <v>Auto</v>
          </cell>
          <cell r="H4794">
            <v>311</v>
          </cell>
          <cell r="I4794">
            <v>6210</v>
          </cell>
          <cell r="J4794">
            <v>6220</v>
          </cell>
          <cell r="K4794" t="str">
            <v>VG01</v>
          </cell>
        </row>
        <row r="4795">
          <cell r="A4795" t="str">
            <v>1RE2A608B-3J8AP1</v>
          </cell>
          <cell r="B4795" t="str">
            <v>SMT</v>
          </cell>
          <cell r="C4795">
            <v>1</v>
          </cell>
          <cell r="D4795">
            <v>1</v>
          </cell>
          <cell r="E4795">
            <v>6210</v>
          </cell>
          <cell r="F4795" t="str">
            <v>VG01</v>
          </cell>
          <cell r="G4795" t="str">
            <v>Auto</v>
          </cell>
          <cell r="H4795">
            <v>311</v>
          </cell>
          <cell r="I4795">
            <v>6210</v>
          </cell>
          <cell r="J4795">
            <v>6220</v>
          </cell>
          <cell r="K4795" t="str">
            <v>VG01</v>
          </cell>
        </row>
        <row r="4796">
          <cell r="A4796" t="str">
            <v>1RH1A603L-3J0A-P1</v>
          </cell>
          <cell r="B4796" t="str">
            <v>SMT</v>
          </cell>
          <cell r="C4796">
            <v>1</v>
          </cell>
          <cell r="D4796">
            <v>8</v>
          </cell>
        </row>
        <row r="4797">
          <cell r="A4797" t="str">
            <v>1RH1A603L-3J3A-P1</v>
          </cell>
          <cell r="B4797" t="str">
            <v>SMT</v>
          </cell>
          <cell r="C4797">
            <v>1</v>
          </cell>
          <cell r="D4797">
            <v>7</v>
          </cell>
        </row>
        <row r="4798">
          <cell r="A4798" t="str">
            <v>1RH1A603L-3K50-P1</v>
          </cell>
          <cell r="B4798" t="str">
            <v>SMT</v>
          </cell>
          <cell r="C4798">
            <v>1</v>
          </cell>
          <cell r="D4798">
            <v>8</v>
          </cell>
        </row>
        <row r="4799">
          <cell r="A4799" t="str">
            <v>1RH1A603L3E6AAP-P1</v>
          </cell>
          <cell r="B4799" t="str">
            <v>SMT</v>
          </cell>
          <cell r="C4799">
            <v>1</v>
          </cell>
          <cell r="D4799">
            <v>5</v>
          </cell>
        </row>
        <row r="4800">
          <cell r="A4800" t="str">
            <v>1RH1A603L3E8AAP-P1</v>
          </cell>
          <cell r="B4800" t="str">
            <v>SMT</v>
          </cell>
          <cell r="C4800">
            <v>1</v>
          </cell>
          <cell r="D4800">
            <v>5</v>
          </cell>
        </row>
        <row r="4801">
          <cell r="A4801" t="str">
            <v>1RH1A603L3F0AAP-P1</v>
          </cell>
          <cell r="B4801" t="str">
            <v>SMT</v>
          </cell>
          <cell r="C4801">
            <v>1</v>
          </cell>
          <cell r="D4801">
            <v>5</v>
          </cell>
        </row>
        <row r="4802">
          <cell r="A4802" t="str">
            <v>1RH1A603L3F6AEU-P1</v>
          </cell>
          <cell r="B4802" t="str">
            <v>SMT</v>
          </cell>
          <cell r="C4802">
            <v>1</v>
          </cell>
          <cell r="D4802">
            <v>5</v>
          </cell>
        </row>
        <row r="4803">
          <cell r="A4803" t="str">
            <v>1RH1A603L3F7AEU-P1</v>
          </cell>
          <cell r="B4803" t="str">
            <v>SMT</v>
          </cell>
          <cell r="C4803">
            <v>1</v>
          </cell>
          <cell r="D4803">
            <v>5</v>
          </cell>
        </row>
        <row r="4804">
          <cell r="A4804" t="str">
            <v>1RH1A603L3F9ABP-P1</v>
          </cell>
          <cell r="B4804" t="str">
            <v>SMT</v>
          </cell>
          <cell r="C4804">
            <v>1</v>
          </cell>
          <cell r="D4804">
            <v>5</v>
          </cell>
        </row>
        <row r="4805">
          <cell r="A4805" t="str">
            <v>1RH1A603L3F9AWT-P1</v>
          </cell>
          <cell r="B4805" t="str">
            <v>SMT</v>
          </cell>
          <cell r="C4805">
            <v>1</v>
          </cell>
          <cell r="D4805">
            <v>5</v>
          </cell>
        </row>
        <row r="4806">
          <cell r="A4806" t="str">
            <v>1RH1A603L3G0ABP-P1 U</v>
          </cell>
          <cell r="B4806" t="str">
            <v>SMT</v>
          </cell>
          <cell r="C4806">
            <v>1</v>
          </cell>
          <cell r="D4806" t="e">
            <v>#N/A</v>
          </cell>
        </row>
        <row r="4807">
          <cell r="A4807" t="str">
            <v>1RH1A603L3G1AEU-P1</v>
          </cell>
          <cell r="B4807" t="str">
            <v>SMT</v>
          </cell>
          <cell r="C4807">
            <v>1</v>
          </cell>
          <cell r="D4807">
            <v>5</v>
          </cell>
        </row>
        <row r="4808">
          <cell r="A4808" t="str">
            <v>1RH1A603L3G2AEU-P1</v>
          </cell>
          <cell r="B4808" t="str">
            <v>SMT</v>
          </cell>
          <cell r="C4808">
            <v>1</v>
          </cell>
          <cell r="D4808">
            <v>5</v>
          </cell>
        </row>
        <row r="4809">
          <cell r="A4809" t="str">
            <v>1RH1A603L3H7AAP-P1</v>
          </cell>
          <cell r="B4809" t="str">
            <v>SMT</v>
          </cell>
          <cell r="C4809">
            <v>1</v>
          </cell>
          <cell r="D4809">
            <v>5</v>
          </cell>
        </row>
        <row r="4810">
          <cell r="A4810" t="str">
            <v>1RH1A603L3H8AAP-P1</v>
          </cell>
          <cell r="B4810" t="str">
            <v>SMT</v>
          </cell>
          <cell r="C4810">
            <v>1</v>
          </cell>
          <cell r="D4810">
            <v>5</v>
          </cell>
        </row>
        <row r="4811">
          <cell r="A4811" t="str">
            <v>1RH1A603L3H9AAP-P1</v>
          </cell>
          <cell r="B4811" t="str">
            <v>SMT</v>
          </cell>
          <cell r="C4811">
            <v>1</v>
          </cell>
          <cell r="D4811">
            <v>5</v>
          </cell>
        </row>
        <row r="4812">
          <cell r="A4812" t="str">
            <v>1RH1A603L3J1AP2-P1</v>
          </cell>
          <cell r="B4812" t="str">
            <v>SMT</v>
          </cell>
          <cell r="C4812">
            <v>1</v>
          </cell>
          <cell r="D4812">
            <v>8</v>
          </cell>
        </row>
        <row r="4813">
          <cell r="A4813" t="str">
            <v>1RH1A603L3J9ABP-P1</v>
          </cell>
          <cell r="B4813" t="str">
            <v>SMT</v>
          </cell>
          <cell r="C4813">
            <v>1</v>
          </cell>
          <cell r="D4813">
            <v>9</v>
          </cell>
        </row>
        <row r="4814">
          <cell r="A4814" t="str">
            <v>1RH1A603L3K4ATP-P1</v>
          </cell>
          <cell r="B4814" t="str">
            <v>SMT</v>
          </cell>
          <cell r="C4814">
            <v>1</v>
          </cell>
          <cell r="D4814">
            <v>5</v>
          </cell>
        </row>
        <row r="4815">
          <cell r="A4815" t="str">
            <v>1RH1A603Y-3J0A-P1</v>
          </cell>
          <cell r="B4815" t="str">
            <v>SMT</v>
          </cell>
          <cell r="C4815">
            <v>1</v>
          </cell>
          <cell r="D4815">
            <v>14</v>
          </cell>
        </row>
        <row r="4816">
          <cell r="A4816" t="str">
            <v>1RH1A603Y-3J3A-P1</v>
          </cell>
          <cell r="B4816" t="str">
            <v>SMT</v>
          </cell>
          <cell r="C4816">
            <v>1</v>
          </cell>
          <cell r="D4816">
            <v>11</v>
          </cell>
        </row>
        <row r="4817">
          <cell r="A4817" t="str">
            <v>1RH1A603Y-3J8A-P1</v>
          </cell>
          <cell r="B4817" t="str">
            <v>SMT</v>
          </cell>
          <cell r="C4817">
            <v>1</v>
          </cell>
          <cell r="D4817">
            <v>13</v>
          </cell>
        </row>
        <row r="4818">
          <cell r="A4818" t="str">
            <v>1RH1A603Y3E6AAP-P1</v>
          </cell>
          <cell r="B4818" t="str">
            <v>SMT</v>
          </cell>
          <cell r="C4818">
            <v>1</v>
          </cell>
          <cell r="D4818">
            <v>4</v>
          </cell>
        </row>
        <row r="4819">
          <cell r="A4819" t="str">
            <v>1RH1A603Y3E6ACP-P1</v>
          </cell>
          <cell r="B4819" t="str">
            <v>SMT</v>
          </cell>
          <cell r="C4819">
            <v>1</v>
          </cell>
          <cell r="D4819">
            <v>4</v>
          </cell>
        </row>
        <row r="4820">
          <cell r="A4820" t="str">
            <v>1RH1A603Y3F0AAP-P1</v>
          </cell>
          <cell r="B4820" t="str">
            <v>SMT</v>
          </cell>
          <cell r="C4820">
            <v>1</v>
          </cell>
          <cell r="D4820">
            <v>4</v>
          </cell>
        </row>
        <row r="4821">
          <cell r="A4821" t="str">
            <v>1RH1A603Y3F0ACP-P1</v>
          </cell>
          <cell r="B4821" t="str">
            <v>SMT</v>
          </cell>
          <cell r="C4821">
            <v>1</v>
          </cell>
          <cell r="D4821">
            <v>4</v>
          </cell>
        </row>
        <row r="4822">
          <cell r="A4822" t="str">
            <v>1RH1A603Y3F9ABP-P1</v>
          </cell>
          <cell r="B4822" t="str">
            <v>SMT</v>
          </cell>
          <cell r="C4822">
            <v>1</v>
          </cell>
          <cell r="D4822">
            <v>4</v>
          </cell>
        </row>
        <row r="4823">
          <cell r="A4823" t="str">
            <v>1RH1A603Y3F9AMP-P1</v>
          </cell>
          <cell r="B4823" t="str">
            <v>SMT</v>
          </cell>
          <cell r="C4823">
            <v>1</v>
          </cell>
          <cell r="D4823">
            <v>4</v>
          </cell>
        </row>
        <row r="4824">
          <cell r="A4824" t="str">
            <v>1RH1A603Y3G1AEU-P1</v>
          </cell>
          <cell r="B4824" t="str">
            <v>SMT</v>
          </cell>
          <cell r="C4824">
            <v>1</v>
          </cell>
          <cell r="D4824">
            <v>4</v>
          </cell>
        </row>
        <row r="4825">
          <cell r="A4825" t="str">
            <v>1RH1A603Y3J9ABP-P1</v>
          </cell>
          <cell r="B4825" t="str">
            <v>SMT</v>
          </cell>
          <cell r="C4825">
            <v>1</v>
          </cell>
          <cell r="D4825">
            <v>15</v>
          </cell>
        </row>
        <row r="4826">
          <cell r="A4826" t="str">
            <v>1RH1J603L3J8AP2-P1</v>
          </cell>
          <cell r="B4826" t="str">
            <v>SMT</v>
          </cell>
          <cell r="C4826">
            <v>1</v>
          </cell>
          <cell r="D4826">
            <v>9</v>
          </cell>
        </row>
        <row r="4827">
          <cell r="A4827" t="str">
            <v>1TE1A603Y-3J0A-P1</v>
          </cell>
          <cell r="B4827" t="str">
            <v>SMT</v>
          </cell>
          <cell r="C4827">
            <v>1</v>
          </cell>
          <cell r="D4827">
            <v>5</v>
          </cell>
        </row>
        <row r="4828">
          <cell r="A4828" t="str">
            <v>1TE1A603Y-3J3A-P1</v>
          </cell>
          <cell r="B4828" t="str">
            <v>SMT</v>
          </cell>
          <cell r="C4828">
            <v>1</v>
          </cell>
          <cell r="D4828">
            <v>5</v>
          </cell>
        </row>
        <row r="4829">
          <cell r="A4829" t="str">
            <v>1TE1A603Y-3J8A-P1</v>
          </cell>
          <cell r="B4829" t="str">
            <v>SMT</v>
          </cell>
          <cell r="C4829">
            <v>1</v>
          </cell>
          <cell r="D4829">
            <v>5</v>
          </cell>
        </row>
        <row r="4830">
          <cell r="A4830" t="str">
            <v>1TE1A603Y3E6AAP-P1</v>
          </cell>
          <cell r="B4830" t="str">
            <v>SMT</v>
          </cell>
          <cell r="C4830">
            <v>1</v>
          </cell>
          <cell r="D4830">
            <v>1</v>
          </cell>
        </row>
        <row r="4831">
          <cell r="A4831" t="str">
            <v>1TE1A603Y3E6ACP-P1</v>
          </cell>
          <cell r="B4831" t="str">
            <v>SMT</v>
          </cell>
          <cell r="C4831">
            <v>1</v>
          </cell>
          <cell r="D4831">
            <v>1</v>
          </cell>
        </row>
        <row r="4832">
          <cell r="A4832" t="str">
            <v>1TE1A603Y3F0AAP-P1</v>
          </cell>
          <cell r="B4832" t="str">
            <v>SMT</v>
          </cell>
          <cell r="C4832">
            <v>1</v>
          </cell>
          <cell r="D4832">
            <v>1</v>
          </cell>
        </row>
        <row r="4833">
          <cell r="A4833" t="str">
            <v>1TE1A603Y3F0ACP-P1</v>
          </cell>
          <cell r="B4833" t="str">
            <v>SMT</v>
          </cell>
          <cell r="C4833">
            <v>1</v>
          </cell>
          <cell r="D4833">
            <v>1</v>
          </cell>
        </row>
        <row r="4834">
          <cell r="A4834" t="str">
            <v>1TE1A603Y3F9ABP-P1</v>
          </cell>
          <cell r="B4834" t="str">
            <v>SMT</v>
          </cell>
          <cell r="C4834">
            <v>1</v>
          </cell>
          <cell r="D4834">
            <v>1</v>
          </cell>
        </row>
        <row r="4835">
          <cell r="A4835" t="str">
            <v>1TE1A603Y3F9AMP-P1</v>
          </cell>
          <cell r="B4835" t="str">
            <v>SMT</v>
          </cell>
          <cell r="C4835">
            <v>1</v>
          </cell>
          <cell r="D4835">
            <v>1</v>
          </cell>
        </row>
        <row r="4836">
          <cell r="A4836" t="str">
            <v>1TE1A603Y3G1AEU-P1</v>
          </cell>
          <cell r="B4836" t="str">
            <v>SMT</v>
          </cell>
          <cell r="C4836">
            <v>1</v>
          </cell>
          <cell r="D4836">
            <v>1</v>
          </cell>
        </row>
        <row r="4837">
          <cell r="A4837" t="str">
            <v>1TE1A603Y3J9ABP-P1</v>
          </cell>
          <cell r="B4837" t="str">
            <v>SMT</v>
          </cell>
          <cell r="C4837">
            <v>1</v>
          </cell>
          <cell r="D4837">
            <v>5</v>
          </cell>
        </row>
        <row r="4838">
          <cell r="A4838" t="str">
            <v>1CM1A603L3G0ABP-P1</v>
          </cell>
          <cell r="B4838" t="str">
            <v>SMT</v>
          </cell>
          <cell r="C4838">
            <v>1</v>
          </cell>
          <cell r="D4838">
            <v>113</v>
          </cell>
          <cell r="E4838">
            <v>6210</v>
          </cell>
          <cell r="F4838" t="str">
            <v>VG01</v>
          </cell>
          <cell r="G4838" t="str">
            <v>Auto</v>
          </cell>
          <cell r="H4838">
            <v>311</v>
          </cell>
          <cell r="I4838">
            <v>6210</v>
          </cell>
          <cell r="J4838">
            <v>6220</v>
          </cell>
          <cell r="K4838" t="str">
            <v>VG01</v>
          </cell>
        </row>
        <row r="4839">
          <cell r="A4839" t="str">
            <v>1RH1A603L3G0ABP-P1</v>
          </cell>
          <cell r="B4839" t="str">
            <v>SMT</v>
          </cell>
          <cell r="C4839">
            <v>1</v>
          </cell>
          <cell r="D4839">
            <v>5</v>
          </cell>
        </row>
        <row r="4840">
          <cell r="A4840" t="str">
            <v>1AE1A603L3G0ABP-P1</v>
          </cell>
          <cell r="B4840" t="str">
            <v>SMT</v>
          </cell>
          <cell r="C4840">
            <v>1</v>
          </cell>
          <cell r="D4840">
            <v>60</v>
          </cell>
        </row>
        <row r="4841">
          <cell r="A4841" t="str">
            <v>A608C3G0AEU-P1-V4</v>
          </cell>
          <cell r="B4841" t="str">
            <v>DIP</v>
          </cell>
          <cell r="C4841">
            <v>1</v>
          </cell>
          <cell r="D4841" t="e">
            <v>#N/A</v>
          </cell>
        </row>
        <row r="4842">
          <cell r="A4842" t="str">
            <v>ANE605Q8YABP-P1-V4</v>
          </cell>
          <cell r="B4842" t="str">
            <v>DIP</v>
          </cell>
          <cell r="C4842">
            <v>1</v>
          </cell>
          <cell r="D4842" t="e">
            <v>#N/A</v>
          </cell>
        </row>
        <row r="4843">
          <cell r="A4843" t="str">
            <v>1RH1T7710NEV4</v>
          </cell>
          <cell r="B4843" t="str">
            <v>SMT</v>
          </cell>
          <cell r="C4843">
            <v>1</v>
          </cell>
          <cell r="D4843">
            <v>15</v>
          </cell>
        </row>
        <row r="4844">
          <cell r="A4844" t="str">
            <v>1CM1T7710NEV4</v>
          </cell>
          <cell r="B4844" t="str">
            <v>SMT</v>
          </cell>
          <cell r="C4844">
            <v>1</v>
          </cell>
          <cell r="D4844">
            <v>98</v>
          </cell>
        </row>
        <row r="4845">
          <cell r="A4845" t="str">
            <v>1AE1T7710NEV4</v>
          </cell>
          <cell r="B4845" t="str">
            <v>SMT</v>
          </cell>
          <cell r="C4845">
            <v>1</v>
          </cell>
          <cell r="D4845">
            <v>10</v>
          </cell>
        </row>
        <row r="4846">
          <cell r="A4846" t="str">
            <v>1AP1T7710NEV4</v>
          </cell>
          <cell r="B4846" t="str">
            <v>DIP</v>
          </cell>
          <cell r="C4846">
            <v>1</v>
          </cell>
          <cell r="D4846" t="e">
            <v>#N/A</v>
          </cell>
          <cell r="E4846">
            <v>2210</v>
          </cell>
          <cell r="F4846" t="str">
            <v>VC01</v>
          </cell>
          <cell r="G4846" t="str">
            <v>Auto</v>
          </cell>
          <cell r="H4846">
            <v>311</v>
          </cell>
          <cell r="I4846">
            <v>2210</v>
          </cell>
          <cell r="J4846">
            <v>2310</v>
          </cell>
          <cell r="K4846" t="str">
            <v>VC01</v>
          </cell>
        </row>
        <row r="4847">
          <cell r="A4847" t="str">
            <v>1RE1SA001-V4</v>
          </cell>
          <cell r="B4847" t="str">
            <v>SMT</v>
          </cell>
          <cell r="C4847">
            <v>1</v>
          </cell>
          <cell r="D4847">
            <v>28</v>
          </cell>
          <cell r="E4847">
            <v>9210</v>
          </cell>
          <cell r="F4847" t="str">
            <v>VE01</v>
          </cell>
          <cell r="G4847" t="str">
            <v>Auto</v>
          </cell>
          <cell r="H4847">
            <v>311</v>
          </cell>
          <cell r="I4847">
            <v>9210</v>
          </cell>
          <cell r="J4847">
            <v>9220</v>
          </cell>
          <cell r="K4847" t="str">
            <v>VE01</v>
          </cell>
        </row>
        <row r="4848">
          <cell r="A4848" t="str">
            <v>1RE1SZ200-V4</v>
          </cell>
          <cell r="B4848" t="str">
            <v>SMT</v>
          </cell>
          <cell r="C4848">
            <v>1</v>
          </cell>
          <cell r="D4848">
            <v>164</v>
          </cell>
          <cell r="E4848">
            <v>9210</v>
          </cell>
          <cell r="F4848" t="str">
            <v>VE01</v>
          </cell>
          <cell r="G4848" t="str">
            <v>Auto</v>
          </cell>
          <cell r="H4848">
            <v>311</v>
          </cell>
          <cell r="I4848">
            <v>9210</v>
          </cell>
          <cell r="J4848">
            <v>9340</v>
          </cell>
          <cell r="K4848" t="str">
            <v>VE01</v>
          </cell>
        </row>
        <row r="4849">
          <cell r="A4849" t="str">
            <v>1RE2SA250A-V4</v>
          </cell>
          <cell r="B4849" t="str">
            <v>SMT</v>
          </cell>
          <cell r="C4849">
            <v>1</v>
          </cell>
          <cell r="D4849">
            <v>442</v>
          </cell>
          <cell r="E4849">
            <v>9210</v>
          </cell>
          <cell r="F4849" t="str">
            <v>VE01</v>
          </cell>
          <cell r="G4849" t="str">
            <v>Auto</v>
          </cell>
          <cell r="H4849">
            <v>311</v>
          </cell>
          <cell r="I4849">
            <v>9210</v>
          </cell>
          <cell r="J4849">
            <v>9340</v>
          </cell>
          <cell r="K4849" t="str">
            <v>VE01</v>
          </cell>
        </row>
        <row r="4850">
          <cell r="A4850" t="str">
            <v>1RE2SE200A-V4</v>
          </cell>
          <cell r="B4850" t="str">
            <v>SMT</v>
          </cell>
          <cell r="C4850">
            <v>1</v>
          </cell>
          <cell r="D4850">
            <v>405</v>
          </cell>
          <cell r="E4850">
            <v>9210</v>
          </cell>
          <cell r="F4850" t="str">
            <v>VE01</v>
          </cell>
          <cell r="G4850" t="str">
            <v>Auto</v>
          </cell>
          <cell r="H4850">
            <v>311</v>
          </cell>
          <cell r="I4850">
            <v>9210</v>
          </cell>
          <cell r="J4850">
            <v>9220</v>
          </cell>
          <cell r="K4850" t="str">
            <v>VE01</v>
          </cell>
        </row>
        <row r="4851">
          <cell r="A4851" t="str">
            <v>1RE2SR152</v>
          </cell>
          <cell r="B4851" t="str">
            <v>SMT</v>
          </cell>
          <cell r="C4851">
            <v>1</v>
          </cell>
          <cell r="D4851">
            <v>754</v>
          </cell>
          <cell r="E4851">
            <v>9210</v>
          </cell>
          <cell r="F4851" t="str">
            <v>VE01</v>
          </cell>
          <cell r="G4851" t="str">
            <v>Auto</v>
          </cell>
          <cell r="H4851">
            <v>311</v>
          </cell>
          <cell r="I4851">
            <v>9210</v>
          </cell>
          <cell r="J4851">
            <v>9340</v>
          </cell>
          <cell r="K4851" t="str">
            <v>VE01</v>
          </cell>
        </row>
        <row r="4852">
          <cell r="A4852" t="str">
            <v>1RE2SR202A-V4</v>
          </cell>
          <cell r="B4852" t="str">
            <v>SMT</v>
          </cell>
          <cell r="C4852">
            <v>1</v>
          </cell>
          <cell r="D4852">
            <v>546</v>
          </cell>
          <cell r="E4852">
            <v>9210</v>
          </cell>
          <cell r="F4852" t="str">
            <v>VE01</v>
          </cell>
          <cell r="G4852" t="str">
            <v>Auto</v>
          </cell>
          <cell r="H4852">
            <v>311</v>
          </cell>
          <cell r="I4852">
            <v>9210</v>
          </cell>
          <cell r="J4852">
            <v>9220</v>
          </cell>
          <cell r="K4852" t="str">
            <v>VE01</v>
          </cell>
        </row>
        <row r="4853">
          <cell r="A4853" t="str">
            <v>1RE2ST200-V4</v>
          </cell>
          <cell r="B4853" t="str">
            <v>SMT</v>
          </cell>
          <cell r="C4853">
            <v>1</v>
          </cell>
          <cell r="D4853">
            <v>173</v>
          </cell>
          <cell r="E4853">
            <v>9210</v>
          </cell>
          <cell r="F4853" t="str">
            <v>VE01</v>
          </cell>
          <cell r="G4853" t="str">
            <v>Auto</v>
          </cell>
          <cell r="H4853">
            <v>311</v>
          </cell>
          <cell r="I4853">
            <v>9210</v>
          </cell>
          <cell r="J4853">
            <v>9340</v>
          </cell>
          <cell r="K4853" t="str">
            <v>VE01</v>
          </cell>
        </row>
        <row r="4854">
          <cell r="A4854" t="str">
            <v>1RE2ST210-V4</v>
          </cell>
          <cell r="B4854" t="str">
            <v>SMT</v>
          </cell>
          <cell r="C4854">
            <v>1</v>
          </cell>
          <cell r="D4854">
            <v>172</v>
          </cell>
          <cell r="E4854">
            <v>9210</v>
          </cell>
          <cell r="F4854" t="str">
            <v>VE01</v>
          </cell>
          <cell r="G4854" t="str">
            <v>Auto</v>
          </cell>
          <cell r="H4854">
            <v>311</v>
          </cell>
          <cell r="I4854">
            <v>9210</v>
          </cell>
          <cell r="J4854">
            <v>9340</v>
          </cell>
          <cell r="K4854" t="str">
            <v>VE01</v>
          </cell>
        </row>
        <row r="4855">
          <cell r="A4855" t="str">
            <v>1RE2ST250-V4</v>
          </cell>
          <cell r="B4855" t="str">
            <v>SMT</v>
          </cell>
          <cell r="C4855">
            <v>1</v>
          </cell>
          <cell r="D4855">
            <v>172</v>
          </cell>
          <cell r="E4855">
            <v>9210</v>
          </cell>
          <cell r="F4855" t="str">
            <v>VE01</v>
          </cell>
          <cell r="G4855" t="str">
            <v>Auto</v>
          </cell>
          <cell r="H4855">
            <v>311</v>
          </cell>
          <cell r="I4855">
            <v>9210</v>
          </cell>
          <cell r="J4855">
            <v>9340</v>
          </cell>
          <cell r="K4855" t="str">
            <v>VE01</v>
          </cell>
        </row>
        <row r="4856">
          <cell r="A4856" t="str">
            <v>1RE2ST400-V4</v>
          </cell>
          <cell r="B4856" t="str">
            <v>SMT</v>
          </cell>
          <cell r="C4856">
            <v>1</v>
          </cell>
          <cell r="D4856">
            <v>168</v>
          </cell>
          <cell r="E4856">
            <v>9210</v>
          </cell>
          <cell r="F4856" t="str">
            <v>VE01</v>
          </cell>
          <cell r="G4856" t="str">
            <v>Auto</v>
          </cell>
          <cell r="H4856">
            <v>311</v>
          </cell>
          <cell r="I4856">
            <v>9210</v>
          </cell>
          <cell r="J4856">
            <v>9340</v>
          </cell>
          <cell r="K4856" t="str">
            <v>VE01</v>
          </cell>
        </row>
        <row r="4857">
          <cell r="A4857" t="str">
            <v>1RE2ST510-V4</v>
          </cell>
          <cell r="B4857" t="str">
            <v>SMT</v>
          </cell>
          <cell r="C4857">
            <v>1</v>
          </cell>
          <cell r="D4857">
            <v>219</v>
          </cell>
          <cell r="E4857">
            <v>9210</v>
          </cell>
          <cell r="F4857" t="str">
            <v>VE01</v>
          </cell>
          <cell r="G4857" t="str">
            <v>Auto</v>
          </cell>
          <cell r="H4857">
            <v>311</v>
          </cell>
          <cell r="I4857">
            <v>9210</v>
          </cell>
          <cell r="J4857">
            <v>9220</v>
          </cell>
          <cell r="K4857" t="str">
            <v>VE01</v>
          </cell>
        </row>
        <row r="4858">
          <cell r="A4858" t="str">
            <v>2RE1ST510-V4</v>
          </cell>
          <cell r="B4858" t="str">
            <v>SMT</v>
          </cell>
          <cell r="C4858">
            <v>1</v>
          </cell>
          <cell r="D4858">
            <v>86</v>
          </cell>
          <cell r="E4858">
            <v>9210</v>
          </cell>
          <cell r="F4858" t="str">
            <v>VE01</v>
          </cell>
          <cell r="G4858" t="str">
            <v>Auto</v>
          </cell>
          <cell r="H4858">
            <v>311</v>
          </cell>
          <cell r="I4858">
            <v>9210</v>
          </cell>
          <cell r="J4858">
            <v>9220</v>
          </cell>
          <cell r="K4858" t="str">
            <v>VE01</v>
          </cell>
        </row>
        <row r="4859">
          <cell r="A4859" t="str">
            <v>2RH1SR202A-V4</v>
          </cell>
          <cell r="B4859" t="str">
            <v>SMT</v>
          </cell>
          <cell r="C4859">
            <v>1</v>
          </cell>
          <cell r="D4859">
            <v>2</v>
          </cell>
          <cell r="E4859">
            <v>9210</v>
          </cell>
          <cell r="F4859" t="str">
            <v>VE01</v>
          </cell>
          <cell r="G4859" t="str">
            <v>Auto</v>
          </cell>
          <cell r="H4859">
            <v>311</v>
          </cell>
          <cell r="I4859">
            <v>9210</v>
          </cell>
          <cell r="J4859">
            <v>9220</v>
          </cell>
          <cell r="K4859" t="str">
            <v>VE01</v>
          </cell>
        </row>
        <row r="4860">
          <cell r="A4860" t="str">
            <v>3RE1SR204AYSZB-V4</v>
          </cell>
          <cell r="B4860" t="str">
            <v>SMT</v>
          </cell>
          <cell r="C4860">
            <v>1</v>
          </cell>
          <cell r="D4860">
            <v>416</v>
          </cell>
          <cell r="E4860">
            <v>9210</v>
          </cell>
          <cell r="F4860" t="str">
            <v>VE01</v>
          </cell>
          <cell r="G4860" t="str">
            <v>Auto</v>
          </cell>
          <cell r="H4860">
            <v>311</v>
          </cell>
          <cell r="I4860">
            <v>9210</v>
          </cell>
          <cell r="J4860">
            <v>9220</v>
          </cell>
          <cell r="K4860" t="str">
            <v>VE01</v>
          </cell>
        </row>
        <row r="4861">
          <cell r="A4861" t="str">
            <v>4RE2SE200A-V4</v>
          </cell>
          <cell r="B4861" t="str">
            <v>SMT</v>
          </cell>
          <cell r="C4861">
            <v>1</v>
          </cell>
          <cell r="D4861">
            <v>38</v>
          </cell>
          <cell r="E4861">
            <v>9210</v>
          </cell>
          <cell r="F4861" t="str">
            <v>VE01</v>
          </cell>
          <cell r="G4861" t="str">
            <v>Auto</v>
          </cell>
          <cell r="H4861">
            <v>311</v>
          </cell>
          <cell r="I4861">
            <v>9210</v>
          </cell>
          <cell r="J4861">
            <v>9220</v>
          </cell>
          <cell r="K4861" t="str">
            <v>VE01</v>
          </cell>
        </row>
        <row r="4862">
          <cell r="A4862" t="str">
            <v>4RE2SR204A-V4</v>
          </cell>
          <cell r="B4862" t="str">
            <v>SMT</v>
          </cell>
          <cell r="C4862">
            <v>1</v>
          </cell>
          <cell r="D4862">
            <v>51</v>
          </cell>
          <cell r="E4862">
            <v>9210</v>
          </cell>
          <cell r="F4862" t="str">
            <v>VE01</v>
          </cell>
          <cell r="G4862" t="str">
            <v>Auto</v>
          </cell>
          <cell r="H4862">
            <v>311</v>
          </cell>
          <cell r="I4862">
            <v>9210</v>
          </cell>
          <cell r="J4862">
            <v>9220</v>
          </cell>
          <cell r="K4862" t="str">
            <v>VE01</v>
          </cell>
        </row>
        <row r="4863">
          <cell r="A4863" t="str">
            <v>1RE1SA250A-V4</v>
          </cell>
          <cell r="B4863" t="str">
            <v>SMT</v>
          </cell>
          <cell r="C4863">
            <v>1</v>
          </cell>
          <cell r="D4863">
            <v>326</v>
          </cell>
        </row>
        <row r="4864">
          <cell r="A4864" t="str">
            <v>1RE1SE200A-V4</v>
          </cell>
          <cell r="B4864" t="str">
            <v>SMT</v>
          </cell>
          <cell r="C4864">
            <v>1</v>
          </cell>
          <cell r="D4864">
            <v>163</v>
          </cell>
        </row>
        <row r="4865">
          <cell r="A4865" t="str">
            <v>1RE1SR152</v>
          </cell>
          <cell r="B4865" t="str">
            <v>SMT</v>
          </cell>
          <cell r="C4865">
            <v>1</v>
          </cell>
          <cell r="D4865">
            <v>387</v>
          </cell>
        </row>
        <row r="4866">
          <cell r="A4866" t="str">
            <v>1RE1ST200-V4</v>
          </cell>
          <cell r="B4866" t="str">
            <v>SMT</v>
          </cell>
          <cell r="C4866">
            <v>1</v>
          </cell>
          <cell r="D4866">
            <v>115</v>
          </cell>
        </row>
        <row r="4867">
          <cell r="A4867" t="str">
            <v>1RE1ST210-V4</v>
          </cell>
          <cell r="B4867" t="str">
            <v>SMT</v>
          </cell>
          <cell r="C4867">
            <v>1</v>
          </cell>
          <cell r="D4867">
            <v>106</v>
          </cell>
        </row>
        <row r="4868">
          <cell r="A4868" t="str">
            <v>1RE1ST250-V4</v>
          </cell>
          <cell r="B4868" t="str">
            <v>SMT</v>
          </cell>
          <cell r="C4868">
            <v>1</v>
          </cell>
          <cell r="D4868">
            <v>115</v>
          </cell>
        </row>
        <row r="4869">
          <cell r="A4869" t="str">
            <v>1RE1ST400-V4</v>
          </cell>
          <cell r="B4869" t="str">
            <v>SMT</v>
          </cell>
          <cell r="C4869">
            <v>1</v>
          </cell>
          <cell r="D4869">
            <v>114</v>
          </cell>
        </row>
        <row r="4870">
          <cell r="A4870" t="str">
            <v>1RE1ST510-V4</v>
          </cell>
          <cell r="B4870" t="str">
            <v>SMT</v>
          </cell>
          <cell r="C4870">
            <v>1</v>
          </cell>
          <cell r="D4870">
            <v>153</v>
          </cell>
        </row>
        <row r="4871">
          <cell r="A4871" t="str">
            <v>2AE1SR202A-V4</v>
          </cell>
          <cell r="B4871" t="str">
            <v>SMT</v>
          </cell>
          <cell r="C4871">
            <v>1</v>
          </cell>
          <cell r="D4871">
            <v>2</v>
          </cell>
        </row>
        <row r="4872">
          <cell r="A4872" t="str">
            <v>2RE1SR202A-V4</v>
          </cell>
          <cell r="B4872" t="str">
            <v>SMT</v>
          </cell>
          <cell r="C4872">
            <v>1</v>
          </cell>
          <cell r="D4872">
            <v>126</v>
          </cell>
        </row>
        <row r="4873">
          <cell r="A4873" t="str">
            <v>4RE1SE200A-V4</v>
          </cell>
          <cell r="B4873" t="str">
            <v>SMT</v>
          </cell>
          <cell r="C4873">
            <v>1</v>
          </cell>
          <cell r="D4873">
            <v>130</v>
          </cell>
        </row>
        <row r="4874">
          <cell r="A4874" t="str">
            <v>4RE1SR204A-V4</v>
          </cell>
          <cell r="B4874" t="str">
            <v>SMT</v>
          </cell>
          <cell r="C4874">
            <v>1</v>
          </cell>
          <cell r="D4874">
            <v>184</v>
          </cell>
        </row>
        <row r="4875">
          <cell r="A4875" t="str">
            <v>1RE1SR202A-V4</v>
          </cell>
          <cell r="B4875" t="str">
            <v>SMT</v>
          </cell>
          <cell r="C4875">
            <v>1</v>
          </cell>
          <cell r="D4875">
            <v>460</v>
          </cell>
        </row>
        <row r="4876">
          <cell r="A4876" t="str">
            <v>1RE2CC412APYSZB-V4</v>
          </cell>
          <cell r="B4876" t="str">
            <v>SMT</v>
          </cell>
          <cell r="C4876">
            <v>1</v>
          </cell>
          <cell r="D4876">
            <v>501</v>
          </cell>
          <cell r="E4876">
            <v>9210</v>
          </cell>
          <cell r="F4876" t="str">
            <v>VE01</v>
          </cell>
          <cell r="G4876" t="str">
            <v>Auto</v>
          </cell>
          <cell r="H4876">
            <v>311</v>
          </cell>
          <cell r="I4876">
            <v>9210</v>
          </cell>
          <cell r="J4876">
            <v>9220</v>
          </cell>
          <cell r="K4876" t="str">
            <v>VE01</v>
          </cell>
        </row>
        <row r="4877">
          <cell r="A4877" t="str">
            <v>1RE2CC412AYSZB-V4</v>
          </cell>
          <cell r="B4877" t="str">
            <v>SMT</v>
          </cell>
          <cell r="C4877">
            <v>1</v>
          </cell>
          <cell r="D4877">
            <v>501</v>
          </cell>
          <cell r="E4877">
            <v>9210</v>
          </cell>
          <cell r="F4877" t="str">
            <v>VE01</v>
          </cell>
          <cell r="G4877" t="str">
            <v>Auto</v>
          </cell>
          <cell r="H4877">
            <v>311</v>
          </cell>
          <cell r="I4877">
            <v>9210</v>
          </cell>
          <cell r="J4877">
            <v>9220</v>
          </cell>
          <cell r="K4877" t="str">
            <v>VE01</v>
          </cell>
        </row>
        <row r="4878">
          <cell r="A4878" t="str">
            <v>1RE2CM210-V4</v>
          </cell>
          <cell r="B4878" t="str">
            <v>SMT</v>
          </cell>
          <cell r="C4878">
            <v>1</v>
          </cell>
          <cell r="D4878">
            <v>12</v>
          </cell>
          <cell r="E4878">
            <v>9210</v>
          </cell>
          <cell r="F4878" t="str">
            <v>VE01</v>
          </cell>
          <cell r="G4878" t="str">
            <v>Auto</v>
          </cell>
          <cell r="H4878">
            <v>311</v>
          </cell>
          <cell r="I4878">
            <v>9210</v>
          </cell>
          <cell r="J4878">
            <v>9340</v>
          </cell>
          <cell r="K4878" t="str">
            <v>VE01</v>
          </cell>
        </row>
        <row r="4879">
          <cell r="A4879" t="str">
            <v>1RE2CR200-V4</v>
          </cell>
          <cell r="B4879" t="str">
            <v>SMT</v>
          </cell>
          <cell r="C4879">
            <v>1</v>
          </cell>
          <cell r="D4879">
            <v>257</v>
          </cell>
          <cell r="E4879">
            <v>9210</v>
          </cell>
          <cell r="F4879" t="str">
            <v>VE01</v>
          </cell>
          <cell r="G4879" t="str">
            <v>Auto</v>
          </cell>
          <cell r="H4879">
            <v>311</v>
          </cell>
          <cell r="I4879">
            <v>9210</v>
          </cell>
          <cell r="J4879">
            <v>9340</v>
          </cell>
          <cell r="K4879" t="str">
            <v>VE01</v>
          </cell>
        </row>
        <row r="4880">
          <cell r="A4880" t="str">
            <v>1RE2CT200-V4</v>
          </cell>
          <cell r="B4880" t="str">
            <v>SMT</v>
          </cell>
          <cell r="C4880">
            <v>1</v>
          </cell>
          <cell r="D4880">
            <v>117</v>
          </cell>
          <cell r="E4880">
            <v>9210</v>
          </cell>
          <cell r="F4880" t="str">
            <v>VE01</v>
          </cell>
          <cell r="G4880" t="str">
            <v>Auto</v>
          </cell>
          <cell r="H4880">
            <v>311</v>
          </cell>
          <cell r="I4880">
            <v>9210</v>
          </cell>
          <cell r="J4880">
            <v>9340</v>
          </cell>
          <cell r="K4880" t="str">
            <v>VE01</v>
          </cell>
        </row>
        <row r="4881">
          <cell r="A4881" t="str">
            <v>1RE2CX200-V4</v>
          </cell>
          <cell r="B4881" t="str">
            <v>SMT</v>
          </cell>
          <cell r="C4881">
            <v>1</v>
          </cell>
          <cell r="D4881">
            <v>717</v>
          </cell>
          <cell r="E4881">
            <v>9210</v>
          </cell>
          <cell r="F4881" t="str">
            <v>VE01</v>
          </cell>
          <cell r="G4881" t="str">
            <v>Auto</v>
          </cell>
          <cell r="H4881">
            <v>311</v>
          </cell>
          <cell r="I4881">
            <v>9210</v>
          </cell>
          <cell r="J4881">
            <v>9220</v>
          </cell>
          <cell r="K4881" t="str">
            <v>VE01</v>
          </cell>
        </row>
        <row r="4882">
          <cell r="A4882" t="str">
            <v>1RE2CZ200-V4</v>
          </cell>
          <cell r="B4882" t="str">
            <v>SMT</v>
          </cell>
          <cell r="C4882">
            <v>1</v>
          </cell>
          <cell r="D4882">
            <v>439</v>
          </cell>
          <cell r="E4882">
            <v>9210</v>
          </cell>
          <cell r="F4882" t="str">
            <v>VE01</v>
          </cell>
          <cell r="G4882" t="str">
            <v>Auto</v>
          </cell>
          <cell r="H4882">
            <v>311</v>
          </cell>
          <cell r="I4882">
            <v>9210</v>
          </cell>
          <cell r="J4882">
            <v>9340</v>
          </cell>
          <cell r="K4882" t="str">
            <v>VE01</v>
          </cell>
        </row>
        <row r="4883">
          <cell r="A4883" t="str">
            <v>1RE2SR102A-V4</v>
          </cell>
          <cell r="B4883" t="str">
            <v>SMT</v>
          </cell>
          <cell r="C4883">
            <v>1</v>
          </cell>
          <cell r="D4883">
            <v>317</v>
          </cell>
          <cell r="E4883">
            <v>9210</v>
          </cell>
          <cell r="F4883" t="str">
            <v>VE01</v>
          </cell>
          <cell r="G4883" t="str">
            <v>Auto</v>
          </cell>
          <cell r="H4883">
            <v>311</v>
          </cell>
          <cell r="I4883">
            <v>9210</v>
          </cell>
          <cell r="J4883">
            <v>9220</v>
          </cell>
          <cell r="K4883" t="str">
            <v>VE01</v>
          </cell>
        </row>
        <row r="4884">
          <cell r="A4884" t="str">
            <v>1RE2SZ100-V4</v>
          </cell>
          <cell r="B4884" t="str">
            <v>SMT</v>
          </cell>
          <cell r="C4884">
            <v>1</v>
          </cell>
          <cell r="D4884">
            <v>39</v>
          </cell>
          <cell r="E4884">
            <v>9210</v>
          </cell>
          <cell r="F4884" t="str">
            <v>VE01</v>
          </cell>
          <cell r="G4884" t="str">
            <v>Auto</v>
          </cell>
          <cell r="H4884">
            <v>311</v>
          </cell>
          <cell r="I4884">
            <v>9210</v>
          </cell>
          <cell r="J4884">
            <v>9340</v>
          </cell>
          <cell r="K4884" t="str">
            <v>VE01</v>
          </cell>
        </row>
        <row r="4885">
          <cell r="A4885" t="str">
            <v>2RE1CX200-V4</v>
          </cell>
          <cell r="B4885" t="str">
            <v>SMT</v>
          </cell>
          <cell r="C4885">
            <v>1</v>
          </cell>
          <cell r="D4885">
            <v>99</v>
          </cell>
          <cell r="E4885">
            <v>9210</v>
          </cell>
          <cell r="F4885" t="str">
            <v>VE01</v>
          </cell>
          <cell r="G4885" t="str">
            <v>Auto</v>
          </cell>
          <cell r="H4885">
            <v>311</v>
          </cell>
          <cell r="I4885">
            <v>9210</v>
          </cell>
          <cell r="J4885">
            <v>9220</v>
          </cell>
          <cell r="K4885" t="str">
            <v>VE01</v>
          </cell>
        </row>
        <row r="4886">
          <cell r="A4886" t="str">
            <v>2RE2CC411A-V4</v>
          </cell>
          <cell r="B4886" t="str">
            <v>SMT</v>
          </cell>
          <cell r="C4886">
            <v>1</v>
          </cell>
          <cell r="D4886">
            <v>111</v>
          </cell>
          <cell r="E4886">
            <v>9210</v>
          </cell>
          <cell r="F4886" t="str">
            <v>VE01</v>
          </cell>
          <cell r="G4886" t="str">
            <v>Auto</v>
          </cell>
          <cell r="H4886">
            <v>311</v>
          </cell>
          <cell r="I4886">
            <v>9210</v>
          </cell>
          <cell r="J4886">
            <v>9340</v>
          </cell>
          <cell r="K4886" t="str">
            <v>VE01</v>
          </cell>
        </row>
        <row r="4887">
          <cell r="A4887" t="str">
            <v>2RE2CC411AP-V4</v>
          </cell>
          <cell r="B4887" t="str">
            <v>SMT</v>
          </cell>
          <cell r="C4887">
            <v>1</v>
          </cell>
          <cell r="D4887">
            <v>111</v>
          </cell>
          <cell r="E4887">
            <v>9210</v>
          </cell>
          <cell r="F4887" t="str">
            <v>VE01</v>
          </cell>
          <cell r="G4887" t="str">
            <v>Auto</v>
          </cell>
          <cell r="H4887">
            <v>311</v>
          </cell>
          <cell r="I4887">
            <v>9210</v>
          </cell>
          <cell r="J4887">
            <v>9340</v>
          </cell>
          <cell r="K4887" t="str">
            <v>VE01</v>
          </cell>
        </row>
        <row r="4888">
          <cell r="A4888" t="str">
            <v>3RE1CX200-V4</v>
          </cell>
          <cell r="B4888" t="str">
            <v>SMT</v>
          </cell>
          <cell r="C4888">
            <v>1</v>
          </cell>
          <cell r="D4888">
            <v>443</v>
          </cell>
          <cell r="E4888">
            <v>9210</v>
          </cell>
          <cell r="F4888" t="str">
            <v>VE01</v>
          </cell>
          <cell r="G4888" t="str">
            <v>Auto</v>
          </cell>
          <cell r="H4888">
            <v>311</v>
          </cell>
          <cell r="I4888">
            <v>9210</v>
          </cell>
          <cell r="J4888">
            <v>9220</v>
          </cell>
          <cell r="K4888" t="str">
            <v>VE01</v>
          </cell>
        </row>
        <row r="4889">
          <cell r="A4889" t="str">
            <v>3RE1SR202AYSZB-V4</v>
          </cell>
          <cell r="B4889" t="str">
            <v>SMT</v>
          </cell>
          <cell r="C4889">
            <v>1</v>
          </cell>
          <cell r="D4889">
            <v>288</v>
          </cell>
          <cell r="E4889">
            <v>9210</v>
          </cell>
          <cell r="F4889" t="str">
            <v>VE01</v>
          </cell>
          <cell r="G4889" t="str">
            <v>Auto</v>
          </cell>
          <cell r="H4889">
            <v>311</v>
          </cell>
          <cell r="I4889">
            <v>9210</v>
          </cell>
          <cell r="J4889">
            <v>9220</v>
          </cell>
          <cell r="K4889" t="str">
            <v>VE01</v>
          </cell>
        </row>
        <row r="4890">
          <cell r="A4890" t="str">
            <v>3RE2CH455YSZB-V4</v>
          </cell>
          <cell r="B4890" t="str">
            <v>SMT</v>
          </cell>
          <cell r="C4890">
            <v>1</v>
          </cell>
          <cell r="D4890">
            <v>122</v>
          </cell>
          <cell r="E4890">
            <v>9210</v>
          </cell>
          <cell r="F4890" t="str">
            <v>VE01</v>
          </cell>
          <cell r="G4890" t="str">
            <v>Auto</v>
          </cell>
          <cell r="H4890">
            <v>311</v>
          </cell>
          <cell r="I4890">
            <v>9210</v>
          </cell>
          <cell r="J4890">
            <v>9340</v>
          </cell>
          <cell r="K4890" t="str">
            <v>VE01</v>
          </cell>
        </row>
        <row r="4891">
          <cell r="A4891" t="str">
            <v>4RE2SR202A-V4</v>
          </cell>
          <cell r="B4891" t="str">
            <v>SMT</v>
          </cell>
          <cell r="C4891">
            <v>1</v>
          </cell>
          <cell r="D4891">
            <v>33</v>
          </cell>
          <cell r="E4891">
            <v>9210</v>
          </cell>
          <cell r="F4891" t="str">
            <v>VE01</v>
          </cell>
          <cell r="G4891" t="str">
            <v>Auto</v>
          </cell>
          <cell r="H4891">
            <v>311</v>
          </cell>
          <cell r="I4891">
            <v>9210</v>
          </cell>
          <cell r="J4891">
            <v>9220</v>
          </cell>
          <cell r="K4891" t="str">
            <v>VE01</v>
          </cell>
        </row>
        <row r="4892">
          <cell r="A4892" t="str">
            <v>1RE1CC412APYSZB-V4</v>
          </cell>
          <cell r="B4892" t="str">
            <v>SMT</v>
          </cell>
          <cell r="C4892">
            <v>1</v>
          </cell>
          <cell r="D4892">
            <v>939</v>
          </cell>
        </row>
        <row r="4893">
          <cell r="A4893" t="str">
            <v>1RE1CC412AYSZB-V4</v>
          </cell>
          <cell r="B4893" t="str">
            <v>SMT</v>
          </cell>
          <cell r="C4893">
            <v>1</v>
          </cell>
          <cell r="D4893">
            <v>939</v>
          </cell>
        </row>
        <row r="4894">
          <cell r="A4894" t="str">
            <v>1RE1CM210-V4</v>
          </cell>
          <cell r="B4894" t="str">
            <v>SMT</v>
          </cell>
          <cell r="C4894">
            <v>1</v>
          </cell>
          <cell r="D4894">
            <v>8</v>
          </cell>
        </row>
        <row r="4895">
          <cell r="A4895" t="str">
            <v>1RE1CR200-V4</v>
          </cell>
          <cell r="B4895" t="str">
            <v>SMT</v>
          </cell>
          <cell r="C4895">
            <v>1</v>
          </cell>
          <cell r="D4895">
            <v>98</v>
          </cell>
        </row>
        <row r="4896">
          <cell r="A4896" t="str">
            <v>1RE1CT200-V4</v>
          </cell>
          <cell r="B4896" t="str">
            <v>SMT</v>
          </cell>
          <cell r="C4896">
            <v>1</v>
          </cell>
          <cell r="D4896">
            <v>76</v>
          </cell>
        </row>
        <row r="4897">
          <cell r="A4897" t="str">
            <v>1RE1CX200-V4</v>
          </cell>
          <cell r="B4897" t="str">
            <v>SMT</v>
          </cell>
          <cell r="C4897">
            <v>1</v>
          </cell>
          <cell r="D4897">
            <v>334</v>
          </cell>
        </row>
        <row r="4898">
          <cell r="A4898" t="str">
            <v>1RE1CZ200-V4</v>
          </cell>
          <cell r="B4898" t="str">
            <v>SMT</v>
          </cell>
          <cell r="C4898">
            <v>1</v>
          </cell>
          <cell r="D4898">
            <v>189</v>
          </cell>
        </row>
        <row r="4899">
          <cell r="A4899" t="str">
            <v>1RE1SR102A-V4</v>
          </cell>
          <cell r="B4899" t="str">
            <v>SMT</v>
          </cell>
          <cell r="C4899">
            <v>1</v>
          </cell>
          <cell r="D4899">
            <v>138</v>
          </cell>
        </row>
        <row r="4900">
          <cell r="A4900" t="str">
            <v>1RE1SZ100-V4</v>
          </cell>
          <cell r="B4900" t="str">
            <v>SMT</v>
          </cell>
          <cell r="C4900">
            <v>1</v>
          </cell>
          <cell r="D4900">
            <v>26</v>
          </cell>
        </row>
        <row r="4901">
          <cell r="A4901" t="str">
            <v>2RE1CC411A-V4</v>
          </cell>
          <cell r="B4901" t="str">
            <v>SMT</v>
          </cell>
          <cell r="C4901">
            <v>1</v>
          </cell>
          <cell r="D4901">
            <v>121</v>
          </cell>
        </row>
        <row r="4902">
          <cell r="A4902" t="str">
            <v>2RE1CC411AP-V4</v>
          </cell>
          <cell r="B4902" t="str">
            <v>SMT</v>
          </cell>
          <cell r="C4902">
            <v>1</v>
          </cell>
          <cell r="D4902">
            <v>121</v>
          </cell>
        </row>
        <row r="4903">
          <cell r="A4903" t="str">
            <v>3RE1CH455YSZB-V4</v>
          </cell>
          <cell r="B4903" t="str">
            <v>SMT</v>
          </cell>
          <cell r="C4903">
            <v>1</v>
          </cell>
          <cell r="D4903">
            <v>123</v>
          </cell>
        </row>
        <row r="4904">
          <cell r="A4904" t="str">
            <v>4RE1SR202A-V4</v>
          </cell>
          <cell r="B4904" t="str">
            <v>SMT</v>
          </cell>
          <cell r="C4904">
            <v>1</v>
          </cell>
          <cell r="D4904">
            <v>135</v>
          </cell>
        </row>
        <row r="4905">
          <cell r="A4905" t="str">
            <v>1VJ1SA250A-V4</v>
          </cell>
          <cell r="B4905" t="str">
            <v>SMT</v>
          </cell>
          <cell r="C4905">
            <v>1</v>
          </cell>
          <cell r="D4905" t="e">
            <v>#N/A</v>
          </cell>
        </row>
        <row r="4906">
          <cell r="A4906" t="str">
            <v>1VJ1SE200A-V4</v>
          </cell>
          <cell r="B4906" t="str">
            <v>SMT</v>
          </cell>
          <cell r="C4906">
            <v>1</v>
          </cell>
          <cell r="D4906" t="e">
            <v>#N/A</v>
          </cell>
        </row>
        <row r="4907">
          <cell r="A4907" t="str">
            <v>1VJ1ST200-V4</v>
          </cell>
          <cell r="B4907" t="str">
            <v>SMT</v>
          </cell>
          <cell r="C4907">
            <v>1</v>
          </cell>
          <cell r="D4907" t="e">
            <v>#N/A</v>
          </cell>
        </row>
        <row r="4908">
          <cell r="A4908" t="str">
            <v>1VJ1ST210-V4</v>
          </cell>
          <cell r="B4908" t="str">
            <v>SMT</v>
          </cell>
          <cell r="C4908">
            <v>1</v>
          </cell>
          <cell r="D4908" t="e">
            <v>#N/A</v>
          </cell>
        </row>
        <row r="4909">
          <cell r="A4909" t="str">
            <v>1VJ1ST250-V4</v>
          </cell>
          <cell r="B4909" t="str">
            <v>SMT</v>
          </cell>
          <cell r="C4909">
            <v>1</v>
          </cell>
          <cell r="D4909" t="e">
            <v>#N/A</v>
          </cell>
        </row>
        <row r="4910">
          <cell r="A4910" t="str">
            <v>1VJ1ST400-V4</v>
          </cell>
          <cell r="B4910" t="str">
            <v>SMT</v>
          </cell>
          <cell r="C4910">
            <v>1</v>
          </cell>
          <cell r="D4910" t="e">
            <v>#N/A</v>
          </cell>
        </row>
        <row r="4911">
          <cell r="A4911" t="str">
            <v>1VJ1ST510-V4</v>
          </cell>
          <cell r="B4911" t="str">
            <v>SMT</v>
          </cell>
          <cell r="C4911">
            <v>1</v>
          </cell>
          <cell r="D4911" t="e">
            <v>#N/A</v>
          </cell>
        </row>
        <row r="4912">
          <cell r="A4912" t="str">
            <v>2VJ1SA250A-V4</v>
          </cell>
          <cell r="B4912" t="str">
            <v>SMT</v>
          </cell>
          <cell r="C4912">
            <v>1</v>
          </cell>
          <cell r="D4912" t="e">
            <v>#N/A</v>
          </cell>
        </row>
        <row r="4913">
          <cell r="A4913" t="str">
            <v>2VJ1SR202A-V4</v>
          </cell>
          <cell r="B4913" t="str">
            <v>SMT</v>
          </cell>
          <cell r="C4913">
            <v>1</v>
          </cell>
          <cell r="D4913" t="e">
            <v>#N/A</v>
          </cell>
        </row>
        <row r="4914">
          <cell r="A4914" t="str">
            <v>3VJ1SR202A-V4</v>
          </cell>
          <cell r="B4914" t="str">
            <v>SMT</v>
          </cell>
          <cell r="C4914">
            <v>1</v>
          </cell>
          <cell r="D4914" t="e">
            <v>#N/A</v>
          </cell>
        </row>
        <row r="4915">
          <cell r="A4915" t="str">
            <v>PGLB2122ZA-GL</v>
          </cell>
          <cell r="B4915" t="str">
            <v>SMT</v>
          </cell>
          <cell r="C4915">
            <v>1</v>
          </cell>
          <cell r="D4915" t="e">
            <v>#N/A</v>
          </cell>
        </row>
        <row r="4916">
          <cell r="A4916" t="str">
            <v>PGLB2123ZA-WK</v>
          </cell>
          <cell r="B4916" t="str">
            <v>SMT</v>
          </cell>
          <cell r="C4916">
            <v>1</v>
          </cell>
          <cell r="D4916" t="e">
            <v>#N/A</v>
          </cell>
        </row>
        <row r="4917">
          <cell r="A4917" t="str">
            <v>PGLB2129ZA-6H</v>
          </cell>
          <cell r="B4917" t="str">
            <v>SMT</v>
          </cell>
          <cell r="C4917">
            <v>1</v>
          </cell>
          <cell r="D4917" t="e">
            <v>#N/A</v>
          </cell>
        </row>
        <row r="4918">
          <cell r="A4918" t="str">
            <v>PGLB2131YA-WK</v>
          </cell>
          <cell r="B4918" t="str">
            <v>SMT</v>
          </cell>
          <cell r="C4918">
            <v>1</v>
          </cell>
          <cell r="D4918">
            <v>1</v>
          </cell>
        </row>
        <row r="4919">
          <cell r="A4919" t="str">
            <v>PGLB2132YA-XM</v>
          </cell>
          <cell r="B4919" t="str">
            <v>SMT</v>
          </cell>
          <cell r="C4919">
            <v>1</v>
          </cell>
          <cell r="D4919" t="e">
            <v>#N/A</v>
          </cell>
        </row>
        <row r="4920">
          <cell r="A4920" t="str">
            <v>PGLB2133YA-WK</v>
          </cell>
          <cell r="B4920" t="str">
            <v>SMT</v>
          </cell>
          <cell r="C4920">
            <v>1</v>
          </cell>
          <cell r="D4920">
            <v>1</v>
          </cell>
        </row>
        <row r="4921">
          <cell r="A4921" t="str">
            <v>PGLB2134ZA-6H</v>
          </cell>
          <cell r="B4921" t="str">
            <v>SMT</v>
          </cell>
          <cell r="C4921">
            <v>1</v>
          </cell>
          <cell r="D4921" t="e">
            <v>#N/A</v>
          </cell>
        </row>
        <row r="4922">
          <cell r="A4922" t="str">
            <v>PGLB2153ZA-4Z</v>
          </cell>
          <cell r="B4922" t="str">
            <v>SMT</v>
          </cell>
          <cell r="C4922">
            <v>1</v>
          </cell>
          <cell r="D4922" t="e">
            <v>#N/A</v>
          </cell>
        </row>
        <row r="4923">
          <cell r="A4923" t="str">
            <v>PGLB2154ZA-4V</v>
          </cell>
          <cell r="B4923" t="str">
            <v>SMT</v>
          </cell>
          <cell r="C4923">
            <v>1</v>
          </cell>
          <cell r="D4923" t="e">
            <v>#N/A</v>
          </cell>
        </row>
        <row r="4924">
          <cell r="A4924" t="str">
            <v>PGLB2197ZA-WK</v>
          </cell>
          <cell r="B4924" t="str">
            <v>SMT</v>
          </cell>
          <cell r="C4924">
            <v>1</v>
          </cell>
          <cell r="D4924" t="e">
            <v>#N/A</v>
          </cell>
        </row>
        <row r="4925">
          <cell r="A4925" t="str">
            <v>PULB1025ZA-GL</v>
          </cell>
          <cell r="B4925" t="str">
            <v>SMT</v>
          </cell>
          <cell r="C4925">
            <v>1</v>
          </cell>
          <cell r="D4925">
            <v>0</v>
          </cell>
        </row>
        <row r="4926">
          <cell r="A4926" t="str">
            <v>1VJ1SR202A-V4</v>
          </cell>
          <cell r="B4926" t="str">
            <v>SMT</v>
          </cell>
          <cell r="C4926">
            <v>1</v>
          </cell>
          <cell r="D4926" t="e">
            <v>#N/A</v>
          </cell>
        </row>
        <row r="4927">
          <cell r="A4927" t="str">
            <v>1VI1CH455YSZB-V4</v>
          </cell>
          <cell r="B4927" t="str">
            <v>SMT</v>
          </cell>
          <cell r="C4927">
            <v>1</v>
          </cell>
          <cell r="D4927" t="e">
            <v>#N/A</v>
          </cell>
        </row>
        <row r="4928">
          <cell r="A4928" t="str">
            <v>1VJ1CC411ABB1-V4</v>
          </cell>
          <cell r="B4928" t="str">
            <v>SMT</v>
          </cell>
          <cell r="C4928">
            <v>1</v>
          </cell>
          <cell r="D4928" t="e">
            <v>#N/A</v>
          </cell>
        </row>
        <row r="4929">
          <cell r="A4929" t="str">
            <v>1VJ1CC411APBB1-V4</v>
          </cell>
          <cell r="B4929" t="str">
            <v>SMT</v>
          </cell>
          <cell r="C4929">
            <v>1</v>
          </cell>
          <cell r="D4929" t="e">
            <v>#N/A</v>
          </cell>
        </row>
        <row r="4930">
          <cell r="A4930" t="str">
            <v>1VJ1CH455YSZB-V4</v>
          </cell>
          <cell r="B4930" t="str">
            <v>SMT</v>
          </cell>
          <cell r="C4930">
            <v>1</v>
          </cell>
          <cell r="D4930" t="e">
            <v>#N/A</v>
          </cell>
        </row>
        <row r="4931">
          <cell r="A4931" t="str">
            <v>1VJ1CR200-V4</v>
          </cell>
          <cell r="B4931" t="str">
            <v>SMT</v>
          </cell>
          <cell r="C4931">
            <v>1</v>
          </cell>
          <cell r="D4931">
            <v>1</v>
          </cell>
        </row>
        <row r="4932">
          <cell r="A4932" t="str">
            <v>1VJ1CT200-V4</v>
          </cell>
          <cell r="B4932" t="str">
            <v>SMT</v>
          </cell>
          <cell r="C4932">
            <v>1</v>
          </cell>
          <cell r="D4932" t="e">
            <v>#N/A</v>
          </cell>
        </row>
        <row r="4933">
          <cell r="A4933" t="str">
            <v>1VJ1CX200-V4</v>
          </cell>
          <cell r="B4933" t="str">
            <v>SMT</v>
          </cell>
          <cell r="C4933">
            <v>1</v>
          </cell>
          <cell r="D4933">
            <v>1</v>
          </cell>
        </row>
        <row r="4934">
          <cell r="A4934" t="str">
            <v>1VJ1SR102A-V4</v>
          </cell>
          <cell r="B4934" t="str">
            <v>SMT</v>
          </cell>
          <cell r="C4934">
            <v>1</v>
          </cell>
          <cell r="D4934" t="e">
            <v>#N/A</v>
          </cell>
        </row>
        <row r="4935">
          <cell r="A4935" t="str">
            <v>2VI1CC411AUNI1-V4</v>
          </cell>
          <cell r="B4935" t="str">
            <v>SMT</v>
          </cell>
          <cell r="C4935">
            <v>1</v>
          </cell>
          <cell r="D4935" t="e">
            <v>#N/A</v>
          </cell>
        </row>
        <row r="4936">
          <cell r="A4936" t="str">
            <v>2VJ1CC411APUNI1-V4</v>
          </cell>
          <cell r="B4936" t="str">
            <v>SMT</v>
          </cell>
          <cell r="C4936">
            <v>1</v>
          </cell>
          <cell r="D4936" t="e">
            <v>#N/A</v>
          </cell>
        </row>
        <row r="4937">
          <cell r="A4937" t="str">
            <v>2VJ2CC411APUNI2-V4</v>
          </cell>
          <cell r="B4937" t="str">
            <v>SMT</v>
          </cell>
          <cell r="C4937">
            <v>1</v>
          </cell>
          <cell r="D4937" t="e">
            <v>#N/A</v>
          </cell>
        </row>
        <row r="4938">
          <cell r="A4938" t="str">
            <v>2VJ2CC411AUNI2-V4</v>
          </cell>
          <cell r="B4938" t="str">
            <v>SMT</v>
          </cell>
          <cell r="C4938">
            <v>1</v>
          </cell>
          <cell r="D4938" t="e">
            <v>#N/A</v>
          </cell>
        </row>
        <row r="4939">
          <cell r="A4939" t="str">
            <v>3VJ1CC411APDSP1-V4</v>
          </cell>
          <cell r="B4939" t="str">
            <v>SMT</v>
          </cell>
          <cell r="C4939">
            <v>1</v>
          </cell>
          <cell r="D4939" t="e">
            <v>#N/A</v>
          </cell>
        </row>
        <row r="4940">
          <cell r="A4940" t="str">
            <v>4VJ1CC412ABB2-V4</v>
          </cell>
          <cell r="B4940" t="str">
            <v>SMT</v>
          </cell>
          <cell r="C4940">
            <v>1</v>
          </cell>
          <cell r="D4940" t="e">
            <v>#N/A</v>
          </cell>
        </row>
        <row r="4941">
          <cell r="A4941" t="str">
            <v>4VJ1CC412APBB2-V4</v>
          </cell>
          <cell r="B4941" t="str">
            <v>SMT</v>
          </cell>
          <cell r="C4941">
            <v>1</v>
          </cell>
          <cell r="D4941" t="e">
            <v>#N/A</v>
          </cell>
        </row>
        <row r="4942">
          <cell r="A4942" t="str">
            <v>5VJ1CC412APDSP2-V4</v>
          </cell>
          <cell r="B4942" t="str">
            <v>SMT</v>
          </cell>
          <cell r="C4942">
            <v>1</v>
          </cell>
          <cell r="D4942" t="e">
            <v>#N/A</v>
          </cell>
        </row>
        <row r="4943">
          <cell r="A4943" t="str">
            <v>PGLB1461WA-GL</v>
          </cell>
          <cell r="B4943" t="str">
            <v>SMT</v>
          </cell>
          <cell r="C4943">
            <v>1</v>
          </cell>
          <cell r="D4943">
            <v>1</v>
          </cell>
        </row>
        <row r="4944">
          <cell r="A4944" t="str">
            <v>PGLB1826ZA-GL</v>
          </cell>
          <cell r="B4944" t="str">
            <v>SMT</v>
          </cell>
          <cell r="C4944">
            <v>1</v>
          </cell>
          <cell r="D4944" t="e">
            <v>#N/A</v>
          </cell>
        </row>
        <row r="4945">
          <cell r="A4945" t="str">
            <v>PGLB2060ZA-GL</v>
          </cell>
          <cell r="B4945" t="str">
            <v>SMT</v>
          </cell>
          <cell r="C4945">
            <v>1</v>
          </cell>
          <cell r="D4945" t="e">
            <v>#N/A</v>
          </cell>
        </row>
        <row r="4946">
          <cell r="A4946" t="str">
            <v>PGLB2061ZA-4Z</v>
          </cell>
          <cell r="B4946" t="str">
            <v>SMT</v>
          </cell>
          <cell r="C4946">
            <v>1</v>
          </cell>
          <cell r="D4946">
            <v>1</v>
          </cell>
        </row>
        <row r="4947">
          <cell r="A4947" t="str">
            <v>PGLB2062ZA-4Z</v>
          </cell>
          <cell r="B4947" t="str">
            <v>SMT</v>
          </cell>
          <cell r="C4947">
            <v>1</v>
          </cell>
          <cell r="D4947">
            <v>1</v>
          </cell>
        </row>
        <row r="4948">
          <cell r="A4948" t="str">
            <v>PGLB2064ZA-4Z</v>
          </cell>
          <cell r="B4948" t="str">
            <v>SMT</v>
          </cell>
          <cell r="C4948">
            <v>1</v>
          </cell>
          <cell r="D4948">
            <v>1</v>
          </cell>
        </row>
        <row r="4949">
          <cell r="A4949" t="str">
            <v>PGLB2065ZA-4Z</v>
          </cell>
          <cell r="B4949" t="str">
            <v>SMT</v>
          </cell>
          <cell r="C4949">
            <v>1</v>
          </cell>
          <cell r="D4949">
            <v>1</v>
          </cell>
        </row>
        <row r="4950">
          <cell r="A4950" t="str">
            <v>PGLB2066ZA-4Z</v>
          </cell>
          <cell r="B4950" t="str">
            <v>SMT</v>
          </cell>
          <cell r="C4950">
            <v>1</v>
          </cell>
          <cell r="D4950">
            <v>1</v>
          </cell>
        </row>
        <row r="4951">
          <cell r="A4951" t="str">
            <v>PGLB2067ZA-4Z</v>
          </cell>
          <cell r="B4951" t="str">
            <v>SMT</v>
          </cell>
          <cell r="C4951">
            <v>1</v>
          </cell>
          <cell r="D4951" t="e">
            <v>#N/A</v>
          </cell>
        </row>
        <row r="4952">
          <cell r="A4952" t="str">
            <v>PGLB2092WA-GL</v>
          </cell>
          <cell r="B4952" t="str">
            <v>SMT</v>
          </cell>
          <cell r="C4952">
            <v>1</v>
          </cell>
          <cell r="D4952" t="e">
            <v>#N/A</v>
          </cell>
        </row>
        <row r="4953">
          <cell r="A4953" t="str">
            <v>1VJ1SR152</v>
          </cell>
          <cell r="B4953" t="str">
            <v>SMT</v>
          </cell>
          <cell r="C4953">
            <v>1</v>
          </cell>
          <cell r="D4953" t="e">
            <v>#N/A</v>
          </cell>
        </row>
        <row r="4954">
          <cell r="A4954" t="str">
            <v>2VJ1SR152</v>
          </cell>
          <cell r="B4954" t="str">
            <v>SMT</v>
          </cell>
          <cell r="C4954">
            <v>1</v>
          </cell>
          <cell r="D4954" t="e">
            <v>#N/A</v>
          </cell>
        </row>
        <row r="4955">
          <cell r="A4955" t="str">
            <v>1VJ2SR152</v>
          </cell>
          <cell r="B4955" t="str">
            <v>SMT</v>
          </cell>
          <cell r="C4955">
            <v>1</v>
          </cell>
          <cell r="D4955" t="e">
            <v>#N/A</v>
          </cell>
        </row>
        <row r="4956">
          <cell r="A4956" t="str">
            <v>2VJ2SR152</v>
          </cell>
          <cell r="B4956" t="str">
            <v>SMT</v>
          </cell>
          <cell r="C4956">
            <v>1</v>
          </cell>
          <cell r="D4956" t="e">
            <v>#N/A</v>
          </cell>
        </row>
        <row r="4957">
          <cell r="A4957" t="str">
            <v>3VJ2SR152</v>
          </cell>
          <cell r="B4957" t="str">
            <v>SMT</v>
          </cell>
          <cell r="C4957">
            <v>1</v>
          </cell>
          <cell r="D4957" t="e">
            <v>#N/A</v>
          </cell>
        </row>
        <row r="4958">
          <cell r="A4958" t="str">
            <v>1AE1A603L3J1AP2-P2</v>
          </cell>
          <cell r="B4958" t="str">
            <v>SMT</v>
          </cell>
          <cell r="C4958">
            <v>1</v>
          </cell>
          <cell r="D4958">
            <v>65</v>
          </cell>
        </row>
        <row r="4959">
          <cell r="A4959" t="str">
            <v>1RH1A603L3J1AP2-P2</v>
          </cell>
          <cell r="B4959" t="str">
            <v>SMT</v>
          </cell>
          <cell r="C4959">
            <v>1</v>
          </cell>
          <cell r="D4959">
            <v>8</v>
          </cell>
        </row>
        <row r="4960">
          <cell r="A4960" t="str">
            <v>1CM1A603L3J1AP2-P2</v>
          </cell>
          <cell r="B4960" t="str">
            <v>SMT</v>
          </cell>
          <cell r="C4960">
            <v>1</v>
          </cell>
          <cell r="D4960">
            <v>179</v>
          </cell>
          <cell r="E4960">
            <v>6210</v>
          </cell>
          <cell r="F4960" t="str">
            <v>VG01</v>
          </cell>
          <cell r="G4960" t="str">
            <v>Auto</v>
          </cell>
          <cell r="H4960">
            <v>311</v>
          </cell>
          <cell r="I4960">
            <v>6210</v>
          </cell>
          <cell r="J4960">
            <v>6220</v>
          </cell>
          <cell r="K4960" t="str">
            <v>VG01</v>
          </cell>
        </row>
        <row r="4961">
          <cell r="A4961" t="str">
            <v>1AE1A603L-3J3A-P2</v>
          </cell>
          <cell r="B4961" t="str">
            <v>SMT</v>
          </cell>
          <cell r="C4961">
            <v>1</v>
          </cell>
          <cell r="D4961">
            <v>74</v>
          </cell>
        </row>
        <row r="4962">
          <cell r="A4962" t="str">
            <v>A6260-3J30</v>
          </cell>
          <cell r="B4962" t="str">
            <v>SMT</v>
          </cell>
          <cell r="C4962">
            <v>1</v>
          </cell>
          <cell r="D4962" t="e">
            <v>#N/A</v>
          </cell>
        </row>
        <row r="4963">
          <cell r="A4963" t="str">
            <v>1RH1A603L-3J3A-P2</v>
          </cell>
          <cell r="B4963" t="str">
            <v>SMT</v>
          </cell>
          <cell r="C4963">
            <v>1</v>
          </cell>
          <cell r="D4963">
            <v>7</v>
          </cell>
        </row>
        <row r="4964">
          <cell r="A4964" t="str">
            <v>1CM1A603L-3J3A-P2</v>
          </cell>
          <cell r="B4964" t="str">
            <v>SMT</v>
          </cell>
          <cell r="C4964">
            <v>1</v>
          </cell>
          <cell r="D4964">
            <v>222</v>
          </cell>
          <cell r="E4964">
            <v>6210</v>
          </cell>
          <cell r="F4964" t="str">
            <v>VG01</v>
          </cell>
          <cell r="G4964" t="str">
            <v>Auto</v>
          </cell>
          <cell r="H4964">
            <v>311</v>
          </cell>
          <cell r="I4964">
            <v>6210</v>
          </cell>
          <cell r="J4964">
            <v>6220</v>
          </cell>
          <cell r="K4964" t="str">
            <v>VG01</v>
          </cell>
        </row>
        <row r="4965">
          <cell r="A4965" t="str">
            <v>1AE1A603M-3J0A-P2</v>
          </cell>
          <cell r="B4965" t="str">
            <v>SMT</v>
          </cell>
          <cell r="C4965">
            <v>1</v>
          </cell>
          <cell r="D4965">
            <v>2</v>
          </cell>
          <cell r="E4965">
            <v>6210</v>
          </cell>
          <cell r="F4965" t="str">
            <v>VG01</v>
          </cell>
          <cell r="G4965" t="str">
            <v>Auto</v>
          </cell>
          <cell r="H4965">
            <v>311</v>
          </cell>
          <cell r="I4965">
            <v>6210</v>
          </cell>
          <cell r="J4965">
            <v>6220</v>
          </cell>
          <cell r="K4965" t="str">
            <v>VG01</v>
          </cell>
        </row>
        <row r="4966">
          <cell r="A4966" t="str">
            <v>A6403-3821</v>
          </cell>
          <cell r="B4966" t="str">
            <v>SMT</v>
          </cell>
          <cell r="C4966">
            <v>1</v>
          </cell>
          <cell r="D4966" t="e">
            <v>#N/A</v>
          </cell>
        </row>
        <row r="4967">
          <cell r="A4967" t="str">
            <v>1AE1A603M-3J3A-P2</v>
          </cell>
          <cell r="B4967" t="str">
            <v>SMT</v>
          </cell>
          <cell r="C4967">
            <v>1</v>
          </cell>
          <cell r="D4967">
            <v>1</v>
          </cell>
          <cell r="E4967">
            <v>6210</v>
          </cell>
          <cell r="F4967" t="str">
            <v>VG01</v>
          </cell>
          <cell r="G4967" t="str">
            <v>Auto</v>
          </cell>
          <cell r="H4967">
            <v>311</v>
          </cell>
          <cell r="I4967">
            <v>6210</v>
          </cell>
          <cell r="J4967">
            <v>6220</v>
          </cell>
          <cell r="K4967" t="str">
            <v>VG01</v>
          </cell>
        </row>
        <row r="4968">
          <cell r="A4968" t="str">
            <v>A6403-3D00</v>
          </cell>
          <cell r="B4968" t="str">
            <v>SMT</v>
          </cell>
          <cell r="C4968">
            <v>1</v>
          </cell>
          <cell r="D4968" t="e">
            <v>#N/A</v>
          </cell>
        </row>
        <row r="4969">
          <cell r="A4969" t="str">
            <v>1AEA603Y-3J0A-P2</v>
          </cell>
          <cell r="B4969" t="str">
            <v>SMT</v>
          </cell>
          <cell r="C4969">
            <v>1</v>
          </cell>
          <cell r="D4969">
            <v>21</v>
          </cell>
        </row>
        <row r="4970">
          <cell r="A4970" t="str">
            <v>A6555-3J01</v>
          </cell>
          <cell r="B4970" t="str">
            <v>SMT</v>
          </cell>
          <cell r="C4970">
            <v>1</v>
          </cell>
          <cell r="D4970" t="e">
            <v>#N/A</v>
          </cell>
        </row>
        <row r="4971">
          <cell r="A4971" t="str">
            <v>1TE1A603Y-3J0A-P2</v>
          </cell>
          <cell r="B4971" t="str">
            <v>SMT</v>
          </cell>
          <cell r="C4971">
            <v>1</v>
          </cell>
          <cell r="D4971">
            <v>5</v>
          </cell>
        </row>
        <row r="4972">
          <cell r="A4972" t="str">
            <v>1RH1A603Y-3J0A-P2</v>
          </cell>
          <cell r="B4972" t="str">
            <v>SMT</v>
          </cell>
          <cell r="C4972">
            <v>1</v>
          </cell>
          <cell r="D4972">
            <v>14</v>
          </cell>
        </row>
        <row r="4973">
          <cell r="A4973" t="str">
            <v>1CM1A603Y-3J0A-P2</v>
          </cell>
          <cell r="B4973" t="str">
            <v>SMT</v>
          </cell>
          <cell r="C4973">
            <v>1</v>
          </cell>
          <cell r="D4973">
            <v>49</v>
          </cell>
          <cell r="E4973">
            <v>6210</v>
          </cell>
          <cell r="F4973" t="str">
            <v>VG01</v>
          </cell>
          <cell r="G4973" t="str">
            <v>Auto</v>
          </cell>
          <cell r="H4973">
            <v>311</v>
          </cell>
          <cell r="I4973">
            <v>6210</v>
          </cell>
          <cell r="J4973">
            <v>6220</v>
          </cell>
          <cell r="K4973" t="str">
            <v>VG01</v>
          </cell>
        </row>
        <row r="4974">
          <cell r="A4974" t="str">
            <v>1AEA603Y-3J3A-P2</v>
          </cell>
          <cell r="B4974" t="str">
            <v>SMT</v>
          </cell>
          <cell r="C4974">
            <v>1</v>
          </cell>
          <cell r="D4974">
            <v>14</v>
          </cell>
        </row>
        <row r="4975">
          <cell r="A4975" t="str">
            <v>1TE1A603Y-3J3A-P2</v>
          </cell>
          <cell r="B4975" t="str">
            <v>SMT</v>
          </cell>
          <cell r="C4975">
            <v>1</v>
          </cell>
          <cell r="D4975">
            <v>5</v>
          </cell>
        </row>
        <row r="4976">
          <cell r="A4976" t="str">
            <v>1RH1A603Y-3J3A-P2</v>
          </cell>
          <cell r="B4976" t="str">
            <v>SMT</v>
          </cell>
          <cell r="C4976">
            <v>1</v>
          </cell>
          <cell r="D4976">
            <v>11</v>
          </cell>
        </row>
        <row r="4977">
          <cell r="A4977" t="str">
            <v>1CM1A603Y-3J3A-P2</v>
          </cell>
          <cell r="B4977" t="str">
            <v>SMT</v>
          </cell>
          <cell r="C4977">
            <v>1</v>
          </cell>
          <cell r="D4977">
            <v>41</v>
          </cell>
          <cell r="E4977">
            <v>6210</v>
          </cell>
          <cell r="F4977" t="str">
            <v>VG01</v>
          </cell>
          <cell r="G4977" t="str">
            <v>Auto</v>
          </cell>
          <cell r="H4977">
            <v>311</v>
          </cell>
          <cell r="I4977">
            <v>6210</v>
          </cell>
          <cell r="J4977">
            <v>6220</v>
          </cell>
          <cell r="K4977" t="str">
            <v>VG01</v>
          </cell>
        </row>
        <row r="4978">
          <cell r="A4978" t="str">
            <v>A6575-3E40</v>
          </cell>
          <cell r="B4978" t="str">
            <v>SMT</v>
          </cell>
          <cell r="C4978">
            <v>1</v>
          </cell>
          <cell r="D4978" t="e">
            <v>#N/A</v>
          </cell>
        </row>
        <row r="4979">
          <cell r="A4979" t="str">
            <v>1RE1A605Q-3E4A-P2</v>
          </cell>
          <cell r="B4979" t="str">
            <v>SMT</v>
          </cell>
          <cell r="C4979">
            <v>1</v>
          </cell>
          <cell r="D4979">
            <v>41</v>
          </cell>
          <cell r="E4979">
            <v>6210</v>
          </cell>
          <cell r="F4979" t="str">
            <v>VG01</v>
          </cell>
          <cell r="G4979" t="str">
            <v>Auto</v>
          </cell>
          <cell r="H4979">
            <v>311</v>
          </cell>
          <cell r="I4979">
            <v>6210</v>
          </cell>
          <cell r="J4979">
            <v>6220</v>
          </cell>
          <cell r="K4979" t="str">
            <v>VG01</v>
          </cell>
        </row>
        <row r="4980">
          <cell r="A4980" t="str">
            <v>A6577-3J00</v>
          </cell>
          <cell r="B4980" t="str">
            <v>SMT</v>
          </cell>
          <cell r="C4980">
            <v>1</v>
          </cell>
          <cell r="D4980" t="e">
            <v>#N/A</v>
          </cell>
        </row>
        <row r="4981">
          <cell r="A4981" t="str">
            <v>1RE1A605S-3J0A-P2</v>
          </cell>
          <cell r="B4981" t="str">
            <v>SMT</v>
          </cell>
          <cell r="C4981">
            <v>1</v>
          </cell>
          <cell r="D4981">
            <v>9</v>
          </cell>
          <cell r="E4981">
            <v>6210</v>
          </cell>
          <cell r="F4981" t="str">
            <v>VG01</v>
          </cell>
          <cell r="G4981" t="str">
            <v>Auto</v>
          </cell>
          <cell r="H4981">
            <v>311</v>
          </cell>
          <cell r="I4981">
            <v>6210</v>
          </cell>
          <cell r="J4981">
            <v>6220</v>
          </cell>
          <cell r="K4981" t="str">
            <v>VG01</v>
          </cell>
        </row>
        <row r="4982">
          <cell r="A4982" t="str">
            <v>A6747-3J30</v>
          </cell>
          <cell r="B4982" t="str">
            <v>SMT</v>
          </cell>
          <cell r="C4982">
            <v>1</v>
          </cell>
          <cell r="D4982" t="e">
            <v>#N/A</v>
          </cell>
        </row>
        <row r="4983">
          <cell r="A4983" t="str">
            <v>1RE1A608C-3J3A-P2</v>
          </cell>
          <cell r="B4983" t="str">
            <v>SMT</v>
          </cell>
          <cell r="C4983">
            <v>1</v>
          </cell>
          <cell r="D4983">
            <v>83</v>
          </cell>
          <cell r="E4983">
            <v>6210</v>
          </cell>
          <cell r="F4983" t="str">
            <v>VG01</v>
          </cell>
          <cell r="G4983" t="str">
            <v>Auto</v>
          </cell>
          <cell r="H4983">
            <v>311</v>
          </cell>
          <cell r="I4983">
            <v>6210</v>
          </cell>
          <cell r="J4983">
            <v>6220</v>
          </cell>
          <cell r="K4983" t="str">
            <v>VG01</v>
          </cell>
        </row>
        <row r="4984">
          <cell r="A4984" t="str">
            <v>1AE1A603L3J9ABP-P2</v>
          </cell>
          <cell r="B4984" t="str">
            <v>SMT</v>
          </cell>
          <cell r="C4984">
            <v>1</v>
          </cell>
          <cell r="D4984">
            <v>54</v>
          </cell>
        </row>
        <row r="4985">
          <cell r="A4985" t="str">
            <v>A62603J90BP</v>
          </cell>
          <cell r="B4985" t="str">
            <v>SMT</v>
          </cell>
          <cell r="C4985">
            <v>5</v>
          </cell>
          <cell r="D4985" t="e">
            <v>#N/A</v>
          </cell>
        </row>
        <row r="4986">
          <cell r="A4986" t="str">
            <v>1RH1A603L3J9ABP-P2</v>
          </cell>
          <cell r="B4986" t="str">
            <v>SMT</v>
          </cell>
          <cell r="C4986">
            <v>1</v>
          </cell>
          <cell r="D4986">
            <v>9</v>
          </cell>
        </row>
        <row r="4987">
          <cell r="A4987" t="str">
            <v>1CM1A603L3J9ABP-P2</v>
          </cell>
          <cell r="B4987" t="str">
            <v>SMT</v>
          </cell>
          <cell r="C4987">
            <v>1</v>
          </cell>
          <cell r="D4987">
            <v>168</v>
          </cell>
          <cell r="E4987">
            <v>6210</v>
          </cell>
          <cell r="F4987" t="str">
            <v>VG01</v>
          </cell>
          <cell r="G4987" t="str">
            <v>Auto</v>
          </cell>
          <cell r="H4987">
            <v>311</v>
          </cell>
          <cell r="I4987">
            <v>6210</v>
          </cell>
          <cell r="J4987">
            <v>6220</v>
          </cell>
          <cell r="K4987" t="str">
            <v>VG01</v>
          </cell>
        </row>
        <row r="4988">
          <cell r="A4988" t="str">
            <v>1AE1A603L-3K50-P2</v>
          </cell>
          <cell r="B4988" t="str">
            <v>SMT</v>
          </cell>
          <cell r="C4988">
            <v>1</v>
          </cell>
          <cell r="D4988">
            <v>57</v>
          </cell>
        </row>
        <row r="4989">
          <cell r="A4989" t="str">
            <v>1RH1A603L-3K50-P2</v>
          </cell>
          <cell r="B4989" t="str">
            <v>SMT</v>
          </cell>
          <cell r="C4989">
            <v>1</v>
          </cell>
          <cell r="D4989">
            <v>8</v>
          </cell>
        </row>
        <row r="4990">
          <cell r="A4990" t="str">
            <v>1CM1A603L-3K50-P2</v>
          </cell>
          <cell r="B4990" t="str">
            <v>SMT</v>
          </cell>
          <cell r="C4990">
            <v>1</v>
          </cell>
          <cell r="D4990">
            <v>159</v>
          </cell>
          <cell r="E4990">
            <v>6210</v>
          </cell>
          <cell r="F4990" t="str">
            <v>VG01</v>
          </cell>
          <cell r="G4990" t="str">
            <v>Auto</v>
          </cell>
          <cell r="H4990">
            <v>311</v>
          </cell>
          <cell r="I4990">
            <v>6210</v>
          </cell>
          <cell r="J4990">
            <v>6220</v>
          </cell>
          <cell r="K4990" t="str">
            <v>VG01</v>
          </cell>
        </row>
        <row r="4991">
          <cell r="A4991" t="str">
            <v>1AE1A603Y-3J8A-P2</v>
          </cell>
          <cell r="B4991" t="str">
            <v>SMT</v>
          </cell>
          <cell r="C4991">
            <v>1</v>
          </cell>
          <cell r="D4991">
            <v>15</v>
          </cell>
        </row>
        <row r="4992">
          <cell r="A4992" t="str">
            <v>H6555-3J80</v>
          </cell>
          <cell r="B4992" t="str">
            <v>SMT</v>
          </cell>
          <cell r="C4992">
            <v>1</v>
          </cell>
          <cell r="D4992">
            <v>1</v>
          </cell>
        </row>
        <row r="4993">
          <cell r="A4993" t="str">
            <v>1HT1A603Y-3J8A-P2</v>
          </cell>
          <cell r="B4993" t="str">
            <v>SMT</v>
          </cell>
          <cell r="C4993">
            <v>1</v>
          </cell>
          <cell r="D4993">
            <v>20</v>
          </cell>
        </row>
        <row r="4994">
          <cell r="A4994" t="str">
            <v>1TE1A603Y-3J8A-P2</v>
          </cell>
          <cell r="B4994" t="str">
            <v>SMT</v>
          </cell>
          <cell r="C4994">
            <v>1</v>
          </cell>
          <cell r="D4994">
            <v>5</v>
          </cell>
        </row>
        <row r="4995">
          <cell r="A4995" t="str">
            <v>1RH1A603Y-3J8A-P2</v>
          </cell>
          <cell r="B4995" t="str">
            <v>SMT</v>
          </cell>
          <cell r="C4995">
            <v>1</v>
          </cell>
          <cell r="D4995">
            <v>13</v>
          </cell>
        </row>
        <row r="4996">
          <cell r="A4996" t="str">
            <v>1CM1A603Y-3J8A-P2</v>
          </cell>
          <cell r="B4996" t="str">
            <v>SMT</v>
          </cell>
          <cell r="C4996">
            <v>1</v>
          </cell>
          <cell r="D4996">
            <v>48</v>
          </cell>
          <cell r="E4996">
            <v>6210</v>
          </cell>
          <cell r="F4996" t="str">
            <v>VG01</v>
          </cell>
          <cell r="G4996" t="str">
            <v>Auto</v>
          </cell>
          <cell r="H4996">
            <v>311</v>
          </cell>
          <cell r="I4996">
            <v>6210</v>
          </cell>
          <cell r="J4996">
            <v>6220</v>
          </cell>
          <cell r="K4996" t="str">
            <v>VG01</v>
          </cell>
        </row>
        <row r="4997">
          <cell r="A4997" t="str">
            <v>1AE1A603Y3J9ABP-P2</v>
          </cell>
          <cell r="B4997" t="str">
            <v>SMT</v>
          </cell>
          <cell r="C4997">
            <v>1</v>
          </cell>
          <cell r="D4997">
            <v>21</v>
          </cell>
        </row>
        <row r="4998">
          <cell r="A4998" t="str">
            <v>A65553J91BP</v>
          </cell>
          <cell r="B4998" t="str">
            <v>SMT</v>
          </cell>
          <cell r="C4998">
            <v>1</v>
          </cell>
          <cell r="D4998" t="e">
            <v>#N/A</v>
          </cell>
        </row>
        <row r="4999">
          <cell r="A4999" t="str">
            <v>1HT1A603Y3J9ABP-P2</v>
          </cell>
          <cell r="B4999" t="str">
            <v>SMT</v>
          </cell>
          <cell r="C4999">
            <v>1</v>
          </cell>
          <cell r="D4999">
            <v>16</v>
          </cell>
        </row>
        <row r="5000">
          <cell r="A5000" t="str">
            <v>1TE1A603Y3J9ABP-P2</v>
          </cell>
          <cell r="B5000" t="str">
            <v>SMT</v>
          </cell>
          <cell r="C5000">
            <v>1</v>
          </cell>
          <cell r="D5000">
            <v>5</v>
          </cell>
        </row>
        <row r="5001">
          <cell r="A5001" t="str">
            <v>1RH1A603Y3J9ABP-P2</v>
          </cell>
          <cell r="B5001" t="str">
            <v>SMT</v>
          </cell>
          <cell r="C5001">
            <v>1</v>
          </cell>
          <cell r="D5001">
            <v>15</v>
          </cell>
        </row>
        <row r="5002">
          <cell r="A5002" t="str">
            <v>1CM1A603Y3J9ABP-P2</v>
          </cell>
          <cell r="B5002" t="str">
            <v>SMT</v>
          </cell>
          <cell r="C5002">
            <v>1</v>
          </cell>
          <cell r="D5002">
            <v>36</v>
          </cell>
          <cell r="E5002">
            <v>6210</v>
          </cell>
          <cell r="F5002" t="str">
            <v>VG01</v>
          </cell>
          <cell r="G5002" t="str">
            <v>Auto</v>
          </cell>
          <cell r="H5002">
            <v>311</v>
          </cell>
          <cell r="I5002">
            <v>6210</v>
          </cell>
          <cell r="J5002">
            <v>6220</v>
          </cell>
          <cell r="K5002" t="str">
            <v>VG01</v>
          </cell>
        </row>
        <row r="5003">
          <cell r="A5003" t="str">
            <v>A6577-3J80</v>
          </cell>
          <cell r="B5003" t="str">
            <v>SMT</v>
          </cell>
          <cell r="C5003">
            <v>1</v>
          </cell>
          <cell r="D5003">
            <v>1</v>
          </cell>
        </row>
        <row r="5004">
          <cell r="A5004" t="str">
            <v>1RE1A605S-3J8A-P2</v>
          </cell>
          <cell r="B5004" t="str">
            <v>SMT</v>
          </cell>
          <cell r="C5004">
            <v>1</v>
          </cell>
          <cell r="D5004">
            <v>3</v>
          </cell>
          <cell r="E5004">
            <v>6210</v>
          </cell>
          <cell r="F5004" t="str">
            <v>VG01</v>
          </cell>
          <cell r="G5004" t="str">
            <v>Auto</v>
          </cell>
          <cell r="H5004">
            <v>311</v>
          </cell>
          <cell r="I5004">
            <v>6210</v>
          </cell>
          <cell r="J5004">
            <v>6220</v>
          </cell>
          <cell r="K5004" t="str">
            <v>VG01</v>
          </cell>
        </row>
        <row r="5005">
          <cell r="A5005" t="str">
            <v>A6644-3J80</v>
          </cell>
          <cell r="B5005" t="str">
            <v>SMT</v>
          </cell>
          <cell r="C5005">
            <v>1</v>
          </cell>
          <cell r="D5005">
            <v>1</v>
          </cell>
        </row>
        <row r="5006">
          <cell r="A5006" t="str">
            <v>1RE1A607B3J8AP2-P2</v>
          </cell>
          <cell r="B5006" t="str">
            <v>SMT</v>
          </cell>
          <cell r="C5006">
            <v>1</v>
          </cell>
          <cell r="D5006">
            <v>180</v>
          </cell>
        </row>
        <row r="5007">
          <cell r="A5007" t="str">
            <v>1RE2A607B3J8AP2-P2</v>
          </cell>
          <cell r="B5007" t="str">
            <v>SMT</v>
          </cell>
          <cell r="C5007">
            <v>1</v>
          </cell>
          <cell r="D5007">
            <v>300</v>
          </cell>
          <cell r="E5007">
            <v>6210</v>
          </cell>
          <cell r="F5007" t="str">
            <v>VG01</v>
          </cell>
          <cell r="G5007" t="str">
            <v>Auto</v>
          </cell>
          <cell r="H5007">
            <v>311</v>
          </cell>
          <cell r="I5007">
            <v>6210</v>
          </cell>
          <cell r="J5007">
            <v>6220</v>
          </cell>
          <cell r="K5007" t="str">
            <v>VG01</v>
          </cell>
        </row>
        <row r="5008">
          <cell r="A5008" t="str">
            <v>A6746-3J80</v>
          </cell>
          <cell r="B5008" t="str">
            <v>SMT</v>
          </cell>
          <cell r="C5008">
            <v>1</v>
          </cell>
          <cell r="D5008">
            <v>1</v>
          </cell>
        </row>
        <row r="5009">
          <cell r="A5009" t="str">
            <v>1RE1A608B-3J8A-P2</v>
          </cell>
          <cell r="B5009" t="str">
            <v>SMT</v>
          </cell>
          <cell r="C5009">
            <v>1</v>
          </cell>
          <cell r="D5009">
            <v>3</v>
          </cell>
        </row>
        <row r="5010">
          <cell r="A5010" t="str">
            <v>1RE2A608B-3J8A-P2</v>
          </cell>
          <cell r="B5010" t="str">
            <v>SMT</v>
          </cell>
          <cell r="C5010">
            <v>1</v>
          </cell>
          <cell r="D5010">
            <v>1</v>
          </cell>
          <cell r="E5010">
            <v>6210</v>
          </cell>
          <cell r="F5010" t="str">
            <v>VG01</v>
          </cell>
          <cell r="G5010" t="str">
            <v>Auto</v>
          </cell>
          <cell r="H5010">
            <v>311</v>
          </cell>
          <cell r="I5010">
            <v>6210</v>
          </cell>
          <cell r="J5010">
            <v>6220</v>
          </cell>
          <cell r="K5010" t="str">
            <v>VG01</v>
          </cell>
        </row>
        <row r="5011">
          <cell r="A5011" t="str">
            <v>1AE1J603L3J8AP2-P2</v>
          </cell>
          <cell r="B5011" t="str">
            <v>SMT</v>
          </cell>
          <cell r="C5011">
            <v>1</v>
          </cell>
          <cell r="D5011">
            <v>11</v>
          </cell>
        </row>
        <row r="5012">
          <cell r="A5012" t="str">
            <v>J6260-3J80</v>
          </cell>
          <cell r="B5012" t="str">
            <v>SMT</v>
          </cell>
          <cell r="C5012">
            <v>1</v>
          </cell>
          <cell r="D5012">
            <v>1</v>
          </cell>
        </row>
        <row r="5013">
          <cell r="A5013" t="str">
            <v>1RH1J603L3J8AP2-P2</v>
          </cell>
          <cell r="B5013" t="str">
            <v>SMT</v>
          </cell>
          <cell r="C5013">
            <v>1</v>
          </cell>
          <cell r="D5013">
            <v>9</v>
          </cell>
        </row>
        <row r="5014">
          <cell r="A5014" t="str">
            <v>1RE1J603L3J8AP2-P2</v>
          </cell>
          <cell r="B5014" t="str">
            <v>SMT</v>
          </cell>
          <cell r="C5014">
            <v>1</v>
          </cell>
          <cell r="D5014">
            <v>116</v>
          </cell>
        </row>
        <row r="5015">
          <cell r="A5015" t="str">
            <v>1CM1J603L3J8AP2-P2</v>
          </cell>
          <cell r="B5015" t="str">
            <v>SMT</v>
          </cell>
          <cell r="C5015">
            <v>1</v>
          </cell>
          <cell r="D5015">
            <v>101</v>
          </cell>
          <cell r="E5015">
            <v>6210</v>
          </cell>
          <cell r="F5015" t="str">
            <v>VG01</v>
          </cell>
          <cell r="G5015" t="str">
            <v>Auto</v>
          </cell>
          <cell r="H5015">
            <v>311</v>
          </cell>
          <cell r="I5015">
            <v>6210</v>
          </cell>
          <cell r="J5015">
            <v>6220</v>
          </cell>
          <cell r="K5015" t="str">
            <v>VG01</v>
          </cell>
        </row>
        <row r="5016">
          <cell r="A5016" t="str">
            <v>J6575-3J80</v>
          </cell>
          <cell r="B5016" t="str">
            <v>SMT</v>
          </cell>
          <cell r="C5016">
            <v>1</v>
          </cell>
          <cell r="D5016">
            <v>1</v>
          </cell>
        </row>
        <row r="5017">
          <cell r="A5017" t="str">
            <v>1RE1J605Q3J8AP2-P2</v>
          </cell>
          <cell r="B5017" t="str">
            <v>SMT</v>
          </cell>
          <cell r="C5017">
            <v>1</v>
          </cell>
          <cell r="D5017">
            <v>60</v>
          </cell>
          <cell r="E5017">
            <v>6210</v>
          </cell>
          <cell r="F5017" t="str">
            <v>VG01</v>
          </cell>
          <cell r="G5017" t="str">
            <v>Auto</v>
          </cell>
          <cell r="H5017">
            <v>311</v>
          </cell>
          <cell r="I5017">
            <v>6210</v>
          </cell>
          <cell r="J5017">
            <v>6220</v>
          </cell>
          <cell r="K5017" t="str">
            <v>VG01</v>
          </cell>
        </row>
        <row r="5018">
          <cell r="A5018" t="str">
            <v>1AE1A603L3E8AAP-P2</v>
          </cell>
          <cell r="B5018" t="str">
            <v>SMT</v>
          </cell>
          <cell r="C5018">
            <v>1</v>
          </cell>
          <cell r="D5018">
            <v>59</v>
          </cell>
        </row>
        <row r="5019">
          <cell r="A5019" t="str">
            <v>1RH1A603L3E8AAP-P2</v>
          </cell>
          <cell r="B5019" t="str">
            <v>SMT</v>
          </cell>
          <cell r="C5019">
            <v>1</v>
          </cell>
          <cell r="D5019">
            <v>5</v>
          </cell>
        </row>
        <row r="5020">
          <cell r="A5020" t="str">
            <v>1CM1A603L3E8AAP-P2</v>
          </cell>
          <cell r="B5020" t="str">
            <v>SMT</v>
          </cell>
          <cell r="C5020">
            <v>1</v>
          </cell>
          <cell r="D5020">
            <v>114</v>
          </cell>
          <cell r="E5020">
            <v>6210</v>
          </cell>
          <cell r="F5020" t="str">
            <v>VG01</v>
          </cell>
          <cell r="G5020" t="str">
            <v>Auto</v>
          </cell>
          <cell r="H5020">
            <v>311</v>
          </cell>
          <cell r="I5020">
            <v>6210</v>
          </cell>
          <cell r="J5020">
            <v>6220</v>
          </cell>
          <cell r="K5020" t="str">
            <v>VG01</v>
          </cell>
        </row>
        <row r="5021">
          <cell r="A5021" t="str">
            <v>1AE1A603L3H8AAP-P2</v>
          </cell>
          <cell r="B5021" t="str">
            <v>SMT</v>
          </cell>
          <cell r="C5021">
            <v>1</v>
          </cell>
          <cell r="D5021">
            <v>56</v>
          </cell>
        </row>
        <row r="5022">
          <cell r="A5022" t="str">
            <v>1RH1A603L3H8AAP-P2</v>
          </cell>
          <cell r="B5022" t="str">
            <v>SMT</v>
          </cell>
          <cell r="C5022">
            <v>1</v>
          </cell>
          <cell r="D5022">
            <v>5</v>
          </cell>
        </row>
        <row r="5023">
          <cell r="A5023" t="str">
            <v>1CM1A603L3H8AAP-P2</v>
          </cell>
          <cell r="B5023" t="str">
            <v>SMT</v>
          </cell>
          <cell r="C5023">
            <v>1</v>
          </cell>
          <cell r="D5023">
            <v>115</v>
          </cell>
          <cell r="E5023">
            <v>6210</v>
          </cell>
          <cell r="F5023" t="str">
            <v>VG01</v>
          </cell>
          <cell r="G5023" t="str">
            <v>Auto</v>
          </cell>
          <cell r="H5023">
            <v>311</v>
          </cell>
          <cell r="I5023">
            <v>6210</v>
          </cell>
          <cell r="J5023">
            <v>6220</v>
          </cell>
          <cell r="K5023" t="str">
            <v>VG01</v>
          </cell>
        </row>
        <row r="5024">
          <cell r="A5024" t="str">
            <v>1AE1A603L3H9AAP-P2</v>
          </cell>
          <cell r="B5024" t="str">
            <v>SMT</v>
          </cell>
          <cell r="C5024">
            <v>1</v>
          </cell>
          <cell r="D5024">
            <v>57</v>
          </cell>
        </row>
        <row r="5025">
          <cell r="A5025" t="str">
            <v>1RH1A603L3H9AAP-P2</v>
          </cell>
          <cell r="B5025" t="str">
            <v>SMT</v>
          </cell>
          <cell r="C5025">
            <v>1</v>
          </cell>
          <cell r="D5025">
            <v>5</v>
          </cell>
        </row>
        <row r="5026">
          <cell r="A5026" t="str">
            <v>1CM1A603L3H9AAP-P2</v>
          </cell>
          <cell r="B5026" t="str">
            <v>SMT</v>
          </cell>
          <cell r="C5026">
            <v>1</v>
          </cell>
          <cell r="D5026">
            <v>113</v>
          </cell>
          <cell r="E5026">
            <v>6210</v>
          </cell>
          <cell r="F5026" t="str">
            <v>VG01</v>
          </cell>
          <cell r="G5026" t="str">
            <v>Auto</v>
          </cell>
          <cell r="H5026">
            <v>311</v>
          </cell>
          <cell r="I5026">
            <v>6210</v>
          </cell>
          <cell r="J5026">
            <v>6220</v>
          </cell>
          <cell r="K5026" t="str">
            <v>VG01</v>
          </cell>
        </row>
        <row r="5027">
          <cell r="A5027" t="str">
            <v>1HT1A603Y3E6AAP-P2</v>
          </cell>
          <cell r="B5027" t="str">
            <v>SMT</v>
          </cell>
          <cell r="C5027">
            <v>1</v>
          </cell>
          <cell r="D5027">
            <v>1</v>
          </cell>
        </row>
        <row r="5028">
          <cell r="A5028" t="str">
            <v>1RH1A603Y3E6AAP-P2</v>
          </cell>
          <cell r="B5028" t="str">
            <v>SMT</v>
          </cell>
          <cell r="C5028">
            <v>1</v>
          </cell>
          <cell r="D5028">
            <v>4</v>
          </cell>
        </row>
        <row r="5029">
          <cell r="A5029" t="str">
            <v>1CM1A603Y3E6AAP-P2</v>
          </cell>
          <cell r="B5029" t="str">
            <v>SMT</v>
          </cell>
          <cell r="C5029">
            <v>1</v>
          </cell>
          <cell r="D5029">
            <v>15</v>
          </cell>
          <cell r="E5029">
            <v>6210</v>
          </cell>
          <cell r="F5029" t="str">
            <v>VG01</v>
          </cell>
          <cell r="G5029" t="str">
            <v>Auto</v>
          </cell>
          <cell r="H5029">
            <v>311</v>
          </cell>
          <cell r="I5029">
            <v>6210</v>
          </cell>
          <cell r="J5029">
            <v>6220</v>
          </cell>
          <cell r="K5029" t="str">
            <v>VG01</v>
          </cell>
        </row>
        <row r="5030">
          <cell r="A5030" t="str">
            <v>1AE1A603Y3E6ACP-P2</v>
          </cell>
          <cell r="B5030" t="str">
            <v>SMT</v>
          </cell>
          <cell r="C5030">
            <v>1</v>
          </cell>
          <cell r="D5030">
            <v>20</v>
          </cell>
        </row>
        <row r="5031">
          <cell r="A5031" t="str">
            <v>1HT1A603Y3E6ACP-P2</v>
          </cell>
          <cell r="B5031" t="str">
            <v>SMT</v>
          </cell>
          <cell r="C5031">
            <v>1</v>
          </cell>
          <cell r="D5031">
            <v>4</v>
          </cell>
        </row>
        <row r="5032">
          <cell r="A5032" t="str">
            <v>1TE1A603Y3E6ACP-P2</v>
          </cell>
          <cell r="B5032" t="str">
            <v>SMT</v>
          </cell>
          <cell r="C5032">
            <v>1</v>
          </cell>
          <cell r="D5032">
            <v>1</v>
          </cell>
        </row>
        <row r="5033">
          <cell r="A5033" t="str">
            <v>1RH1A603Y3E6ACP-P2</v>
          </cell>
          <cell r="B5033" t="str">
            <v>SMT</v>
          </cell>
          <cell r="C5033">
            <v>1</v>
          </cell>
          <cell r="D5033">
            <v>4</v>
          </cell>
        </row>
        <row r="5034">
          <cell r="A5034" t="str">
            <v>1CM1A603Y3E6ACP-P2</v>
          </cell>
          <cell r="B5034" t="str">
            <v>SMT</v>
          </cell>
          <cell r="C5034">
            <v>1</v>
          </cell>
          <cell r="D5034">
            <v>15</v>
          </cell>
          <cell r="E5034">
            <v>6210</v>
          </cell>
          <cell r="F5034" t="str">
            <v>VG01</v>
          </cell>
          <cell r="G5034" t="str">
            <v>Auto</v>
          </cell>
          <cell r="H5034">
            <v>311</v>
          </cell>
          <cell r="I5034">
            <v>6210</v>
          </cell>
          <cell r="J5034">
            <v>6220</v>
          </cell>
          <cell r="K5034" t="str">
            <v>VG01</v>
          </cell>
        </row>
        <row r="5035">
          <cell r="A5035" t="str">
            <v>1AE1A603Y3F0AAP-P2</v>
          </cell>
          <cell r="B5035" t="str">
            <v>SMT</v>
          </cell>
          <cell r="C5035">
            <v>1</v>
          </cell>
          <cell r="D5035">
            <v>19</v>
          </cell>
        </row>
        <row r="5036">
          <cell r="A5036" t="str">
            <v>1TE1A603Y3F0AAP-P2</v>
          </cell>
          <cell r="B5036" t="str">
            <v>SMT</v>
          </cell>
          <cell r="C5036">
            <v>1</v>
          </cell>
          <cell r="D5036">
            <v>1</v>
          </cell>
        </row>
        <row r="5037">
          <cell r="A5037" t="str">
            <v>1RH1A603Y3F0AAP-P2</v>
          </cell>
          <cell r="B5037" t="str">
            <v>SMT</v>
          </cell>
          <cell r="C5037">
            <v>1</v>
          </cell>
          <cell r="D5037">
            <v>4</v>
          </cell>
        </row>
        <row r="5038">
          <cell r="A5038" t="str">
            <v>1CM1A603Y3F0AAP-P2</v>
          </cell>
          <cell r="B5038" t="str">
            <v>SMT</v>
          </cell>
          <cell r="C5038">
            <v>1</v>
          </cell>
          <cell r="D5038">
            <v>15</v>
          </cell>
          <cell r="E5038">
            <v>6210</v>
          </cell>
          <cell r="F5038" t="str">
            <v>VG01</v>
          </cell>
          <cell r="G5038" t="str">
            <v>Auto</v>
          </cell>
          <cell r="H5038">
            <v>311</v>
          </cell>
          <cell r="I5038">
            <v>6210</v>
          </cell>
          <cell r="J5038">
            <v>6220</v>
          </cell>
          <cell r="K5038" t="str">
            <v>VG01</v>
          </cell>
        </row>
        <row r="5039">
          <cell r="A5039" t="str">
            <v>1AE1A608B3H7AAP-P2</v>
          </cell>
          <cell r="B5039" t="str">
            <v>SMT</v>
          </cell>
          <cell r="C5039">
            <v>1</v>
          </cell>
          <cell r="D5039">
            <v>14</v>
          </cell>
          <cell r="E5039">
            <v>6210</v>
          </cell>
          <cell r="F5039" t="str">
            <v>VG01</v>
          </cell>
          <cell r="G5039" t="str">
            <v>Auto</v>
          </cell>
          <cell r="H5039">
            <v>311</v>
          </cell>
          <cell r="I5039">
            <v>6210</v>
          </cell>
          <cell r="J5039">
            <v>6220</v>
          </cell>
          <cell r="K5039" t="str">
            <v>VG01</v>
          </cell>
        </row>
        <row r="5040">
          <cell r="A5040" t="str">
            <v>1HT1A608B3H7AAP-P2</v>
          </cell>
          <cell r="B5040" t="str">
            <v>SMT</v>
          </cell>
          <cell r="C5040">
            <v>1</v>
          </cell>
          <cell r="D5040">
            <v>14</v>
          </cell>
        </row>
        <row r="5041">
          <cell r="A5041" t="str">
            <v>1AE1A608B3H9AAP-P2</v>
          </cell>
          <cell r="B5041" t="str">
            <v>SMT</v>
          </cell>
          <cell r="C5041">
            <v>1</v>
          </cell>
          <cell r="D5041">
            <v>10</v>
          </cell>
          <cell r="E5041">
            <v>6210</v>
          </cell>
          <cell r="F5041" t="str">
            <v>VG01</v>
          </cell>
          <cell r="G5041" t="str">
            <v>Auto</v>
          </cell>
          <cell r="H5041">
            <v>311</v>
          </cell>
          <cell r="I5041">
            <v>6210</v>
          </cell>
          <cell r="J5041">
            <v>6220</v>
          </cell>
          <cell r="K5041" t="str">
            <v>VG01</v>
          </cell>
        </row>
        <row r="5042">
          <cell r="A5042" t="str">
            <v>1HT1A608B3H9AAP-P2</v>
          </cell>
          <cell r="B5042" t="str">
            <v>SMT</v>
          </cell>
          <cell r="C5042">
            <v>1</v>
          </cell>
          <cell r="D5042">
            <v>10</v>
          </cell>
        </row>
        <row r="5043">
          <cell r="A5043" t="str">
            <v>1AE1A603L3F0AAP-P2</v>
          </cell>
          <cell r="B5043" t="str">
            <v>SMT</v>
          </cell>
          <cell r="C5043">
            <v>1</v>
          </cell>
          <cell r="D5043">
            <v>60</v>
          </cell>
        </row>
        <row r="5044">
          <cell r="A5044" t="str">
            <v>1RH1A603L3F0AAP-P2</v>
          </cell>
          <cell r="B5044" t="str">
            <v>SMT</v>
          </cell>
          <cell r="C5044">
            <v>1</v>
          </cell>
          <cell r="D5044">
            <v>5</v>
          </cell>
        </row>
        <row r="5045">
          <cell r="A5045" t="str">
            <v>1CM1A603L3F0AAP-P2</v>
          </cell>
          <cell r="B5045" t="str">
            <v>SMT</v>
          </cell>
          <cell r="C5045">
            <v>1</v>
          </cell>
          <cell r="D5045">
            <v>112</v>
          </cell>
          <cell r="E5045">
            <v>6210</v>
          </cell>
          <cell r="F5045" t="str">
            <v>VG01</v>
          </cell>
          <cell r="G5045" t="str">
            <v>Auto</v>
          </cell>
          <cell r="H5045">
            <v>311</v>
          </cell>
          <cell r="I5045">
            <v>6210</v>
          </cell>
          <cell r="J5045">
            <v>6220</v>
          </cell>
          <cell r="K5045" t="str">
            <v>VG01</v>
          </cell>
        </row>
        <row r="5046">
          <cell r="A5046" t="str">
            <v>1AE1A603L3F6AEU-P2</v>
          </cell>
          <cell r="B5046" t="str">
            <v>SMT</v>
          </cell>
          <cell r="C5046">
            <v>1</v>
          </cell>
          <cell r="D5046">
            <v>60</v>
          </cell>
        </row>
        <row r="5047">
          <cell r="A5047" t="str">
            <v>1RH1A603L3F6AEU-P2</v>
          </cell>
          <cell r="B5047" t="str">
            <v>SMT</v>
          </cell>
          <cell r="C5047">
            <v>1</v>
          </cell>
          <cell r="D5047">
            <v>5</v>
          </cell>
        </row>
        <row r="5048">
          <cell r="A5048" t="str">
            <v>1CM1A603L3F6AEU-P2</v>
          </cell>
          <cell r="B5048" t="str">
            <v>SMT</v>
          </cell>
          <cell r="C5048">
            <v>1</v>
          </cell>
          <cell r="D5048">
            <v>113</v>
          </cell>
          <cell r="E5048">
            <v>6210</v>
          </cell>
          <cell r="F5048" t="str">
            <v>VG01</v>
          </cell>
          <cell r="G5048" t="str">
            <v>Auto</v>
          </cell>
          <cell r="H5048">
            <v>311</v>
          </cell>
          <cell r="I5048">
            <v>6210</v>
          </cell>
          <cell r="J5048">
            <v>6220</v>
          </cell>
          <cell r="K5048" t="str">
            <v>VG01</v>
          </cell>
        </row>
        <row r="5049">
          <cell r="A5049" t="str">
            <v>1AE1A603L3F7AEU-P2</v>
          </cell>
          <cell r="B5049" t="str">
            <v>SMT</v>
          </cell>
          <cell r="C5049">
            <v>1</v>
          </cell>
          <cell r="D5049">
            <v>60</v>
          </cell>
        </row>
        <row r="5050">
          <cell r="A5050" t="str">
            <v>1RH1A603L3F7AEU-P2</v>
          </cell>
          <cell r="B5050" t="str">
            <v>SMT</v>
          </cell>
          <cell r="C5050">
            <v>1</v>
          </cell>
          <cell r="D5050">
            <v>5</v>
          </cell>
        </row>
        <row r="5051">
          <cell r="A5051" t="str">
            <v>1CM1A603L3F7AEU-P2</v>
          </cell>
          <cell r="B5051" t="str">
            <v>SMT</v>
          </cell>
          <cell r="C5051">
            <v>1</v>
          </cell>
          <cell r="D5051">
            <v>113</v>
          </cell>
          <cell r="E5051">
            <v>6210</v>
          </cell>
          <cell r="F5051" t="str">
            <v>VG01</v>
          </cell>
          <cell r="G5051" t="str">
            <v>Auto</v>
          </cell>
          <cell r="H5051">
            <v>311</v>
          </cell>
          <cell r="I5051">
            <v>6210</v>
          </cell>
          <cell r="J5051">
            <v>6220</v>
          </cell>
          <cell r="K5051" t="str">
            <v>VG01</v>
          </cell>
        </row>
        <row r="5052">
          <cell r="A5052" t="str">
            <v>1AE1A603Y3F0ACP-P2</v>
          </cell>
          <cell r="B5052" t="str">
            <v>SMT</v>
          </cell>
          <cell r="C5052">
            <v>1</v>
          </cell>
          <cell r="D5052">
            <v>20</v>
          </cell>
        </row>
        <row r="5053">
          <cell r="A5053" t="str">
            <v>A65553E60AP</v>
          </cell>
          <cell r="B5053" t="str">
            <v>SMT</v>
          </cell>
          <cell r="C5053">
            <v>1</v>
          </cell>
          <cell r="D5053" t="e">
            <v>#N/A</v>
          </cell>
        </row>
        <row r="5054">
          <cell r="A5054" t="str">
            <v>1HT1A603Y3F0ACP-P2</v>
          </cell>
          <cell r="B5054" t="str">
            <v>SMT</v>
          </cell>
          <cell r="C5054">
            <v>1</v>
          </cell>
          <cell r="D5054">
            <v>4</v>
          </cell>
        </row>
        <row r="5055">
          <cell r="A5055" t="str">
            <v>1TE1A603Y3F0ACP-P2</v>
          </cell>
          <cell r="B5055" t="str">
            <v>SMT</v>
          </cell>
          <cell r="C5055">
            <v>1</v>
          </cell>
          <cell r="D5055">
            <v>1</v>
          </cell>
        </row>
        <row r="5056">
          <cell r="A5056" t="str">
            <v>1RH1A603Y3F0ACP-P2</v>
          </cell>
          <cell r="B5056" t="str">
            <v>SMT</v>
          </cell>
          <cell r="C5056">
            <v>1</v>
          </cell>
          <cell r="D5056">
            <v>4</v>
          </cell>
        </row>
        <row r="5057">
          <cell r="A5057" t="str">
            <v>1CM1A603Y3F0ACP-P2</v>
          </cell>
          <cell r="B5057" t="str">
            <v>SMT</v>
          </cell>
          <cell r="C5057">
            <v>1</v>
          </cell>
          <cell r="D5057">
            <v>15</v>
          </cell>
          <cell r="E5057">
            <v>6210</v>
          </cell>
          <cell r="F5057" t="str">
            <v>VG01</v>
          </cell>
          <cell r="G5057" t="str">
            <v>Auto</v>
          </cell>
          <cell r="H5057">
            <v>311</v>
          </cell>
          <cell r="I5057">
            <v>6210</v>
          </cell>
          <cell r="J5057">
            <v>6220</v>
          </cell>
          <cell r="K5057" t="str">
            <v>VG01</v>
          </cell>
        </row>
        <row r="5058">
          <cell r="A5058" t="str">
            <v>1AE1A603Y3F9ABP-P2</v>
          </cell>
          <cell r="B5058" t="str">
            <v>SMT</v>
          </cell>
          <cell r="C5058">
            <v>1</v>
          </cell>
          <cell r="D5058">
            <v>20</v>
          </cell>
        </row>
        <row r="5059">
          <cell r="A5059" t="str">
            <v>1HT1A603Y3F9ABP-P2</v>
          </cell>
          <cell r="B5059" t="str">
            <v>SMT</v>
          </cell>
          <cell r="C5059">
            <v>1</v>
          </cell>
          <cell r="D5059">
            <v>6</v>
          </cell>
        </row>
        <row r="5060">
          <cell r="A5060" t="str">
            <v>1TE1A603Y3F9ABP-P2</v>
          </cell>
          <cell r="B5060" t="str">
            <v>SMT</v>
          </cell>
          <cell r="C5060">
            <v>1</v>
          </cell>
          <cell r="D5060">
            <v>1</v>
          </cell>
        </row>
        <row r="5061">
          <cell r="A5061" t="str">
            <v>1RH1A603Y3F9ABP-P2</v>
          </cell>
          <cell r="B5061" t="str">
            <v>SMT</v>
          </cell>
          <cell r="C5061">
            <v>1</v>
          </cell>
          <cell r="D5061">
            <v>4</v>
          </cell>
        </row>
        <row r="5062">
          <cell r="A5062" t="str">
            <v>1CM1A603Y3F9ABP-P2</v>
          </cell>
          <cell r="B5062" t="str">
            <v>SMT</v>
          </cell>
          <cell r="C5062">
            <v>1</v>
          </cell>
          <cell r="D5062">
            <v>15</v>
          </cell>
          <cell r="E5062">
            <v>6210</v>
          </cell>
          <cell r="F5062" t="str">
            <v>VG01</v>
          </cell>
          <cell r="G5062" t="str">
            <v>Auto</v>
          </cell>
          <cell r="H5062">
            <v>311</v>
          </cell>
          <cell r="I5062">
            <v>6210</v>
          </cell>
          <cell r="J5062">
            <v>6220</v>
          </cell>
          <cell r="K5062" t="str">
            <v>VG01</v>
          </cell>
        </row>
        <row r="5063">
          <cell r="A5063" t="str">
            <v>1AE1A608B3G1AEU-P2</v>
          </cell>
          <cell r="B5063" t="str">
            <v>SMT</v>
          </cell>
          <cell r="C5063">
            <v>1</v>
          </cell>
          <cell r="D5063">
            <v>12</v>
          </cell>
          <cell r="E5063">
            <v>6210</v>
          </cell>
          <cell r="F5063" t="str">
            <v>VG01</v>
          </cell>
          <cell r="G5063" t="str">
            <v>Auto</v>
          </cell>
          <cell r="H5063">
            <v>311</v>
          </cell>
          <cell r="I5063">
            <v>6210</v>
          </cell>
          <cell r="J5063">
            <v>6220</v>
          </cell>
          <cell r="K5063" t="str">
            <v>VG01</v>
          </cell>
        </row>
        <row r="5064">
          <cell r="A5064" t="str">
            <v>A67463G10EU</v>
          </cell>
          <cell r="B5064" t="str">
            <v>SMT</v>
          </cell>
          <cell r="C5064">
            <v>1</v>
          </cell>
          <cell r="D5064" t="e">
            <v>#N/A</v>
          </cell>
        </row>
        <row r="5065">
          <cell r="A5065" t="str">
            <v>1HT1A608B3G1AEU-P2</v>
          </cell>
          <cell r="B5065" t="str">
            <v>SMT</v>
          </cell>
          <cell r="C5065">
            <v>1</v>
          </cell>
          <cell r="D5065">
            <v>12</v>
          </cell>
        </row>
        <row r="5066">
          <cell r="A5066" t="str">
            <v>A67473G01BP</v>
          </cell>
          <cell r="B5066" t="str">
            <v>SMT</v>
          </cell>
          <cell r="C5066">
            <v>1</v>
          </cell>
          <cell r="D5066" t="e">
            <v>#N/A</v>
          </cell>
          <cell r="E5066">
            <v>6210</v>
          </cell>
          <cell r="F5066" t="str">
            <v>VG01</v>
          </cell>
          <cell r="G5066" t="str">
            <v>Auto</v>
          </cell>
          <cell r="H5066">
            <v>311</v>
          </cell>
          <cell r="I5066">
            <v>6210</v>
          </cell>
          <cell r="J5066">
            <v>6220</v>
          </cell>
          <cell r="K5066" t="str">
            <v>VG01</v>
          </cell>
        </row>
        <row r="5067">
          <cell r="A5067" t="str">
            <v>ANE65758Y1GP</v>
          </cell>
          <cell r="B5067" t="str">
            <v>SMT</v>
          </cell>
          <cell r="C5067">
            <v>1</v>
          </cell>
          <cell r="D5067" t="e">
            <v>#N/A</v>
          </cell>
          <cell r="E5067">
            <v>6210</v>
          </cell>
          <cell r="F5067" t="str">
            <v>VG01</v>
          </cell>
          <cell r="G5067" t="str">
            <v>Auto</v>
          </cell>
          <cell r="H5067">
            <v>311</v>
          </cell>
          <cell r="I5067">
            <v>6210</v>
          </cell>
          <cell r="J5067">
            <v>6220</v>
          </cell>
          <cell r="K5067" t="str">
            <v>VG01</v>
          </cell>
        </row>
        <row r="5068">
          <cell r="A5068" t="str">
            <v>1AE1A603L3F9ABP-P2</v>
          </cell>
          <cell r="B5068" t="str">
            <v>SMT</v>
          </cell>
          <cell r="C5068">
            <v>1</v>
          </cell>
          <cell r="D5068">
            <v>59</v>
          </cell>
        </row>
        <row r="5069">
          <cell r="A5069" t="str">
            <v>1RH1A603L3F9ABP-P2</v>
          </cell>
          <cell r="B5069" t="str">
            <v>SMT</v>
          </cell>
          <cell r="C5069">
            <v>1</v>
          </cell>
          <cell r="D5069">
            <v>5</v>
          </cell>
        </row>
        <row r="5070">
          <cell r="A5070" t="str">
            <v>1CM1A603L3F9ABP-P2</v>
          </cell>
          <cell r="B5070" t="str">
            <v>SMT</v>
          </cell>
          <cell r="C5070">
            <v>1</v>
          </cell>
          <cell r="D5070">
            <v>113</v>
          </cell>
          <cell r="E5070">
            <v>6210</v>
          </cell>
          <cell r="F5070" t="str">
            <v>VG01</v>
          </cell>
          <cell r="G5070" t="str">
            <v>Auto</v>
          </cell>
          <cell r="H5070">
            <v>311</v>
          </cell>
          <cell r="I5070">
            <v>6210</v>
          </cell>
          <cell r="J5070">
            <v>6220</v>
          </cell>
          <cell r="K5070" t="str">
            <v>VG01</v>
          </cell>
        </row>
        <row r="5071">
          <cell r="A5071" t="str">
            <v>1AE1A603L3G0ABP-P2</v>
          </cell>
          <cell r="B5071" t="str">
            <v>SMT</v>
          </cell>
          <cell r="C5071">
            <v>1</v>
          </cell>
          <cell r="D5071">
            <v>60</v>
          </cell>
        </row>
        <row r="5072">
          <cell r="A5072" t="str">
            <v>1RH1A603L3G0ABP-P2</v>
          </cell>
          <cell r="B5072" t="str">
            <v>SMT</v>
          </cell>
          <cell r="C5072">
            <v>1</v>
          </cell>
          <cell r="D5072">
            <v>5</v>
          </cell>
        </row>
        <row r="5073">
          <cell r="A5073" t="str">
            <v>1CM1A603L3G0ABP-P2</v>
          </cell>
          <cell r="B5073" t="str">
            <v>SMT</v>
          </cell>
          <cell r="C5073">
            <v>1</v>
          </cell>
          <cell r="D5073">
            <v>113</v>
          </cell>
          <cell r="E5073">
            <v>6210</v>
          </cell>
          <cell r="F5073" t="str">
            <v>VG01</v>
          </cell>
          <cell r="G5073" t="str">
            <v>Auto</v>
          </cell>
          <cell r="H5073">
            <v>311</v>
          </cell>
          <cell r="I5073">
            <v>6210</v>
          </cell>
          <cell r="J5073">
            <v>6220</v>
          </cell>
          <cell r="K5073" t="str">
            <v>VG01</v>
          </cell>
        </row>
        <row r="5074">
          <cell r="A5074" t="str">
            <v>1AE1A603L3F9AWT-P2</v>
          </cell>
          <cell r="B5074" t="str">
            <v>SMT</v>
          </cell>
          <cell r="C5074">
            <v>1</v>
          </cell>
          <cell r="D5074">
            <v>59</v>
          </cell>
        </row>
        <row r="5075">
          <cell r="A5075" t="str">
            <v>1RH1A603L3F9AWT-P2</v>
          </cell>
          <cell r="B5075" t="str">
            <v>SMT</v>
          </cell>
          <cell r="C5075">
            <v>1</v>
          </cell>
          <cell r="D5075">
            <v>5</v>
          </cell>
        </row>
        <row r="5076">
          <cell r="A5076" t="str">
            <v>1CM1A603L3F9AWT-P2</v>
          </cell>
          <cell r="B5076" t="str">
            <v>SMT</v>
          </cell>
          <cell r="C5076">
            <v>1</v>
          </cell>
          <cell r="D5076">
            <v>113</v>
          </cell>
          <cell r="E5076">
            <v>6210</v>
          </cell>
          <cell r="F5076" t="str">
            <v>VG01</v>
          </cell>
          <cell r="G5076" t="str">
            <v>Auto</v>
          </cell>
          <cell r="H5076">
            <v>311</v>
          </cell>
          <cell r="I5076">
            <v>6210</v>
          </cell>
          <cell r="J5076">
            <v>6220</v>
          </cell>
          <cell r="K5076" t="str">
            <v>VG01</v>
          </cell>
        </row>
        <row r="5077">
          <cell r="A5077" t="str">
            <v>1AE1A603L3K4ATP-P2</v>
          </cell>
          <cell r="B5077" t="str">
            <v>SMT</v>
          </cell>
          <cell r="C5077">
            <v>1</v>
          </cell>
          <cell r="D5077">
            <v>60</v>
          </cell>
        </row>
        <row r="5078">
          <cell r="A5078" t="str">
            <v>1RH1A603L3K4ATP-P2</v>
          </cell>
          <cell r="B5078" t="str">
            <v>SMT</v>
          </cell>
          <cell r="C5078">
            <v>1</v>
          </cell>
          <cell r="D5078">
            <v>5</v>
          </cell>
        </row>
        <row r="5079">
          <cell r="A5079" t="str">
            <v>1CM1A603L3K4ATP-P2</v>
          </cell>
          <cell r="B5079" t="str">
            <v>SMT</v>
          </cell>
          <cell r="C5079">
            <v>1</v>
          </cell>
          <cell r="D5079">
            <v>113</v>
          </cell>
          <cell r="E5079">
            <v>6210</v>
          </cell>
          <cell r="F5079" t="str">
            <v>VG01</v>
          </cell>
          <cell r="G5079" t="str">
            <v>Auto</v>
          </cell>
          <cell r="H5079">
            <v>311</v>
          </cell>
          <cell r="I5079">
            <v>6210</v>
          </cell>
          <cell r="J5079">
            <v>6220</v>
          </cell>
          <cell r="K5079" t="str">
            <v>VG01</v>
          </cell>
        </row>
        <row r="5080">
          <cell r="A5080" t="str">
            <v>1AE1A603Y3F9AMP-P2</v>
          </cell>
          <cell r="B5080" t="str">
            <v>SMT</v>
          </cell>
          <cell r="C5080">
            <v>1</v>
          </cell>
          <cell r="D5080">
            <v>19</v>
          </cell>
        </row>
        <row r="5081">
          <cell r="A5081" t="str">
            <v>1HT1A603Y3F9AMP-P2</v>
          </cell>
          <cell r="B5081" t="str">
            <v>SMT</v>
          </cell>
          <cell r="C5081">
            <v>1</v>
          </cell>
          <cell r="D5081">
            <v>6</v>
          </cell>
        </row>
        <row r="5082">
          <cell r="A5082" t="str">
            <v>1TE1A603Y3F9AMP-P2</v>
          </cell>
          <cell r="B5082" t="str">
            <v>SMT</v>
          </cell>
          <cell r="C5082">
            <v>1</v>
          </cell>
          <cell r="D5082">
            <v>1</v>
          </cell>
        </row>
        <row r="5083">
          <cell r="A5083" t="str">
            <v>1RH1A603Y3F9AMP-P2</v>
          </cell>
          <cell r="B5083" t="str">
            <v>SMT</v>
          </cell>
          <cell r="C5083">
            <v>1</v>
          </cell>
          <cell r="D5083">
            <v>4</v>
          </cell>
        </row>
        <row r="5084">
          <cell r="A5084" t="str">
            <v>1CM1A603Y3F9AMP-P2</v>
          </cell>
          <cell r="B5084" t="str">
            <v>SMT</v>
          </cell>
          <cell r="C5084">
            <v>1</v>
          </cell>
          <cell r="D5084">
            <v>15</v>
          </cell>
          <cell r="E5084">
            <v>6210</v>
          </cell>
          <cell r="F5084" t="str">
            <v>VG01</v>
          </cell>
          <cell r="G5084" t="str">
            <v>Auto</v>
          </cell>
          <cell r="H5084">
            <v>311</v>
          </cell>
          <cell r="I5084">
            <v>6210</v>
          </cell>
          <cell r="J5084">
            <v>6220</v>
          </cell>
          <cell r="K5084" t="str">
            <v>VG01</v>
          </cell>
        </row>
        <row r="5085">
          <cell r="A5085" t="str">
            <v>1AE1A603L3E6AAP-P2</v>
          </cell>
          <cell r="B5085" t="str">
            <v>SMT</v>
          </cell>
          <cell r="C5085">
            <v>1</v>
          </cell>
          <cell r="D5085">
            <v>60</v>
          </cell>
        </row>
        <row r="5086">
          <cell r="A5086" t="str">
            <v>1RH1A603L3E6AAP-P2</v>
          </cell>
          <cell r="B5086" t="str">
            <v>SMT</v>
          </cell>
          <cell r="C5086">
            <v>1</v>
          </cell>
          <cell r="D5086">
            <v>5</v>
          </cell>
        </row>
        <row r="5087">
          <cell r="A5087" t="str">
            <v>1CM1A603L3E6AAP-P2</v>
          </cell>
          <cell r="B5087" t="str">
            <v>SMT</v>
          </cell>
          <cell r="C5087">
            <v>1</v>
          </cell>
          <cell r="D5087">
            <v>114</v>
          </cell>
          <cell r="E5087">
            <v>6210</v>
          </cell>
          <cell r="F5087" t="str">
            <v>VG01</v>
          </cell>
          <cell r="G5087" t="str">
            <v>Auto</v>
          </cell>
          <cell r="H5087">
            <v>311</v>
          </cell>
          <cell r="I5087">
            <v>6210</v>
          </cell>
          <cell r="J5087">
            <v>6220</v>
          </cell>
          <cell r="K5087" t="str">
            <v>VG01</v>
          </cell>
        </row>
        <row r="5088">
          <cell r="A5088" t="str">
            <v>1AE1A603L3G2AEU-P2</v>
          </cell>
          <cell r="B5088" t="str">
            <v>SMT</v>
          </cell>
          <cell r="C5088">
            <v>1</v>
          </cell>
          <cell r="D5088">
            <v>60</v>
          </cell>
        </row>
        <row r="5089">
          <cell r="A5089" t="str">
            <v>1RH1A603L3G2AEU-P2</v>
          </cell>
          <cell r="B5089" t="str">
            <v>SMT</v>
          </cell>
          <cell r="C5089">
            <v>1</v>
          </cell>
          <cell r="D5089">
            <v>5</v>
          </cell>
        </row>
        <row r="5090">
          <cell r="A5090" t="str">
            <v>1CM1A603L3G2AEU-P2</v>
          </cell>
          <cell r="B5090" t="str">
            <v>SMT</v>
          </cell>
          <cell r="C5090">
            <v>1</v>
          </cell>
          <cell r="D5090">
            <v>113</v>
          </cell>
          <cell r="E5090">
            <v>6210</v>
          </cell>
          <cell r="F5090" t="str">
            <v>VG01</v>
          </cell>
          <cell r="G5090" t="str">
            <v>Auto</v>
          </cell>
          <cell r="H5090">
            <v>311</v>
          </cell>
          <cell r="I5090">
            <v>6210</v>
          </cell>
          <cell r="J5090">
            <v>6220</v>
          </cell>
          <cell r="K5090" t="str">
            <v>VG01</v>
          </cell>
        </row>
        <row r="5091">
          <cell r="A5091" t="str">
            <v>1AE1A603L3H7AAP-P2</v>
          </cell>
          <cell r="B5091" t="str">
            <v>SMT</v>
          </cell>
          <cell r="C5091">
            <v>1</v>
          </cell>
          <cell r="D5091">
            <v>57</v>
          </cell>
        </row>
        <row r="5092">
          <cell r="A5092" t="str">
            <v>A62603H70AP</v>
          </cell>
          <cell r="B5092" t="str">
            <v>SMT</v>
          </cell>
          <cell r="C5092">
            <v>1</v>
          </cell>
          <cell r="D5092" t="e">
            <v>#N/A</v>
          </cell>
        </row>
        <row r="5093">
          <cell r="A5093" t="str">
            <v>1RH1A603L3H7AAP-P2</v>
          </cell>
          <cell r="B5093" t="str">
            <v>SMT</v>
          </cell>
          <cell r="C5093">
            <v>1</v>
          </cell>
          <cell r="D5093">
            <v>5</v>
          </cell>
        </row>
        <row r="5094">
          <cell r="A5094" t="str">
            <v>1CM1A603L3H7AAP-P2</v>
          </cell>
          <cell r="B5094" t="str">
            <v>SMT</v>
          </cell>
          <cell r="C5094">
            <v>1</v>
          </cell>
          <cell r="D5094">
            <v>115</v>
          </cell>
          <cell r="E5094">
            <v>6210</v>
          </cell>
          <cell r="F5094" t="str">
            <v>VG01</v>
          </cell>
          <cell r="G5094" t="str">
            <v>Auto</v>
          </cell>
          <cell r="H5094">
            <v>311</v>
          </cell>
          <cell r="I5094">
            <v>6210</v>
          </cell>
          <cell r="J5094">
            <v>6220</v>
          </cell>
          <cell r="K5094" t="str">
            <v>VG01</v>
          </cell>
        </row>
        <row r="5095">
          <cell r="A5095" t="str">
            <v>1AEA603Y3G1AEU-P2</v>
          </cell>
          <cell r="B5095" t="str">
            <v>SMT</v>
          </cell>
          <cell r="C5095">
            <v>1</v>
          </cell>
          <cell r="D5095">
            <v>20</v>
          </cell>
        </row>
        <row r="5096">
          <cell r="A5096" t="str">
            <v>A65553F90BP</v>
          </cell>
          <cell r="B5096" t="str">
            <v>SMT</v>
          </cell>
          <cell r="C5096">
            <v>1</v>
          </cell>
          <cell r="D5096" t="e">
            <v>#N/A</v>
          </cell>
        </row>
        <row r="5097">
          <cell r="A5097" t="str">
            <v>1TE1A603Y3G1AEU-P2</v>
          </cell>
          <cell r="B5097" t="str">
            <v>SMT</v>
          </cell>
          <cell r="C5097">
            <v>1</v>
          </cell>
          <cell r="D5097">
            <v>1</v>
          </cell>
        </row>
        <row r="5098">
          <cell r="A5098" t="str">
            <v>1RH1A603Y3G1AEU-P2</v>
          </cell>
          <cell r="B5098" t="str">
            <v>SMT</v>
          </cell>
          <cell r="C5098">
            <v>1</v>
          </cell>
          <cell r="D5098">
            <v>4</v>
          </cell>
        </row>
        <row r="5099">
          <cell r="A5099" t="str">
            <v>1CM1A603Y3G1AEU-P2</v>
          </cell>
          <cell r="B5099" t="str">
            <v>SMT</v>
          </cell>
          <cell r="C5099">
            <v>1</v>
          </cell>
          <cell r="D5099">
            <v>15</v>
          </cell>
          <cell r="E5099">
            <v>6210</v>
          </cell>
          <cell r="F5099" t="str">
            <v>VG01</v>
          </cell>
          <cell r="G5099" t="str">
            <v>Auto</v>
          </cell>
          <cell r="H5099">
            <v>311</v>
          </cell>
          <cell r="I5099">
            <v>6210</v>
          </cell>
          <cell r="J5099">
            <v>6220</v>
          </cell>
          <cell r="K5099" t="str">
            <v>VG01</v>
          </cell>
        </row>
        <row r="5100">
          <cell r="A5100" t="str">
            <v>1AE1A603L3G1AEU-P2</v>
          </cell>
          <cell r="B5100" t="str">
            <v>SMT</v>
          </cell>
          <cell r="C5100">
            <v>1</v>
          </cell>
          <cell r="D5100">
            <v>60</v>
          </cell>
        </row>
        <row r="5101">
          <cell r="A5101" t="str">
            <v>1RH1A603L3G1AEU-P2</v>
          </cell>
          <cell r="B5101" t="str">
            <v>SMT</v>
          </cell>
          <cell r="C5101">
            <v>1</v>
          </cell>
          <cell r="D5101">
            <v>5</v>
          </cell>
        </row>
        <row r="5102">
          <cell r="A5102" t="str">
            <v>1CM1A603L3G1AEU-P2</v>
          </cell>
          <cell r="B5102" t="str">
            <v>SMT</v>
          </cell>
          <cell r="C5102">
            <v>1</v>
          </cell>
          <cell r="D5102">
            <v>113</v>
          </cell>
          <cell r="E5102">
            <v>6210</v>
          </cell>
          <cell r="F5102" t="str">
            <v>VG01</v>
          </cell>
          <cell r="G5102" t="str">
            <v>Auto</v>
          </cell>
          <cell r="H5102">
            <v>311</v>
          </cell>
          <cell r="I5102">
            <v>6210</v>
          </cell>
          <cell r="J5102">
            <v>6220</v>
          </cell>
          <cell r="K5102" t="str">
            <v>VG01</v>
          </cell>
        </row>
        <row r="5103">
          <cell r="A5103" t="str">
            <v>1AE1A603L-3J0A-P2</v>
          </cell>
          <cell r="B5103" t="str">
            <v>SMT</v>
          </cell>
          <cell r="C5103">
            <v>1</v>
          </cell>
          <cell r="D5103">
            <v>57</v>
          </cell>
        </row>
        <row r="5104">
          <cell r="A5104" t="str">
            <v>A6260-3J00</v>
          </cell>
          <cell r="B5104" t="str">
            <v>SMT</v>
          </cell>
          <cell r="C5104">
            <v>1</v>
          </cell>
          <cell r="D5104" t="e">
            <v>#N/A</v>
          </cell>
        </row>
        <row r="5105">
          <cell r="A5105" t="str">
            <v>1RH1A603L-3J0A-P2</v>
          </cell>
          <cell r="B5105" t="str">
            <v>SMT</v>
          </cell>
          <cell r="C5105">
            <v>1</v>
          </cell>
          <cell r="D5105">
            <v>8</v>
          </cell>
        </row>
        <row r="5106">
          <cell r="A5106" t="str">
            <v>1CM1A603L-3J0A-P2</v>
          </cell>
          <cell r="B5106" t="str">
            <v>SMT</v>
          </cell>
          <cell r="C5106">
            <v>1</v>
          </cell>
          <cell r="D5106">
            <v>159</v>
          </cell>
          <cell r="E5106">
            <v>6210</v>
          </cell>
          <cell r="F5106" t="str">
            <v>VG01</v>
          </cell>
          <cell r="G5106" t="str">
            <v>Auto</v>
          </cell>
          <cell r="H5106">
            <v>311</v>
          </cell>
          <cell r="I5106">
            <v>6210</v>
          </cell>
          <cell r="J5106">
            <v>6220</v>
          </cell>
          <cell r="K5106" t="str">
            <v>VG01</v>
          </cell>
        </row>
        <row r="5107">
          <cell r="A5107" t="str">
            <v>1AE1603L6P10AP1-T1</v>
          </cell>
          <cell r="B5107" t="str">
            <v>SMT</v>
          </cell>
          <cell r="C5107">
            <v>1</v>
          </cell>
          <cell r="D5107">
            <v>24</v>
          </cell>
        </row>
        <row r="5108">
          <cell r="A5108" t="str">
            <v>H62606P00AP</v>
          </cell>
          <cell r="B5108" t="str">
            <v>SMT</v>
          </cell>
          <cell r="C5108">
            <v>1</v>
          </cell>
          <cell r="D5108" t="e">
            <v>#N/A</v>
          </cell>
        </row>
        <row r="5109">
          <cell r="A5109" t="str">
            <v>1HT1603L6P10AP1-T1</v>
          </cell>
          <cell r="B5109" t="str">
            <v>SMT</v>
          </cell>
          <cell r="C5109">
            <v>1</v>
          </cell>
          <cell r="D5109">
            <v>7</v>
          </cell>
        </row>
        <row r="5110">
          <cell r="A5110" t="str">
            <v>1RH1603L6P10AP1-T1</v>
          </cell>
          <cell r="B5110" t="str">
            <v>SMT</v>
          </cell>
          <cell r="C5110">
            <v>1</v>
          </cell>
          <cell r="D5110">
            <v>2</v>
          </cell>
        </row>
        <row r="5111">
          <cell r="A5111" t="str">
            <v>1CM1603L6P10AP1-T1</v>
          </cell>
          <cell r="B5111" t="str">
            <v>SMT</v>
          </cell>
          <cell r="C5111">
            <v>1</v>
          </cell>
          <cell r="D5111">
            <v>60</v>
          </cell>
          <cell r="E5111">
            <v>6210</v>
          </cell>
          <cell r="F5111" t="str">
            <v>VG01</v>
          </cell>
          <cell r="G5111" t="str">
            <v>Auto</v>
          </cell>
          <cell r="H5111">
            <v>311</v>
          </cell>
          <cell r="I5111">
            <v>6210</v>
          </cell>
          <cell r="J5111">
            <v>6220</v>
          </cell>
          <cell r="K5111" t="str">
            <v>VG01</v>
          </cell>
        </row>
        <row r="5112">
          <cell r="A5112" t="str">
            <v>1AE1A603Y3E6AAP-P2</v>
          </cell>
          <cell r="B5112" t="str">
            <v>SMT</v>
          </cell>
          <cell r="C5112">
            <v>1</v>
          </cell>
          <cell r="D5112">
            <v>19</v>
          </cell>
        </row>
        <row r="5113">
          <cell r="A5113" t="str">
            <v>1HT1A603Y-3J3A-P2</v>
          </cell>
          <cell r="B5113" t="str">
            <v>SMT</v>
          </cell>
          <cell r="C5113">
            <v>1</v>
          </cell>
          <cell r="D5113">
            <v>20</v>
          </cell>
        </row>
        <row r="5114">
          <cell r="A5114" t="str">
            <v>1HT1A603Y-3J0A-P2</v>
          </cell>
          <cell r="B5114" t="str">
            <v>SMT</v>
          </cell>
          <cell r="C5114">
            <v>1</v>
          </cell>
          <cell r="D5114">
            <v>22</v>
          </cell>
        </row>
        <row r="5115">
          <cell r="A5115" t="str">
            <v>1HT1A603Y3G1AEU-P2</v>
          </cell>
          <cell r="B5115" t="str">
            <v>SMT</v>
          </cell>
          <cell r="C5115">
            <v>1</v>
          </cell>
          <cell r="D5115">
            <v>6</v>
          </cell>
        </row>
        <row r="5116">
          <cell r="A5116" t="str">
            <v>1TE1A603Y3E6AAP-P2</v>
          </cell>
          <cell r="B5116" t="str">
            <v>SMT</v>
          </cell>
          <cell r="C5116">
            <v>1</v>
          </cell>
          <cell r="D5116">
            <v>1</v>
          </cell>
        </row>
        <row r="5117">
          <cell r="A5117" t="str">
            <v>A608C3G0AEU-P2-V4</v>
          </cell>
          <cell r="B5117" t="str">
            <v>DIP</v>
          </cell>
          <cell r="C5117">
            <v>1</v>
          </cell>
          <cell r="D5117" t="e">
            <v>#N/A</v>
          </cell>
        </row>
        <row r="5118">
          <cell r="A5118" t="str">
            <v>ANE605Q8YABP-P2-V4</v>
          </cell>
          <cell r="B5118" t="str">
            <v>DIP</v>
          </cell>
          <cell r="C5118">
            <v>1</v>
          </cell>
          <cell r="D5118" t="e">
            <v>#N/A</v>
          </cell>
        </row>
        <row r="5119">
          <cell r="A5119" t="str">
            <v>1AE1A603Y-3J3A-P2</v>
          </cell>
          <cell r="B5119" t="str">
            <v>SMT</v>
          </cell>
          <cell r="C5119">
            <v>1</v>
          </cell>
          <cell r="D5119">
            <v>14</v>
          </cell>
        </row>
        <row r="5120">
          <cell r="A5120" t="str">
            <v>1AE1A603Y-3J0A-P2</v>
          </cell>
          <cell r="B5120" t="str">
            <v>SMT</v>
          </cell>
          <cell r="C5120">
            <v>1</v>
          </cell>
          <cell r="D5120">
            <v>21</v>
          </cell>
        </row>
        <row r="5121">
          <cell r="A5121" t="str">
            <v>1AE1A603Y3G1AEU-P2</v>
          </cell>
          <cell r="B5121" t="str">
            <v>SMT</v>
          </cell>
          <cell r="C5121">
            <v>1</v>
          </cell>
          <cell r="D5121">
            <v>20</v>
          </cell>
        </row>
        <row r="5122">
          <cell r="A5122" t="str">
            <v>1RE2LPAT7730X1ZA</v>
          </cell>
          <cell r="B5122" t="str">
            <v>SMT</v>
          </cell>
          <cell r="C5122">
            <v>1</v>
          </cell>
          <cell r="D5122">
            <v>285</v>
          </cell>
          <cell r="E5122">
            <v>2210</v>
          </cell>
          <cell r="F5122" t="str">
            <v>VC01</v>
          </cell>
          <cell r="G5122" t="str">
            <v>Auto</v>
          </cell>
          <cell r="H5122">
            <v>311</v>
          </cell>
          <cell r="I5122">
            <v>2210</v>
          </cell>
          <cell r="J5122">
            <v>2220</v>
          </cell>
          <cell r="K5122" t="str">
            <v>VC01</v>
          </cell>
        </row>
        <row r="5123">
          <cell r="A5123" t="str">
            <v>1RE2T7665VE1AP</v>
          </cell>
          <cell r="B5123" t="str">
            <v>SMT</v>
          </cell>
          <cell r="C5123">
            <v>1</v>
          </cell>
          <cell r="D5123">
            <v>253</v>
          </cell>
          <cell r="E5123">
            <v>2210</v>
          </cell>
          <cell r="F5123" t="str">
            <v>VC01</v>
          </cell>
          <cell r="G5123" t="str">
            <v>Auto</v>
          </cell>
          <cell r="H5123">
            <v>311</v>
          </cell>
          <cell r="I5123">
            <v>2210</v>
          </cell>
          <cell r="J5123">
            <v>2310</v>
          </cell>
          <cell r="K5123" t="str">
            <v>VC01</v>
          </cell>
        </row>
        <row r="5124">
          <cell r="A5124" t="str">
            <v>1RE2PSLP1435YA</v>
          </cell>
          <cell r="B5124" t="str">
            <v>SMT</v>
          </cell>
          <cell r="C5124">
            <v>1</v>
          </cell>
          <cell r="D5124">
            <v>227</v>
          </cell>
          <cell r="E5124">
            <v>2210</v>
          </cell>
          <cell r="F5124" t="str">
            <v>VC01</v>
          </cell>
          <cell r="G5124" t="str">
            <v>Auto</v>
          </cell>
          <cell r="H5124">
            <v>311</v>
          </cell>
          <cell r="I5124">
            <v>2210</v>
          </cell>
          <cell r="J5124">
            <v>2310</v>
          </cell>
          <cell r="K5124" t="str">
            <v>VC01</v>
          </cell>
        </row>
        <row r="5125">
          <cell r="A5125" t="str">
            <v>1RE2T7720M1APL4</v>
          </cell>
          <cell r="B5125" t="str">
            <v>SMT</v>
          </cell>
          <cell r="C5125">
            <v>1</v>
          </cell>
          <cell r="D5125">
            <v>256</v>
          </cell>
          <cell r="E5125">
            <v>2210</v>
          </cell>
          <cell r="F5125" t="str">
            <v>VC01</v>
          </cell>
          <cell r="G5125" t="str">
            <v>Auto</v>
          </cell>
          <cell r="H5125">
            <v>311</v>
          </cell>
          <cell r="I5125">
            <v>2210</v>
          </cell>
          <cell r="J5125">
            <v>2310</v>
          </cell>
          <cell r="K5125" t="str">
            <v>VC01</v>
          </cell>
        </row>
        <row r="5126">
          <cell r="A5126" t="str">
            <v>1RE2T7730CNV4</v>
          </cell>
          <cell r="B5126" t="str">
            <v>SMT</v>
          </cell>
          <cell r="C5126">
            <v>1</v>
          </cell>
          <cell r="D5126">
            <v>285</v>
          </cell>
          <cell r="E5126">
            <v>2210</v>
          </cell>
          <cell r="F5126" t="str">
            <v>VC01</v>
          </cell>
          <cell r="G5126" t="str">
            <v>Auto</v>
          </cell>
          <cell r="H5126">
            <v>311</v>
          </cell>
          <cell r="I5126">
            <v>2210</v>
          </cell>
          <cell r="J5126">
            <v>2310</v>
          </cell>
          <cell r="K5126" t="str">
            <v>VC01</v>
          </cell>
        </row>
        <row r="5127">
          <cell r="A5127" t="str">
            <v>1RE2T7730XV4</v>
          </cell>
          <cell r="B5127" t="str">
            <v>SMT</v>
          </cell>
          <cell r="C5127">
            <v>1</v>
          </cell>
          <cell r="D5127">
            <v>285</v>
          </cell>
          <cell r="E5127">
            <v>2210</v>
          </cell>
          <cell r="F5127" t="str">
            <v>VC01</v>
          </cell>
          <cell r="G5127" t="str">
            <v>Auto</v>
          </cell>
          <cell r="H5127">
            <v>311</v>
          </cell>
          <cell r="I5127">
            <v>2210</v>
          </cell>
          <cell r="J5127">
            <v>2310</v>
          </cell>
          <cell r="K5127" t="str">
            <v>VC01</v>
          </cell>
        </row>
        <row r="5128">
          <cell r="A5128" t="str">
            <v>1RE2LPDT5211ZB</v>
          </cell>
          <cell r="B5128" t="str">
            <v>SMT</v>
          </cell>
          <cell r="C5128">
            <v>1</v>
          </cell>
          <cell r="D5128">
            <v>165</v>
          </cell>
          <cell r="E5128">
            <v>2210</v>
          </cell>
          <cell r="F5128" t="str">
            <v>VC01</v>
          </cell>
          <cell r="G5128" t="str">
            <v>Auto</v>
          </cell>
          <cell r="H5128">
            <v>311</v>
          </cell>
          <cell r="I5128">
            <v>2210</v>
          </cell>
          <cell r="J5128">
            <v>2220</v>
          </cell>
          <cell r="K5128" t="str">
            <v>VC01</v>
          </cell>
        </row>
        <row r="5129">
          <cell r="A5129" t="str">
            <v>1RE1LPNT5512ZA</v>
          </cell>
          <cell r="B5129" t="str">
            <v>SMT</v>
          </cell>
          <cell r="C5129">
            <v>1</v>
          </cell>
          <cell r="D5129">
            <v>75</v>
          </cell>
          <cell r="E5129">
            <v>2210</v>
          </cell>
          <cell r="F5129" t="str">
            <v>VC01</v>
          </cell>
          <cell r="G5129" t="str">
            <v>Auto</v>
          </cell>
          <cell r="H5129">
            <v>311</v>
          </cell>
          <cell r="I5129">
            <v>2210</v>
          </cell>
          <cell r="J5129">
            <v>2220</v>
          </cell>
          <cell r="K5129" t="str">
            <v>VC01</v>
          </cell>
        </row>
        <row r="5130">
          <cell r="A5130" t="str">
            <v>1RE2LPDT5431ZB</v>
          </cell>
          <cell r="B5130" t="str">
            <v>SMT</v>
          </cell>
          <cell r="C5130">
            <v>1</v>
          </cell>
          <cell r="D5130">
            <v>165</v>
          </cell>
          <cell r="E5130">
            <v>2210</v>
          </cell>
          <cell r="F5130" t="str">
            <v>VC01</v>
          </cell>
          <cell r="G5130" t="str">
            <v>Auto</v>
          </cell>
          <cell r="H5130">
            <v>311</v>
          </cell>
          <cell r="I5130">
            <v>2210</v>
          </cell>
          <cell r="J5130">
            <v>2220</v>
          </cell>
          <cell r="K5130" t="str">
            <v>VC01</v>
          </cell>
        </row>
        <row r="5131">
          <cell r="A5131" t="str">
            <v>1RE1LPDT5432ZA</v>
          </cell>
          <cell r="B5131" t="str">
            <v>SMT</v>
          </cell>
          <cell r="C5131">
            <v>1</v>
          </cell>
          <cell r="D5131">
            <v>213</v>
          </cell>
          <cell r="E5131">
            <v>2210</v>
          </cell>
          <cell r="F5131" t="str">
            <v>VC01</v>
          </cell>
          <cell r="G5131" t="str">
            <v>Auto</v>
          </cell>
          <cell r="H5131">
            <v>311</v>
          </cell>
          <cell r="I5131">
            <v>2210</v>
          </cell>
          <cell r="J5131">
            <v>2220</v>
          </cell>
          <cell r="K5131" t="str">
            <v>VC01</v>
          </cell>
        </row>
        <row r="5132">
          <cell r="A5132" t="str">
            <v>1RE2LPDT5901ZA</v>
          </cell>
          <cell r="B5132" t="str">
            <v>SMT</v>
          </cell>
          <cell r="C5132">
            <v>1</v>
          </cell>
          <cell r="D5132">
            <v>99</v>
          </cell>
          <cell r="E5132">
            <v>2210</v>
          </cell>
          <cell r="F5132" t="str">
            <v>VC01</v>
          </cell>
          <cell r="G5132" t="str">
            <v>Auto</v>
          </cell>
          <cell r="H5132">
            <v>311</v>
          </cell>
          <cell r="I5132">
            <v>2210</v>
          </cell>
          <cell r="J5132">
            <v>2220</v>
          </cell>
          <cell r="K5132" t="str">
            <v>VC01</v>
          </cell>
        </row>
        <row r="5133">
          <cell r="A5133" t="str">
            <v>1RE2LPNT5051ZA</v>
          </cell>
          <cell r="B5133" t="str">
            <v>SMT</v>
          </cell>
          <cell r="C5133">
            <v>1</v>
          </cell>
          <cell r="D5133">
            <v>126</v>
          </cell>
          <cell r="E5133">
            <v>2210</v>
          </cell>
          <cell r="F5133" t="str">
            <v>VC01</v>
          </cell>
          <cell r="G5133" t="str">
            <v>Auto</v>
          </cell>
          <cell r="H5133">
            <v>311</v>
          </cell>
          <cell r="I5133">
            <v>2210</v>
          </cell>
          <cell r="J5133">
            <v>2220</v>
          </cell>
          <cell r="K5133" t="str">
            <v>VC01</v>
          </cell>
        </row>
        <row r="5134">
          <cell r="A5134" t="str">
            <v>1RE2LPNT5111ZA</v>
          </cell>
          <cell r="B5134" t="str">
            <v>SMT</v>
          </cell>
          <cell r="C5134">
            <v>1</v>
          </cell>
          <cell r="D5134">
            <v>124</v>
          </cell>
          <cell r="E5134">
            <v>2210</v>
          </cell>
          <cell r="F5134" t="str">
            <v>VC01</v>
          </cell>
          <cell r="G5134" t="str">
            <v>Auto</v>
          </cell>
          <cell r="H5134">
            <v>311</v>
          </cell>
          <cell r="I5134">
            <v>2210</v>
          </cell>
          <cell r="J5134">
            <v>2220</v>
          </cell>
          <cell r="K5134" t="str">
            <v>VC01</v>
          </cell>
        </row>
        <row r="5135">
          <cell r="A5135" t="str">
            <v>1RE1LPNT5112ZA</v>
          </cell>
          <cell r="B5135" t="str">
            <v>SMT</v>
          </cell>
          <cell r="C5135">
            <v>1</v>
          </cell>
          <cell r="D5135">
            <v>20</v>
          </cell>
          <cell r="E5135">
            <v>2210</v>
          </cell>
          <cell r="F5135" t="str">
            <v>VC01</v>
          </cell>
          <cell r="G5135" t="str">
            <v>Auto</v>
          </cell>
          <cell r="H5135">
            <v>311</v>
          </cell>
          <cell r="I5135">
            <v>2210</v>
          </cell>
          <cell r="J5135">
            <v>2220</v>
          </cell>
          <cell r="K5135" t="str">
            <v>VC01</v>
          </cell>
        </row>
        <row r="5136">
          <cell r="A5136" t="str">
            <v>1RE2LPNT511P3ZA</v>
          </cell>
          <cell r="B5136" t="str">
            <v>SMT</v>
          </cell>
          <cell r="C5136">
            <v>1</v>
          </cell>
          <cell r="D5136">
            <v>46</v>
          </cell>
          <cell r="E5136">
            <v>2210</v>
          </cell>
          <cell r="F5136" t="str">
            <v>VC01</v>
          </cell>
          <cell r="G5136" t="str">
            <v>Auto</v>
          </cell>
          <cell r="H5136">
            <v>311</v>
          </cell>
          <cell r="I5136">
            <v>2210</v>
          </cell>
          <cell r="J5136">
            <v>2220</v>
          </cell>
          <cell r="K5136" t="str">
            <v>VC01</v>
          </cell>
        </row>
        <row r="5137">
          <cell r="A5137" t="str">
            <v>1RE2LPNT511P1ZA</v>
          </cell>
          <cell r="B5137" t="str">
            <v>SMT</v>
          </cell>
          <cell r="C5137">
            <v>1</v>
          </cell>
          <cell r="D5137">
            <v>123</v>
          </cell>
          <cell r="E5137">
            <v>2210</v>
          </cell>
          <cell r="F5137" t="str">
            <v>VC01</v>
          </cell>
          <cell r="G5137" t="str">
            <v>Auto</v>
          </cell>
          <cell r="H5137">
            <v>311</v>
          </cell>
          <cell r="I5137">
            <v>2210</v>
          </cell>
          <cell r="J5137">
            <v>2220</v>
          </cell>
          <cell r="K5137" t="str">
            <v>VC01</v>
          </cell>
        </row>
        <row r="5138">
          <cell r="A5138" t="str">
            <v>1RE1LPNT511P2ZA</v>
          </cell>
          <cell r="B5138" t="str">
            <v>SMT</v>
          </cell>
          <cell r="C5138">
            <v>1</v>
          </cell>
          <cell r="D5138">
            <v>14</v>
          </cell>
          <cell r="E5138">
            <v>2210</v>
          </cell>
          <cell r="F5138" t="str">
            <v>VC01</v>
          </cell>
          <cell r="G5138" t="str">
            <v>Auto</v>
          </cell>
          <cell r="H5138">
            <v>311</v>
          </cell>
          <cell r="I5138">
            <v>2210</v>
          </cell>
          <cell r="J5138">
            <v>2220</v>
          </cell>
          <cell r="K5138" t="str">
            <v>VC01</v>
          </cell>
        </row>
        <row r="5139">
          <cell r="A5139" t="str">
            <v>1RE2LPNT5511ZA</v>
          </cell>
          <cell r="B5139" t="str">
            <v>SMT</v>
          </cell>
          <cell r="C5139">
            <v>1</v>
          </cell>
          <cell r="D5139">
            <v>208</v>
          </cell>
          <cell r="E5139">
            <v>2210</v>
          </cell>
          <cell r="F5139" t="str">
            <v>VC01</v>
          </cell>
          <cell r="G5139" t="str">
            <v>Auto</v>
          </cell>
          <cell r="H5139">
            <v>311</v>
          </cell>
          <cell r="I5139">
            <v>2210</v>
          </cell>
          <cell r="J5139">
            <v>2220</v>
          </cell>
          <cell r="K5139" t="str">
            <v>VC01</v>
          </cell>
        </row>
        <row r="5140">
          <cell r="A5140" t="str">
            <v>1RE2LPNT551CN1ZA</v>
          </cell>
          <cell r="B5140" t="str">
            <v>SMT</v>
          </cell>
          <cell r="C5140">
            <v>1</v>
          </cell>
          <cell r="D5140">
            <v>208</v>
          </cell>
          <cell r="E5140">
            <v>2210</v>
          </cell>
          <cell r="F5140" t="str">
            <v>VC01</v>
          </cell>
          <cell r="G5140" t="str">
            <v>Auto</v>
          </cell>
          <cell r="H5140">
            <v>311</v>
          </cell>
          <cell r="I5140">
            <v>2210</v>
          </cell>
          <cell r="J5140">
            <v>2220</v>
          </cell>
          <cell r="K5140" t="str">
            <v>VC01</v>
          </cell>
        </row>
        <row r="5141">
          <cell r="A5141" t="str">
            <v>1RE2LPNT5531ZA</v>
          </cell>
          <cell r="B5141" t="str">
            <v>SMT</v>
          </cell>
          <cell r="C5141">
            <v>1</v>
          </cell>
          <cell r="D5141">
            <v>230</v>
          </cell>
          <cell r="E5141">
            <v>2210</v>
          </cell>
          <cell r="F5141" t="str">
            <v>VC01</v>
          </cell>
          <cell r="G5141" t="str">
            <v>Auto</v>
          </cell>
          <cell r="H5141">
            <v>311</v>
          </cell>
          <cell r="I5141">
            <v>2210</v>
          </cell>
          <cell r="J5141">
            <v>2220</v>
          </cell>
          <cell r="K5141" t="str">
            <v>VC01</v>
          </cell>
        </row>
        <row r="5142">
          <cell r="A5142" t="str">
            <v>1RE1LPNT5562ZA</v>
          </cell>
          <cell r="B5142" t="str">
            <v>SMT</v>
          </cell>
          <cell r="C5142">
            <v>1</v>
          </cell>
          <cell r="D5142">
            <v>183</v>
          </cell>
          <cell r="E5142">
            <v>2210</v>
          </cell>
          <cell r="F5142" t="str">
            <v>VC01</v>
          </cell>
          <cell r="G5142" t="str">
            <v>Auto</v>
          </cell>
          <cell r="H5142">
            <v>311</v>
          </cell>
          <cell r="I5142">
            <v>2210</v>
          </cell>
          <cell r="J5142">
            <v>2220</v>
          </cell>
          <cell r="K5142" t="str">
            <v>VC01</v>
          </cell>
        </row>
        <row r="5143">
          <cell r="A5143" t="str">
            <v>1RE2LPNT5561ZA</v>
          </cell>
          <cell r="B5143" t="str">
            <v>SMT</v>
          </cell>
          <cell r="C5143">
            <v>1</v>
          </cell>
          <cell r="D5143">
            <v>230</v>
          </cell>
          <cell r="E5143">
            <v>2210</v>
          </cell>
          <cell r="F5143" t="str">
            <v>VC01</v>
          </cell>
          <cell r="G5143" t="str">
            <v>Auto</v>
          </cell>
          <cell r="H5143">
            <v>311</v>
          </cell>
          <cell r="I5143">
            <v>2210</v>
          </cell>
          <cell r="J5143">
            <v>2220</v>
          </cell>
          <cell r="K5143" t="str">
            <v>VC01</v>
          </cell>
        </row>
        <row r="5144">
          <cell r="A5144" t="str">
            <v>1RE2LPTPA60A01RZA</v>
          </cell>
          <cell r="B5144" t="str">
            <v>SMT</v>
          </cell>
          <cell r="C5144">
            <v>1</v>
          </cell>
          <cell r="D5144">
            <v>134</v>
          </cell>
          <cell r="E5144">
            <v>2210</v>
          </cell>
          <cell r="F5144" t="str">
            <v>VC01</v>
          </cell>
          <cell r="G5144" t="str">
            <v>Auto</v>
          </cell>
          <cell r="H5144">
            <v>311</v>
          </cell>
          <cell r="I5144">
            <v>2210</v>
          </cell>
          <cell r="J5144">
            <v>2220</v>
          </cell>
          <cell r="K5144" t="str">
            <v>VC01</v>
          </cell>
        </row>
        <row r="5145">
          <cell r="A5145" t="str">
            <v>1RE2LPTGP600A01HZA</v>
          </cell>
          <cell r="B5145" t="str">
            <v>SMT</v>
          </cell>
          <cell r="C5145">
            <v>1</v>
          </cell>
          <cell r="D5145">
            <v>193</v>
          </cell>
          <cell r="E5145">
            <v>2210</v>
          </cell>
          <cell r="F5145" t="str">
            <v>VC01</v>
          </cell>
          <cell r="G5145" t="str">
            <v>Auto</v>
          </cell>
          <cell r="H5145">
            <v>311</v>
          </cell>
          <cell r="I5145">
            <v>2210</v>
          </cell>
          <cell r="J5145">
            <v>2220</v>
          </cell>
          <cell r="K5145" t="str">
            <v>VC01</v>
          </cell>
        </row>
        <row r="5146">
          <cell r="A5146" t="str">
            <v>1RE2LPTPA60A03RZA</v>
          </cell>
          <cell r="B5146" t="str">
            <v>SMT</v>
          </cell>
          <cell r="C5146">
            <v>1</v>
          </cell>
          <cell r="D5146">
            <v>134</v>
          </cell>
          <cell r="E5146">
            <v>2210</v>
          </cell>
          <cell r="F5146" t="str">
            <v>VC01</v>
          </cell>
          <cell r="G5146" t="str">
            <v>Auto</v>
          </cell>
          <cell r="H5146">
            <v>311</v>
          </cell>
          <cell r="I5146">
            <v>2210</v>
          </cell>
          <cell r="J5146">
            <v>2220</v>
          </cell>
          <cell r="K5146" t="str">
            <v>VC01</v>
          </cell>
        </row>
        <row r="5147">
          <cell r="A5147" t="str">
            <v>1RE2LPTGP600A03HZA</v>
          </cell>
          <cell r="B5147" t="str">
            <v>SMT</v>
          </cell>
          <cell r="C5147">
            <v>1</v>
          </cell>
          <cell r="D5147">
            <v>193</v>
          </cell>
          <cell r="E5147">
            <v>2210</v>
          </cell>
          <cell r="F5147" t="str">
            <v>VC01</v>
          </cell>
          <cell r="G5147" t="str">
            <v>Auto</v>
          </cell>
          <cell r="H5147">
            <v>311</v>
          </cell>
          <cell r="I5147">
            <v>2210</v>
          </cell>
          <cell r="J5147">
            <v>2220</v>
          </cell>
          <cell r="K5147" t="str">
            <v>VC01</v>
          </cell>
        </row>
        <row r="5148">
          <cell r="A5148" t="str">
            <v>1RE2LPTPA60ALRZA</v>
          </cell>
          <cell r="B5148" t="str">
            <v>SMT</v>
          </cell>
          <cell r="C5148">
            <v>1</v>
          </cell>
          <cell r="D5148">
            <v>134</v>
          </cell>
          <cell r="E5148">
            <v>2210</v>
          </cell>
          <cell r="F5148" t="str">
            <v>VC01</v>
          </cell>
          <cell r="G5148" t="str">
            <v>Auto</v>
          </cell>
          <cell r="H5148">
            <v>311</v>
          </cell>
          <cell r="I5148">
            <v>2210</v>
          </cell>
          <cell r="J5148">
            <v>2220</v>
          </cell>
          <cell r="K5148" t="str">
            <v>VC01</v>
          </cell>
        </row>
        <row r="5149">
          <cell r="A5149" t="str">
            <v>1RE2LPTGP600ALHZA</v>
          </cell>
          <cell r="B5149" t="str">
            <v>SMT</v>
          </cell>
          <cell r="C5149">
            <v>1</v>
          </cell>
          <cell r="D5149">
            <v>193</v>
          </cell>
          <cell r="E5149">
            <v>2210</v>
          </cell>
          <cell r="F5149" t="str">
            <v>VC01</v>
          </cell>
          <cell r="G5149" t="str">
            <v>Auto</v>
          </cell>
          <cell r="H5149">
            <v>311</v>
          </cell>
          <cell r="I5149">
            <v>2210</v>
          </cell>
          <cell r="J5149">
            <v>2220</v>
          </cell>
          <cell r="K5149" t="str">
            <v>VC01</v>
          </cell>
        </row>
        <row r="5150">
          <cell r="A5150" t="str">
            <v>1RE2LPTPA60LARZA</v>
          </cell>
          <cell r="B5150" t="str">
            <v>SMT</v>
          </cell>
          <cell r="C5150">
            <v>1</v>
          </cell>
          <cell r="D5150">
            <v>134</v>
          </cell>
          <cell r="E5150">
            <v>2210</v>
          </cell>
          <cell r="F5150" t="str">
            <v>VC01</v>
          </cell>
          <cell r="G5150" t="str">
            <v>Auto</v>
          </cell>
          <cell r="H5150">
            <v>311</v>
          </cell>
          <cell r="I5150">
            <v>2210</v>
          </cell>
          <cell r="J5150">
            <v>2220</v>
          </cell>
          <cell r="K5150" t="str">
            <v>VC01</v>
          </cell>
        </row>
        <row r="5151">
          <cell r="A5151" t="str">
            <v>1RE2LPTGP600LAHZA</v>
          </cell>
          <cell r="B5151" t="str">
            <v>SMT</v>
          </cell>
          <cell r="C5151">
            <v>1</v>
          </cell>
          <cell r="D5151">
            <v>193</v>
          </cell>
          <cell r="E5151">
            <v>2210</v>
          </cell>
          <cell r="F5151" t="str">
            <v>VC01</v>
          </cell>
          <cell r="G5151" t="str">
            <v>Auto</v>
          </cell>
          <cell r="H5151">
            <v>311</v>
          </cell>
          <cell r="I5151">
            <v>2210</v>
          </cell>
          <cell r="J5151">
            <v>2220</v>
          </cell>
          <cell r="K5151" t="str">
            <v>VC01</v>
          </cell>
        </row>
        <row r="5152">
          <cell r="A5152" t="str">
            <v>1RE2LPTPA60RZA</v>
          </cell>
          <cell r="B5152" t="str">
            <v>SMT</v>
          </cell>
          <cell r="C5152">
            <v>1</v>
          </cell>
          <cell r="D5152">
            <v>134</v>
          </cell>
          <cell r="E5152">
            <v>2210</v>
          </cell>
          <cell r="F5152" t="str">
            <v>VC01</v>
          </cell>
          <cell r="G5152" t="str">
            <v>Auto</v>
          </cell>
          <cell r="H5152">
            <v>311</v>
          </cell>
          <cell r="I5152">
            <v>2210</v>
          </cell>
          <cell r="J5152">
            <v>2220</v>
          </cell>
          <cell r="K5152" t="str">
            <v>VC01</v>
          </cell>
        </row>
        <row r="5153">
          <cell r="A5153" t="str">
            <v>1RE2LPTGP600HZA</v>
          </cell>
          <cell r="B5153" t="str">
            <v>SMT</v>
          </cell>
          <cell r="C5153">
            <v>1</v>
          </cell>
          <cell r="D5153">
            <v>193</v>
          </cell>
          <cell r="E5153">
            <v>2210</v>
          </cell>
          <cell r="F5153" t="str">
            <v>VC01</v>
          </cell>
          <cell r="G5153" t="str">
            <v>Auto</v>
          </cell>
          <cell r="H5153">
            <v>311</v>
          </cell>
          <cell r="I5153">
            <v>2210</v>
          </cell>
          <cell r="J5153">
            <v>2220</v>
          </cell>
          <cell r="K5153" t="str">
            <v>VC01</v>
          </cell>
        </row>
        <row r="5154">
          <cell r="A5154" t="str">
            <v>1RE2LPTPA60CRZA</v>
          </cell>
          <cell r="B5154" t="str">
            <v>SMT</v>
          </cell>
          <cell r="C5154">
            <v>1</v>
          </cell>
          <cell r="D5154">
            <v>134</v>
          </cell>
          <cell r="E5154">
            <v>2210</v>
          </cell>
          <cell r="F5154" t="str">
            <v>VC01</v>
          </cell>
          <cell r="G5154" t="str">
            <v>Auto</v>
          </cell>
          <cell r="H5154">
            <v>311</v>
          </cell>
          <cell r="I5154">
            <v>2210</v>
          </cell>
          <cell r="J5154">
            <v>2220</v>
          </cell>
          <cell r="K5154" t="str">
            <v>VC01</v>
          </cell>
        </row>
        <row r="5155">
          <cell r="A5155" t="str">
            <v>1RE2LPTPA60CERZA</v>
          </cell>
          <cell r="B5155" t="str">
            <v>SMT</v>
          </cell>
          <cell r="C5155">
            <v>1</v>
          </cell>
          <cell r="D5155">
            <v>134</v>
          </cell>
          <cell r="E5155">
            <v>2210</v>
          </cell>
          <cell r="F5155" t="str">
            <v>VC01</v>
          </cell>
          <cell r="G5155" t="str">
            <v>Auto</v>
          </cell>
          <cell r="H5155">
            <v>311</v>
          </cell>
          <cell r="I5155">
            <v>2210</v>
          </cell>
          <cell r="J5155">
            <v>2220</v>
          </cell>
          <cell r="K5155" t="str">
            <v>VC01</v>
          </cell>
        </row>
        <row r="5156">
          <cell r="A5156" t="str">
            <v>1RE2LPTGP600CEHZA</v>
          </cell>
          <cell r="B5156" t="str">
            <v>SMT</v>
          </cell>
          <cell r="C5156">
            <v>1</v>
          </cell>
          <cell r="D5156">
            <v>193</v>
          </cell>
          <cell r="E5156">
            <v>2210</v>
          </cell>
          <cell r="F5156" t="str">
            <v>VC01</v>
          </cell>
          <cell r="G5156" t="str">
            <v>Auto</v>
          </cell>
          <cell r="H5156">
            <v>311</v>
          </cell>
          <cell r="I5156">
            <v>2210</v>
          </cell>
          <cell r="J5156">
            <v>2220</v>
          </cell>
          <cell r="K5156" t="str">
            <v>VC01</v>
          </cell>
        </row>
        <row r="5157">
          <cell r="A5157" t="str">
            <v>1RE2LPTGP600GHZA</v>
          </cell>
          <cell r="B5157" t="str">
            <v>SMT</v>
          </cell>
          <cell r="C5157">
            <v>1</v>
          </cell>
          <cell r="D5157">
            <v>193</v>
          </cell>
          <cell r="E5157">
            <v>2210</v>
          </cell>
          <cell r="F5157" t="str">
            <v>VC01</v>
          </cell>
          <cell r="G5157" t="str">
            <v>Auto</v>
          </cell>
          <cell r="H5157">
            <v>311</v>
          </cell>
          <cell r="I5157">
            <v>2210</v>
          </cell>
          <cell r="J5157">
            <v>2220</v>
          </cell>
          <cell r="K5157" t="str">
            <v>VC01</v>
          </cell>
        </row>
        <row r="5158">
          <cell r="A5158" t="str">
            <v>1RE2LPTPA60RURZA</v>
          </cell>
          <cell r="B5158" t="str">
            <v>SMT</v>
          </cell>
          <cell r="C5158">
            <v>1</v>
          </cell>
          <cell r="D5158">
            <v>134</v>
          </cell>
          <cell r="E5158">
            <v>2210</v>
          </cell>
          <cell r="F5158" t="str">
            <v>VC01</v>
          </cell>
          <cell r="G5158" t="str">
            <v>Auto</v>
          </cell>
          <cell r="H5158">
            <v>311</v>
          </cell>
          <cell r="I5158">
            <v>2210</v>
          </cell>
          <cell r="J5158">
            <v>2220</v>
          </cell>
          <cell r="K5158" t="str">
            <v>VC01</v>
          </cell>
        </row>
        <row r="5159">
          <cell r="A5159" t="str">
            <v>1RE2LPTGP600RUHZA</v>
          </cell>
          <cell r="B5159" t="str">
            <v>SMT</v>
          </cell>
          <cell r="C5159">
            <v>1</v>
          </cell>
          <cell r="D5159">
            <v>193</v>
          </cell>
          <cell r="E5159">
            <v>2210</v>
          </cell>
          <cell r="F5159" t="str">
            <v>VC01</v>
          </cell>
          <cell r="G5159" t="str">
            <v>Auto</v>
          </cell>
          <cell r="H5159">
            <v>311</v>
          </cell>
          <cell r="I5159">
            <v>2210</v>
          </cell>
          <cell r="J5159">
            <v>2220</v>
          </cell>
          <cell r="K5159" t="str">
            <v>VC01</v>
          </cell>
        </row>
        <row r="5160">
          <cell r="A5160" t="str">
            <v>1RE2LPAT7730NE1ZA</v>
          </cell>
          <cell r="B5160" t="str">
            <v>SMT</v>
          </cell>
          <cell r="C5160">
            <v>1</v>
          </cell>
          <cell r="D5160">
            <v>287</v>
          </cell>
          <cell r="E5160">
            <v>2210</v>
          </cell>
          <cell r="F5160" t="str">
            <v>VC01</v>
          </cell>
          <cell r="G5160" t="str">
            <v>Auto</v>
          </cell>
          <cell r="H5160">
            <v>311</v>
          </cell>
          <cell r="I5160">
            <v>2210</v>
          </cell>
          <cell r="J5160">
            <v>2220</v>
          </cell>
          <cell r="K5160" t="str">
            <v>VC01</v>
          </cell>
        </row>
        <row r="5161">
          <cell r="A5161" t="str">
            <v>1RE2T7735RU1APL4</v>
          </cell>
          <cell r="B5161" t="str">
            <v>SMT</v>
          </cell>
          <cell r="C5161">
            <v>1</v>
          </cell>
          <cell r="D5161">
            <v>273</v>
          </cell>
          <cell r="E5161">
            <v>2210</v>
          </cell>
          <cell r="F5161" t="str">
            <v>VC01</v>
          </cell>
          <cell r="G5161" t="str">
            <v>Auto</v>
          </cell>
          <cell r="H5161">
            <v>311</v>
          </cell>
          <cell r="I5161">
            <v>2210</v>
          </cell>
          <cell r="J5161">
            <v>2310</v>
          </cell>
          <cell r="K5161" t="str">
            <v>VC01</v>
          </cell>
        </row>
        <row r="5162">
          <cell r="A5162" t="str">
            <v>1RE2LPAT7730RU1ZA</v>
          </cell>
          <cell r="B5162" t="str">
            <v>SMT</v>
          </cell>
          <cell r="C5162">
            <v>1</v>
          </cell>
          <cell r="D5162">
            <v>286</v>
          </cell>
          <cell r="E5162">
            <v>2210</v>
          </cell>
          <cell r="F5162" t="str">
            <v>VC01</v>
          </cell>
          <cell r="G5162" t="str">
            <v>Auto</v>
          </cell>
          <cell r="H5162">
            <v>311</v>
          </cell>
          <cell r="I5162">
            <v>2210</v>
          </cell>
          <cell r="J5162">
            <v>2220</v>
          </cell>
          <cell r="K5162" t="str">
            <v>VC01</v>
          </cell>
        </row>
        <row r="5163">
          <cell r="A5163" t="str">
            <v>1AE1H603Y-3K20-P2</v>
          </cell>
          <cell r="B5163" t="str">
            <v>SMT</v>
          </cell>
          <cell r="C5163">
            <v>1</v>
          </cell>
          <cell r="D5163">
            <v>10</v>
          </cell>
        </row>
        <row r="5164">
          <cell r="A5164" t="str">
            <v>1AE1H683L-3K20-P2</v>
          </cell>
          <cell r="B5164" t="str">
            <v>SMT</v>
          </cell>
          <cell r="C5164">
            <v>1</v>
          </cell>
          <cell r="D5164">
            <v>151</v>
          </cell>
        </row>
        <row r="5165">
          <cell r="A5165" t="str">
            <v>1AP1CC412BP</v>
          </cell>
          <cell r="B5165" t="str">
            <v>SMT</v>
          </cell>
          <cell r="C5165">
            <v>1</v>
          </cell>
          <cell r="D5165" t="e">
            <v>#N/A</v>
          </cell>
        </row>
        <row r="5166">
          <cell r="A5166" t="str">
            <v>1HT1H603Y-3K20-P2</v>
          </cell>
          <cell r="B5166" t="str">
            <v>SMT</v>
          </cell>
          <cell r="C5166">
            <v>1</v>
          </cell>
          <cell r="D5166">
            <v>10</v>
          </cell>
        </row>
        <row r="5167">
          <cell r="A5167" t="str">
            <v>1HT1H683L-3K20-P2</v>
          </cell>
          <cell r="B5167" t="str">
            <v>SMT</v>
          </cell>
          <cell r="C5167">
            <v>1</v>
          </cell>
          <cell r="D5167">
            <v>18</v>
          </cell>
        </row>
        <row r="5168">
          <cell r="A5168" t="str">
            <v>1RE1CC411APYSZB-V4</v>
          </cell>
          <cell r="B5168" t="str">
            <v>SMT</v>
          </cell>
          <cell r="C5168">
            <v>1</v>
          </cell>
          <cell r="D5168">
            <v>681</v>
          </cell>
        </row>
        <row r="5169">
          <cell r="A5169" t="str">
            <v>1RE1H685Q-3K20-P2</v>
          </cell>
          <cell r="B5169" t="str">
            <v>SMT</v>
          </cell>
          <cell r="C5169">
            <v>1</v>
          </cell>
          <cell r="D5169">
            <v>139</v>
          </cell>
        </row>
        <row r="5170">
          <cell r="A5170" t="str">
            <v>1RE1SZ200P-V4</v>
          </cell>
          <cell r="B5170" t="str">
            <v>SMT</v>
          </cell>
          <cell r="C5170">
            <v>1</v>
          </cell>
          <cell r="D5170">
            <v>163</v>
          </cell>
          <cell r="E5170">
            <v>9210</v>
          </cell>
          <cell r="F5170" t="str">
            <v>VE01</v>
          </cell>
          <cell r="G5170" t="str">
            <v>Auto</v>
          </cell>
          <cell r="H5170">
            <v>311</v>
          </cell>
          <cell r="I5170">
            <v>9210</v>
          </cell>
          <cell r="J5170">
            <v>9340</v>
          </cell>
          <cell r="K5170" t="str">
            <v>VE01</v>
          </cell>
        </row>
        <row r="5171">
          <cell r="A5171" t="str">
            <v>1RE2CC411APYSZB-V4</v>
          </cell>
          <cell r="B5171" t="str">
            <v>SMT</v>
          </cell>
          <cell r="C5171">
            <v>1</v>
          </cell>
          <cell r="D5171">
            <v>326</v>
          </cell>
          <cell r="E5171">
            <v>9210</v>
          </cell>
          <cell r="F5171" t="str">
            <v>VE01</v>
          </cell>
          <cell r="G5171" t="str">
            <v>Auto</v>
          </cell>
          <cell r="H5171">
            <v>311</v>
          </cell>
          <cell r="I5171">
            <v>9210</v>
          </cell>
          <cell r="J5171">
            <v>9220</v>
          </cell>
          <cell r="K5171" t="str">
            <v>VE01</v>
          </cell>
        </row>
        <row r="5172">
          <cell r="A5172" t="str">
            <v>1RE2CC411BP</v>
          </cell>
          <cell r="B5172" t="str">
            <v>SMT</v>
          </cell>
          <cell r="C5172">
            <v>1</v>
          </cell>
          <cell r="D5172">
            <v>469</v>
          </cell>
          <cell r="E5172">
            <v>9210</v>
          </cell>
          <cell r="F5172" t="str">
            <v>VE01</v>
          </cell>
          <cell r="G5172" t="str">
            <v>Auto</v>
          </cell>
          <cell r="H5172">
            <v>311</v>
          </cell>
          <cell r="I5172">
            <v>9210</v>
          </cell>
          <cell r="J5172">
            <v>9220</v>
          </cell>
          <cell r="K5172" t="str">
            <v>VE01</v>
          </cell>
        </row>
        <row r="5173">
          <cell r="A5173" t="str">
            <v>1RE2CC412BP</v>
          </cell>
          <cell r="B5173" t="str">
            <v>SMT</v>
          </cell>
          <cell r="C5173">
            <v>1</v>
          </cell>
          <cell r="D5173">
            <v>655</v>
          </cell>
          <cell r="E5173">
            <v>9210</v>
          </cell>
          <cell r="F5173" t="str">
            <v>VE01</v>
          </cell>
          <cell r="G5173" t="str">
            <v>Auto</v>
          </cell>
          <cell r="H5173">
            <v>311</v>
          </cell>
          <cell r="I5173">
            <v>9210</v>
          </cell>
          <cell r="J5173">
            <v>9220</v>
          </cell>
          <cell r="K5173" t="str">
            <v>VE01</v>
          </cell>
        </row>
        <row r="5174">
          <cell r="A5174" t="str">
            <v>1RE2CR480P</v>
          </cell>
          <cell r="B5174" t="str">
            <v>SMT</v>
          </cell>
          <cell r="C5174">
            <v>1</v>
          </cell>
          <cell r="D5174">
            <v>59</v>
          </cell>
          <cell r="E5174">
            <v>9210</v>
          </cell>
          <cell r="F5174" t="str">
            <v>VE01</v>
          </cell>
          <cell r="G5174" t="str">
            <v>Auto</v>
          </cell>
          <cell r="H5174">
            <v>311</v>
          </cell>
          <cell r="I5174">
            <v>9210</v>
          </cell>
          <cell r="J5174">
            <v>9340</v>
          </cell>
          <cell r="K5174" t="str">
            <v>VE01</v>
          </cell>
        </row>
        <row r="5175">
          <cell r="A5175" t="str">
            <v>1RE2SR102E-V4</v>
          </cell>
          <cell r="B5175" t="str">
            <v>SMT</v>
          </cell>
          <cell r="C5175">
            <v>1</v>
          </cell>
          <cell r="D5175">
            <v>430</v>
          </cell>
          <cell r="E5175">
            <v>9210</v>
          </cell>
          <cell r="F5175" t="str">
            <v>VE01</v>
          </cell>
          <cell r="G5175" t="str">
            <v>Auto</v>
          </cell>
          <cell r="H5175">
            <v>311</v>
          </cell>
          <cell r="I5175">
            <v>9210</v>
          </cell>
          <cell r="J5175">
            <v>9220</v>
          </cell>
          <cell r="K5175" t="str">
            <v>VE01</v>
          </cell>
        </row>
        <row r="5176">
          <cell r="A5176" t="str">
            <v>1RE2ST100E-V4</v>
          </cell>
          <cell r="B5176" t="str">
            <v>SMT</v>
          </cell>
          <cell r="C5176">
            <v>1</v>
          </cell>
          <cell r="D5176">
            <v>111</v>
          </cell>
          <cell r="E5176">
            <v>9210</v>
          </cell>
          <cell r="F5176" t="str">
            <v>VE01</v>
          </cell>
          <cell r="G5176" t="str">
            <v>Auto</v>
          </cell>
          <cell r="H5176">
            <v>311</v>
          </cell>
          <cell r="I5176">
            <v>9210</v>
          </cell>
          <cell r="J5176">
            <v>9340</v>
          </cell>
          <cell r="K5176" t="str">
            <v>VE01</v>
          </cell>
        </row>
        <row r="5177">
          <cell r="A5177" t="str">
            <v>1RE2ST200P-V4</v>
          </cell>
          <cell r="B5177" t="str">
            <v>SMT</v>
          </cell>
          <cell r="C5177">
            <v>1</v>
          </cell>
          <cell r="D5177">
            <v>174</v>
          </cell>
          <cell r="E5177">
            <v>9210</v>
          </cell>
          <cell r="F5177" t="str">
            <v>VE01</v>
          </cell>
          <cell r="G5177" t="str">
            <v>Auto</v>
          </cell>
          <cell r="H5177">
            <v>311</v>
          </cell>
          <cell r="I5177">
            <v>9210</v>
          </cell>
          <cell r="J5177">
            <v>9340</v>
          </cell>
          <cell r="K5177" t="str">
            <v>VE01</v>
          </cell>
        </row>
        <row r="5178">
          <cell r="A5178" t="str">
            <v>1RE2ST300E-V4</v>
          </cell>
          <cell r="B5178" t="str">
            <v>SMT</v>
          </cell>
          <cell r="C5178">
            <v>1</v>
          </cell>
          <cell r="D5178">
            <v>155</v>
          </cell>
          <cell r="E5178">
            <v>9210</v>
          </cell>
          <cell r="F5178" t="str">
            <v>VE01</v>
          </cell>
          <cell r="G5178" t="str">
            <v>Auto</v>
          </cell>
          <cell r="H5178">
            <v>311</v>
          </cell>
          <cell r="I5178">
            <v>9210</v>
          </cell>
          <cell r="J5178">
            <v>9340</v>
          </cell>
          <cell r="K5178" t="str">
            <v>VE01</v>
          </cell>
        </row>
        <row r="5179">
          <cell r="A5179" t="str">
            <v>1RE2SZ100E-V4</v>
          </cell>
          <cell r="B5179" t="str">
            <v>SMT</v>
          </cell>
          <cell r="C5179">
            <v>1</v>
          </cell>
          <cell r="D5179">
            <v>39</v>
          </cell>
          <cell r="E5179">
            <v>9210</v>
          </cell>
          <cell r="F5179" t="str">
            <v>VE01</v>
          </cell>
          <cell r="G5179" t="str">
            <v>Auto</v>
          </cell>
          <cell r="H5179">
            <v>311</v>
          </cell>
          <cell r="I5179">
            <v>9210</v>
          </cell>
          <cell r="J5179">
            <v>9340</v>
          </cell>
          <cell r="K5179" t="str">
            <v>VE01</v>
          </cell>
        </row>
        <row r="5180">
          <cell r="A5180" t="str">
            <v>1RH1H603Y-3K20-P2</v>
          </cell>
          <cell r="B5180" t="str">
            <v>SMT</v>
          </cell>
          <cell r="C5180">
            <v>1</v>
          </cell>
          <cell r="D5180">
            <v>4</v>
          </cell>
        </row>
        <row r="5181">
          <cell r="A5181" t="str">
            <v>1RH1H683L-3K20-P2</v>
          </cell>
          <cell r="B5181" t="str">
            <v>SMT</v>
          </cell>
          <cell r="C5181">
            <v>1</v>
          </cell>
          <cell r="D5181">
            <v>35</v>
          </cell>
        </row>
        <row r="5182">
          <cell r="A5182" t="str">
            <v>1TE1H603Y-3K20-P2</v>
          </cell>
          <cell r="B5182" t="str">
            <v>SMT</v>
          </cell>
          <cell r="C5182">
            <v>1</v>
          </cell>
          <cell r="D5182">
            <v>10</v>
          </cell>
        </row>
        <row r="5183">
          <cell r="A5183" t="str">
            <v>1VJ1SR102E-V4</v>
          </cell>
          <cell r="B5183" t="str">
            <v>SMT</v>
          </cell>
          <cell r="C5183">
            <v>1</v>
          </cell>
          <cell r="D5183" t="e">
            <v>#N/A</v>
          </cell>
        </row>
        <row r="5184">
          <cell r="A5184" t="str">
            <v>1VJ1ST100E-V4</v>
          </cell>
          <cell r="B5184" t="str">
            <v>SMT</v>
          </cell>
          <cell r="C5184">
            <v>1</v>
          </cell>
          <cell r="D5184" t="e">
            <v>#N/A</v>
          </cell>
        </row>
        <row r="5185">
          <cell r="A5185" t="str">
            <v>1VJ1ST200P-V4</v>
          </cell>
          <cell r="B5185" t="str">
            <v>SMT</v>
          </cell>
          <cell r="C5185">
            <v>1</v>
          </cell>
          <cell r="D5185" t="e">
            <v>#N/A</v>
          </cell>
        </row>
        <row r="5186">
          <cell r="A5186" t="str">
            <v>1VJ1ST300E-V4</v>
          </cell>
          <cell r="B5186" t="str">
            <v>SMT</v>
          </cell>
          <cell r="C5186">
            <v>1</v>
          </cell>
          <cell r="D5186" t="e">
            <v>#N/A</v>
          </cell>
        </row>
        <row r="5187">
          <cell r="A5187" t="str">
            <v>1VJ2SR102E-V4</v>
          </cell>
          <cell r="B5187" t="str">
            <v>SMT</v>
          </cell>
          <cell r="C5187">
            <v>1</v>
          </cell>
          <cell r="D5187" t="e">
            <v>#N/A</v>
          </cell>
        </row>
        <row r="5188">
          <cell r="A5188" t="str">
            <v>2RE1SR102E-V4</v>
          </cell>
          <cell r="B5188" t="str">
            <v>SMT</v>
          </cell>
          <cell r="C5188">
            <v>1</v>
          </cell>
          <cell r="D5188">
            <v>22</v>
          </cell>
          <cell r="E5188">
            <v>9210</v>
          </cell>
          <cell r="F5188" t="str">
            <v>VE01</v>
          </cell>
          <cell r="G5188" t="str">
            <v>Auto</v>
          </cell>
          <cell r="H5188">
            <v>311</v>
          </cell>
          <cell r="I5188">
            <v>9210</v>
          </cell>
          <cell r="J5188">
            <v>9220</v>
          </cell>
          <cell r="K5188" t="str">
            <v>VE01</v>
          </cell>
        </row>
        <row r="5189">
          <cell r="A5189" t="str">
            <v>2RE2CC411BP</v>
          </cell>
          <cell r="B5189" t="str">
            <v>SMT</v>
          </cell>
          <cell r="C5189">
            <v>1</v>
          </cell>
          <cell r="D5189">
            <v>111</v>
          </cell>
          <cell r="E5189">
            <v>9210</v>
          </cell>
          <cell r="F5189" t="str">
            <v>VE01</v>
          </cell>
          <cell r="G5189" t="str">
            <v>Auto</v>
          </cell>
          <cell r="H5189">
            <v>311</v>
          </cell>
          <cell r="I5189">
            <v>9210</v>
          </cell>
          <cell r="J5189">
            <v>9340</v>
          </cell>
          <cell r="K5189" t="str">
            <v>VE01</v>
          </cell>
        </row>
        <row r="5190">
          <cell r="A5190" t="str">
            <v>2VJ2CC411BPUNI2</v>
          </cell>
          <cell r="B5190" t="str">
            <v>SMT</v>
          </cell>
          <cell r="C5190">
            <v>1</v>
          </cell>
          <cell r="D5190" t="e">
            <v>#N/A</v>
          </cell>
        </row>
        <row r="5191">
          <cell r="A5191" t="str">
            <v>3AP1CC411AP-V4</v>
          </cell>
          <cell r="B5191" t="str">
            <v>SMT</v>
          </cell>
          <cell r="C5191">
            <v>1</v>
          </cell>
          <cell r="D5191" t="e">
            <v>#N/A</v>
          </cell>
        </row>
        <row r="5192">
          <cell r="A5192" t="str">
            <v>PGLB1190ZA-EC</v>
          </cell>
          <cell r="B5192" t="str">
            <v>SMT</v>
          </cell>
          <cell r="C5192">
            <v>1</v>
          </cell>
          <cell r="D5192">
            <v>1</v>
          </cell>
        </row>
        <row r="5193">
          <cell r="A5193" t="str">
            <v>PGLB1463YA-6H</v>
          </cell>
          <cell r="B5193" t="str">
            <v>SMT</v>
          </cell>
          <cell r="C5193">
            <v>1</v>
          </cell>
          <cell r="D5193" t="e">
            <v>#N/A</v>
          </cell>
          <cell r="E5193">
            <v>9210</v>
          </cell>
          <cell r="F5193" t="str">
            <v>VE01</v>
          </cell>
          <cell r="G5193" t="str">
            <v>Auto</v>
          </cell>
          <cell r="H5193">
            <v>311</v>
          </cell>
          <cell r="I5193">
            <v>9210</v>
          </cell>
          <cell r="J5193">
            <v>9220</v>
          </cell>
          <cell r="K5193" t="str">
            <v>VE01</v>
          </cell>
        </row>
        <row r="5194">
          <cell r="A5194" t="str">
            <v>PGLB2179ZA-4V</v>
          </cell>
          <cell r="B5194" t="str">
            <v>SMT</v>
          </cell>
          <cell r="C5194">
            <v>1</v>
          </cell>
          <cell r="D5194">
            <v>1</v>
          </cell>
        </row>
        <row r="5195">
          <cell r="A5195" t="str">
            <v>1RE2T7750CEV4</v>
          </cell>
          <cell r="B5195" t="str">
            <v>SMT</v>
          </cell>
          <cell r="C5195">
            <v>1</v>
          </cell>
          <cell r="D5195">
            <v>226</v>
          </cell>
          <cell r="E5195">
            <v>2210</v>
          </cell>
          <cell r="F5195" t="str">
            <v>VC01</v>
          </cell>
          <cell r="G5195" t="str">
            <v>Auto</v>
          </cell>
          <cell r="H5195">
            <v>311</v>
          </cell>
          <cell r="I5195">
            <v>2210</v>
          </cell>
          <cell r="J5195">
            <v>2310</v>
          </cell>
          <cell r="K5195" t="str">
            <v>VC01</v>
          </cell>
        </row>
        <row r="5196">
          <cell r="A5196" t="str">
            <v>PNXA1005WA/AS</v>
          </cell>
          <cell r="B5196" t="str">
            <v>SMT</v>
          </cell>
          <cell r="C5196">
            <v>1</v>
          </cell>
          <cell r="D5196">
            <v>0</v>
          </cell>
        </row>
        <row r="5197">
          <cell r="A5197" t="str">
            <v>4VJ1CC412BPBB2</v>
          </cell>
          <cell r="B5197" t="str">
            <v>SMT</v>
          </cell>
          <cell r="C5197">
            <v>1</v>
          </cell>
          <cell r="D5197" t="e">
            <v>#N/A</v>
          </cell>
        </row>
        <row r="5198">
          <cell r="A5198" t="str">
            <v>5VJ1CC412BPDSP2</v>
          </cell>
          <cell r="B5198" t="str">
            <v>SMT</v>
          </cell>
          <cell r="C5198">
            <v>1</v>
          </cell>
          <cell r="D5198" t="e">
            <v>#N/A</v>
          </cell>
        </row>
        <row r="5199">
          <cell r="A5199" t="str">
            <v>PGLB1462YA-GL</v>
          </cell>
          <cell r="B5199" t="str">
            <v>SMT</v>
          </cell>
          <cell r="C5199">
            <v>1</v>
          </cell>
          <cell r="D5199">
            <v>1</v>
          </cell>
        </row>
        <row r="5200">
          <cell r="A5200" t="str">
            <v>2VJ1CC411BPUNI1</v>
          </cell>
          <cell r="B5200" t="str">
            <v>SMT</v>
          </cell>
          <cell r="C5200">
            <v>1</v>
          </cell>
          <cell r="D5200" t="e">
            <v>#N/A</v>
          </cell>
        </row>
        <row r="5201">
          <cell r="A5201" t="str">
            <v>PULB1028ZA/V1</v>
          </cell>
          <cell r="B5201" t="str">
            <v>SMT</v>
          </cell>
          <cell r="C5201">
            <v>1</v>
          </cell>
          <cell r="D5201">
            <v>1</v>
          </cell>
        </row>
        <row r="5202">
          <cell r="A5202" t="str">
            <v>3VJ1CC411BPDSP1</v>
          </cell>
          <cell r="B5202" t="str">
            <v>SMT</v>
          </cell>
          <cell r="C5202">
            <v>1</v>
          </cell>
          <cell r="D5202" t="e">
            <v>#N/A</v>
          </cell>
        </row>
        <row r="5203">
          <cell r="A5203" t="str">
            <v>1VJ1CC411BPBB1</v>
          </cell>
          <cell r="B5203" t="str">
            <v>SMT</v>
          </cell>
          <cell r="C5203">
            <v>1</v>
          </cell>
          <cell r="D5203" t="e">
            <v>#N/A</v>
          </cell>
        </row>
        <row r="5204">
          <cell r="A5204" t="str">
            <v>PULB1029ZB-XM</v>
          </cell>
          <cell r="B5204" t="str">
            <v>SMT</v>
          </cell>
          <cell r="C5204">
            <v>1</v>
          </cell>
          <cell r="D5204">
            <v>1</v>
          </cell>
        </row>
        <row r="5205">
          <cell r="A5205" t="str">
            <v>PULB1032ZA-XM</v>
          </cell>
          <cell r="B5205" t="str">
            <v>SMT</v>
          </cell>
          <cell r="C5205">
            <v>1</v>
          </cell>
          <cell r="D5205">
            <v>1</v>
          </cell>
        </row>
        <row r="5206">
          <cell r="A5206" t="str">
            <v>1VJ1CR480P</v>
          </cell>
          <cell r="B5206" t="str">
            <v>SMT</v>
          </cell>
          <cell r="C5206">
            <v>1</v>
          </cell>
          <cell r="D5206" t="e">
            <v>#N/A</v>
          </cell>
        </row>
        <row r="5207">
          <cell r="A5207" t="str">
            <v>PGLB1828ZA-6H</v>
          </cell>
          <cell r="B5207" t="str">
            <v>SMT</v>
          </cell>
          <cell r="C5207">
            <v>1</v>
          </cell>
          <cell r="D5207" t="e">
            <v>#N/A</v>
          </cell>
        </row>
        <row r="5208">
          <cell r="A5208" t="str">
            <v>PGLB1751XA-GL</v>
          </cell>
          <cell r="B5208" t="str">
            <v>SMT</v>
          </cell>
          <cell r="C5208">
            <v>1</v>
          </cell>
          <cell r="D5208">
            <v>1</v>
          </cell>
        </row>
        <row r="5209">
          <cell r="A5209" t="str">
            <v>PGLB1753YA-GL</v>
          </cell>
          <cell r="B5209" t="str">
            <v>SMT</v>
          </cell>
          <cell r="C5209">
            <v>1</v>
          </cell>
          <cell r="D5209">
            <v>1</v>
          </cell>
        </row>
        <row r="5210">
          <cell r="A5210" t="str">
            <v>PGLB1754YA-GL</v>
          </cell>
          <cell r="B5210" t="str">
            <v>SMT</v>
          </cell>
          <cell r="C5210">
            <v>1</v>
          </cell>
          <cell r="D5210">
            <v>1</v>
          </cell>
        </row>
        <row r="5211">
          <cell r="A5211" t="str">
            <v>PGLB2121YA-GL</v>
          </cell>
          <cell r="B5211" t="str">
            <v>SMT</v>
          </cell>
          <cell r="C5211">
            <v>1</v>
          </cell>
          <cell r="D5211">
            <v>1</v>
          </cell>
        </row>
        <row r="5212">
          <cell r="A5212" t="str">
            <v>1RE1CC412BP</v>
          </cell>
          <cell r="B5212" t="str">
            <v>SMT</v>
          </cell>
          <cell r="C5212">
            <v>1</v>
          </cell>
          <cell r="D5212">
            <v>859</v>
          </cell>
        </row>
        <row r="5213">
          <cell r="A5213" t="str">
            <v>2RE1CC411BP</v>
          </cell>
          <cell r="B5213" t="str">
            <v>SMT</v>
          </cell>
          <cell r="C5213">
            <v>1</v>
          </cell>
          <cell r="D5213">
            <v>121</v>
          </cell>
        </row>
        <row r="5214">
          <cell r="A5214" t="str">
            <v>1RE1CC411BP</v>
          </cell>
          <cell r="B5214" t="str">
            <v>SMT</v>
          </cell>
          <cell r="C5214">
            <v>1</v>
          </cell>
          <cell r="D5214">
            <v>598</v>
          </cell>
        </row>
        <row r="5215">
          <cell r="A5215" t="str">
            <v>1RE1CM470P</v>
          </cell>
          <cell r="B5215" t="str">
            <v>SMT</v>
          </cell>
          <cell r="C5215">
            <v>1</v>
          </cell>
          <cell r="D5215">
            <v>53</v>
          </cell>
          <cell r="E5215">
            <v>9210</v>
          </cell>
          <cell r="F5215" t="str">
            <v>VE01</v>
          </cell>
          <cell r="G5215" t="str">
            <v>Auto</v>
          </cell>
          <cell r="H5215">
            <v>311</v>
          </cell>
          <cell r="I5215">
            <v>9210</v>
          </cell>
          <cell r="J5215">
            <v>9340</v>
          </cell>
          <cell r="K5215" t="str">
            <v>VE01</v>
          </cell>
        </row>
        <row r="5216">
          <cell r="A5216" t="str">
            <v>1RE1CR480P</v>
          </cell>
          <cell r="B5216" t="str">
            <v>SMT</v>
          </cell>
          <cell r="C5216">
            <v>1</v>
          </cell>
          <cell r="D5216">
            <v>27</v>
          </cell>
        </row>
        <row r="5217">
          <cell r="A5217" t="str">
            <v>1RE1SZ100E-V4</v>
          </cell>
          <cell r="B5217" t="str">
            <v>SMT</v>
          </cell>
          <cell r="C5217">
            <v>1</v>
          </cell>
          <cell r="D5217">
            <v>26</v>
          </cell>
        </row>
        <row r="5218">
          <cell r="A5218" t="str">
            <v>1RE1SR102E-V4</v>
          </cell>
          <cell r="B5218" t="str">
            <v>SMT</v>
          </cell>
          <cell r="C5218">
            <v>1</v>
          </cell>
          <cell r="D5218">
            <v>281</v>
          </cell>
        </row>
        <row r="5219">
          <cell r="A5219" t="str">
            <v>1RE1ST100E-V4</v>
          </cell>
          <cell r="B5219" t="str">
            <v>SMT</v>
          </cell>
          <cell r="C5219">
            <v>1</v>
          </cell>
          <cell r="D5219">
            <v>105</v>
          </cell>
        </row>
        <row r="5220">
          <cell r="A5220" t="str">
            <v>1RE1ST300E-V4</v>
          </cell>
          <cell r="B5220" t="str">
            <v>SMT</v>
          </cell>
          <cell r="C5220">
            <v>1</v>
          </cell>
          <cell r="D5220">
            <v>86</v>
          </cell>
        </row>
        <row r="5221">
          <cell r="A5221" t="str">
            <v>1RE1ST200P-V4</v>
          </cell>
          <cell r="B5221" t="str">
            <v>SMT</v>
          </cell>
          <cell r="C5221">
            <v>1</v>
          </cell>
          <cell r="D5221">
            <v>114</v>
          </cell>
        </row>
        <row r="5222">
          <cell r="A5222" t="str">
            <v>1RE2H685Q-3K20-P2</v>
          </cell>
          <cell r="B5222" t="str">
            <v>SMT</v>
          </cell>
          <cell r="C5222">
            <v>1</v>
          </cell>
          <cell r="D5222">
            <v>310</v>
          </cell>
          <cell r="E5222">
            <v>6210</v>
          </cell>
          <cell r="F5222" t="str">
            <v>VG01</v>
          </cell>
          <cell r="G5222" t="str">
            <v>Auto</v>
          </cell>
          <cell r="H5222">
            <v>311</v>
          </cell>
          <cell r="I5222">
            <v>6210</v>
          </cell>
          <cell r="J5222">
            <v>6220</v>
          </cell>
          <cell r="K5222" t="str">
            <v>VG01</v>
          </cell>
        </row>
        <row r="5223">
          <cell r="A5223" t="str">
            <v>1CM1H683L-3K20-P2</v>
          </cell>
          <cell r="B5223" t="str">
            <v>SMT</v>
          </cell>
          <cell r="C5223">
            <v>1</v>
          </cell>
          <cell r="D5223">
            <v>428</v>
          </cell>
          <cell r="E5223">
            <v>6210</v>
          </cell>
          <cell r="F5223" t="str">
            <v>VG01</v>
          </cell>
          <cell r="G5223" t="str">
            <v>Auto</v>
          </cell>
          <cell r="H5223">
            <v>311</v>
          </cell>
          <cell r="I5223">
            <v>6210</v>
          </cell>
          <cell r="J5223">
            <v>6220</v>
          </cell>
          <cell r="K5223" t="str">
            <v>VG01</v>
          </cell>
        </row>
        <row r="5224">
          <cell r="A5224" t="str">
            <v>1CM1H603Y-3K20-P2</v>
          </cell>
          <cell r="B5224" t="str">
            <v>SMT</v>
          </cell>
          <cell r="C5224">
            <v>1</v>
          </cell>
          <cell r="D5224">
            <v>6</v>
          </cell>
          <cell r="E5224">
            <v>6210</v>
          </cell>
          <cell r="F5224" t="str">
            <v>VG01</v>
          </cell>
          <cell r="G5224" t="str">
            <v>Auto</v>
          </cell>
          <cell r="H5224">
            <v>311</v>
          </cell>
          <cell r="I5224">
            <v>6210</v>
          </cell>
          <cell r="J5224">
            <v>6220</v>
          </cell>
          <cell r="K5224" t="str">
            <v>VG01</v>
          </cell>
        </row>
        <row r="5225">
          <cell r="A5225" t="str">
            <v>1TE1H683L-3K20-P2</v>
          </cell>
          <cell r="B5225" t="str">
            <v>SMT</v>
          </cell>
          <cell r="C5225">
            <v>1</v>
          </cell>
          <cell r="D5225" t="e">
            <v>#N/A</v>
          </cell>
        </row>
        <row r="5226">
          <cell r="A5226" t="str">
            <v>1AE1A603M-3J0A</v>
          </cell>
          <cell r="B5226" t="str">
            <v>SMT</v>
          </cell>
          <cell r="C5226">
            <v>1</v>
          </cell>
          <cell r="D5226">
            <v>2</v>
          </cell>
          <cell r="E5226">
            <v>6210</v>
          </cell>
          <cell r="F5226" t="str">
            <v>VG01</v>
          </cell>
          <cell r="G5226" t="str">
            <v>Auto</v>
          </cell>
          <cell r="H5226">
            <v>311</v>
          </cell>
          <cell r="I5226">
            <v>6210</v>
          </cell>
          <cell r="J5226">
            <v>6220</v>
          </cell>
          <cell r="K5226" t="str">
            <v>VG01</v>
          </cell>
        </row>
        <row r="5227">
          <cell r="A5227" t="str">
            <v>1AE1A603M-3J3A</v>
          </cell>
          <cell r="B5227" t="str">
            <v>SMT</v>
          </cell>
          <cell r="C5227">
            <v>1</v>
          </cell>
          <cell r="D5227">
            <v>1</v>
          </cell>
          <cell r="E5227">
            <v>6210</v>
          </cell>
          <cell r="F5227" t="str">
            <v>VG01</v>
          </cell>
          <cell r="G5227" t="str">
            <v>Auto</v>
          </cell>
          <cell r="H5227">
            <v>311</v>
          </cell>
          <cell r="I5227">
            <v>6210</v>
          </cell>
          <cell r="J5227">
            <v>6220</v>
          </cell>
          <cell r="K5227" t="str">
            <v>VG01</v>
          </cell>
        </row>
        <row r="5228">
          <cell r="A5228" t="str">
            <v>1AE1A608B3G1AEU</v>
          </cell>
          <cell r="B5228" t="str">
            <v>SMT</v>
          </cell>
          <cell r="C5228">
            <v>1</v>
          </cell>
          <cell r="D5228">
            <v>12</v>
          </cell>
          <cell r="E5228">
            <v>6210</v>
          </cell>
          <cell r="F5228" t="str">
            <v>VG01</v>
          </cell>
          <cell r="G5228" t="str">
            <v>Auto</v>
          </cell>
          <cell r="H5228">
            <v>311</v>
          </cell>
          <cell r="I5228">
            <v>6210</v>
          </cell>
          <cell r="J5228">
            <v>6220</v>
          </cell>
          <cell r="K5228" t="str">
            <v>VG01</v>
          </cell>
        </row>
        <row r="5229">
          <cell r="A5229" t="str">
            <v>1HT1A608B3G1AEU</v>
          </cell>
          <cell r="B5229" t="str">
            <v>SMT</v>
          </cell>
          <cell r="C5229">
            <v>1</v>
          </cell>
          <cell r="D5229">
            <v>12</v>
          </cell>
        </row>
        <row r="5230">
          <cell r="A5230" t="str">
            <v>1AE1A608B3H7AAP</v>
          </cell>
          <cell r="B5230" t="str">
            <v>SMT</v>
          </cell>
          <cell r="C5230">
            <v>1</v>
          </cell>
          <cell r="D5230">
            <v>14</v>
          </cell>
          <cell r="E5230">
            <v>6210</v>
          </cell>
          <cell r="F5230" t="str">
            <v>VG01</v>
          </cell>
          <cell r="G5230" t="str">
            <v>Auto</v>
          </cell>
          <cell r="H5230">
            <v>311</v>
          </cell>
          <cell r="I5230">
            <v>6210</v>
          </cell>
          <cell r="J5230">
            <v>6220</v>
          </cell>
          <cell r="K5230" t="str">
            <v>VG01</v>
          </cell>
        </row>
        <row r="5231">
          <cell r="A5231" t="str">
            <v>1HT1A608B3H7AAP</v>
          </cell>
          <cell r="B5231" t="str">
            <v>SMT</v>
          </cell>
          <cell r="C5231">
            <v>1</v>
          </cell>
          <cell r="D5231">
            <v>14</v>
          </cell>
        </row>
        <row r="5232">
          <cell r="A5232" t="str">
            <v>1AE1A608B3H9AAP</v>
          </cell>
          <cell r="B5232" t="str">
            <v>SMT</v>
          </cell>
          <cell r="C5232">
            <v>1</v>
          </cell>
          <cell r="D5232">
            <v>10</v>
          </cell>
          <cell r="E5232">
            <v>6210</v>
          </cell>
          <cell r="F5232" t="str">
            <v>VG01</v>
          </cell>
          <cell r="G5232" t="str">
            <v>Auto</v>
          </cell>
          <cell r="H5232">
            <v>311</v>
          </cell>
          <cell r="I5232">
            <v>6210</v>
          </cell>
          <cell r="J5232">
            <v>6220</v>
          </cell>
          <cell r="K5232" t="str">
            <v>VG01</v>
          </cell>
        </row>
        <row r="5233">
          <cell r="A5233" t="str">
            <v>1HT1A608B3H9AAP</v>
          </cell>
          <cell r="B5233" t="str">
            <v>SMT</v>
          </cell>
          <cell r="C5233">
            <v>1</v>
          </cell>
          <cell r="D5233">
            <v>10</v>
          </cell>
        </row>
        <row r="5234">
          <cell r="A5234" t="str">
            <v>1CM1A603L-3J0A</v>
          </cell>
          <cell r="B5234" t="str">
            <v>SMT</v>
          </cell>
          <cell r="C5234">
            <v>1</v>
          </cell>
          <cell r="D5234">
            <v>159</v>
          </cell>
          <cell r="E5234">
            <v>6210</v>
          </cell>
          <cell r="F5234" t="str">
            <v>VG01</v>
          </cell>
          <cell r="G5234" t="str">
            <v>Auto</v>
          </cell>
          <cell r="H5234">
            <v>311</v>
          </cell>
          <cell r="I5234">
            <v>6210</v>
          </cell>
          <cell r="J5234">
            <v>6220</v>
          </cell>
          <cell r="K5234" t="str">
            <v>VG01</v>
          </cell>
        </row>
        <row r="5235">
          <cell r="A5235" t="str">
            <v>1RH1A603L-3J0A</v>
          </cell>
          <cell r="B5235" t="str">
            <v>SMT</v>
          </cell>
          <cell r="C5235">
            <v>1</v>
          </cell>
          <cell r="D5235">
            <v>8</v>
          </cell>
        </row>
        <row r="5236">
          <cell r="A5236" t="str">
            <v>1AE1A603L-3J0A</v>
          </cell>
          <cell r="B5236" t="str">
            <v>SMT</v>
          </cell>
          <cell r="C5236">
            <v>1</v>
          </cell>
          <cell r="D5236">
            <v>57</v>
          </cell>
        </row>
        <row r="5237">
          <cell r="A5237" t="str">
            <v>1CM1A603L-3J2A</v>
          </cell>
          <cell r="B5237" t="str">
            <v>SMT</v>
          </cell>
          <cell r="C5237">
            <v>1</v>
          </cell>
          <cell r="D5237">
            <v>159</v>
          </cell>
          <cell r="E5237">
            <v>6210</v>
          </cell>
          <cell r="F5237" t="str">
            <v>VG01</v>
          </cell>
          <cell r="G5237" t="str">
            <v>Auto</v>
          </cell>
          <cell r="H5237">
            <v>311</v>
          </cell>
          <cell r="I5237">
            <v>6210</v>
          </cell>
          <cell r="J5237">
            <v>6220</v>
          </cell>
          <cell r="K5237" t="str">
            <v>VG01</v>
          </cell>
        </row>
        <row r="5238">
          <cell r="A5238" t="str">
            <v>1RH1A603L-3J2A</v>
          </cell>
          <cell r="B5238" t="str">
            <v>SMT</v>
          </cell>
          <cell r="C5238">
            <v>1</v>
          </cell>
          <cell r="D5238">
            <v>8</v>
          </cell>
        </row>
        <row r="5239">
          <cell r="A5239" t="str">
            <v>1AE1A603L-3J2A</v>
          </cell>
          <cell r="B5239" t="str">
            <v>SMT</v>
          </cell>
          <cell r="C5239">
            <v>1</v>
          </cell>
          <cell r="D5239">
            <v>57</v>
          </cell>
        </row>
        <row r="5240">
          <cell r="A5240" t="str">
            <v>1CM1A603L-3J3A</v>
          </cell>
          <cell r="B5240" t="str">
            <v>SMT</v>
          </cell>
          <cell r="C5240">
            <v>1</v>
          </cell>
          <cell r="D5240">
            <v>222</v>
          </cell>
          <cell r="E5240">
            <v>6210</v>
          </cell>
          <cell r="F5240" t="str">
            <v>VG01</v>
          </cell>
          <cell r="G5240" t="str">
            <v>Auto</v>
          </cell>
          <cell r="H5240">
            <v>311</v>
          </cell>
          <cell r="I5240">
            <v>6210</v>
          </cell>
          <cell r="J5240">
            <v>6220</v>
          </cell>
          <cell r="K5240" t="str">
            <v>VG01</v>
          </cell>
        </row>
        <row r="5241">
          <cell r="A5241" t="str">
            <v>1RH1A603L-3J3A</v>
          </cell>
          <cell r="B5241" t="str">
            <v>SMT</v>
          </cell>
          <cell r="C5241">
            <v>1</v>
          </cell>
          <cell r="D5241">
            <v>7</v>
          </cell>
        </row>
        <row r="5242">
          <cell r="A5242" t="str">
            <v>1AE1A603L-3J3A</v>
          </cell>
          <cell r="B5242" t="str">
            <v>SMT</v>
          </cell>
          <cell r="C5242">
            <v>1</v>
          </cell>
          <cell r="D5242">
            <v>74</v>
          </cell>
        </row>
        <row r="5243">
          <cell r="A5243" t="str">
            <v>1CM1A603L-3K50</v>
          </cell>
          <cell r="B5243" t="str">
            <v>SMT</v>
          </cell>
          <cell r="C5243">
            <v>1</v>
          </cell>
          <cell r="D5243">
            <v>159</v>
          </cell>
          <cell r="E5243">
            <v>6210</v>
          </cell>
          <cell r="F5243" t="str">
            <v>VG01</v>
          </cell>
          <cell r="G5243" t="str">
            <v>Auto</v>
          </cell>
          <cell r="H5243">
            <v>311</v>
          </cell>
          <cell r="I5243">
            <v>6210</v>
          </cell>
          <cell r="J5243">
            <v>6220</v>
          </cell>
          <cell r="K5243" t="str">
            <v>VG01</v>
          </cell>
        </row>
        <row r="5244">
          <cell r="A5244" t="str">
            <v>1RH1A603L-3K50</v>
          </cell>
          <cell r="B5244" t="str">
            <v>SMT</v>
          </cell>
          <cell r="C5244">
            <v>1</v>
          </cell>
          <cell r="D5244">
            <v>8</v>
          </cell>
        </row>
        <row r="5245">
          <cell r="A5245" t="str">
            <v>1AE1A603L-3K50</v>
          </cell>
          <cell r="B5245" t="str">
            <v>SMT</v>
          </cell>
          <cell r="C5245">
            <v>1</v>
          </cell>
          <cell r="D5245">
            <v>57</v>
          </cell>
        </row>
        <row r="5246">
          <cell r="A5246" t="str">
            <v>1CM1A603L3F0AAP</v>
          </cell>
          <cell r="B5246" t="str">
            <v>SMT</v>
          </cell>
          <cell r="C5246">
            <v>1</v>
          </cell>
          <cell r="D5246">
            <v>114</v>
          </cell>
          <cell r="E5246">
            <v>6210</v>
          </cell>
          <cell r="F5246" t="str">
            <v>VG01</v>
          </cell>
          <cell r="G5246" t="str">
            <v>Auto</v>
          </cell>
          <cell r="H5246">
            <v>311</v>
          </cell>
          <cell r="I5246">
            <v>6210</v>
          </cell>
          <cell r="J5246">
            <v>6220</v>
          </cell>
          <cell r="K5246" t="str">
            <v>VG01</v>
          </cell>
        </row>
        <row r="5247">
          <cell r="A5247" t="str">
            <v>1RH1A603L3F0AAP</v>
          </cell>
          <cell r="B5247" t="str">
            <v>SMT</v>
          </cell>
          <cell r="C5247">
            <v>1</v>
          </cell>
          <cell r="D5247">
            <v>4</v>
          </cell>
        </row>
        <row r="5248">
          <cell r="A5248" t="str">
            <v>1AE1A603L3F0AAP</v>
          </cell>
          <cell r="B5248" t="str">
            <v>SMT</v>
          </cell>
          <cell r="C5248">
            <v>1</v>
          </cell>
          <cell r="D5248">
            <v>60</v>
          </cell>
        </row>
        <row r="5249">
          <cell r="A5249" t="str">
            <v>1CM1A603L3F9ABP</v>
          </cell>
          <cell r="B5249" t="str">
            <v>SMT</v>
          </cell>
          <cell r="C5249">
            <v>1</v>
          </cell>
          <cell r="D5249">
            <v>113</v>
          </cell>
          <cell r="E5249">
            <v>6210</v>
          </cell>
          <cell r="F5249" t="str">
            <v>VG01</v>
          </cell>
          <cell r="G5249" t="str">
            <v>Auto</v>
          </cell>
          <cell r="H5249">
            <v>311</v>
          </cell>
          <cell r="I5249">
            <v>6210</v>
          </cell>
          <cell r="J5249">
            <v>6220</v>
          </cell>
          <cell r="K5249" t="str">
            <v>VG01</v>
          </cell>
        </row>
        <row r="5250">
          <cell r="A5250" t="str">
            <v>1RH1A603L3F9ABP</v>
          </cell>
          <cell r="B5250" t="str">
            <v>SMT</v>
          </cell>
          <cell r="C5250">
            <v>1</v>
          </cell>
          <cell r="D5250">
            <v>4</v>
          </cell>
        </row>
        <row r="5251">
          <cell r="A5251" t="str">
            <v>1AE1A603L3F9ABP</v>
          </cell>
          <cell r="B5251" t="str">
            <v>SMT</v>
          </cell>
          <cell r="C5251">
            <v>1</v>
          </cell>
          <cell r="D5251">
            <v>59</v>
          </cell>
        </row>
        <row r="5252">
          <cell r="A5252" t="str">
            <v>1CM1A603L3G0ABP</v>
          </cell>
          <cell r="B5252" t="str">
            <v>SMT</v>
          </cell>
          <cell r="C5252">
            <v>1</v>
          </cell>
          <cell r="D5252">
            <v>113</v>
          </cell>
          <cell r="E5252">
            <v>6210</v>
          </cell>
          <cell r="F5252" t="str">
            <v>VG01</v>
          </cell>
          <cell r="G5252" t="str">
            <v>Auto</v>
          </cell>
          <cell r="H5252">
            <v>311</v>
          </cell>
          <cell r="I5252">
            <v>6210</v>
          </cell>
          <cell r="J5252">
            <v>6220</v>
          </cell>
          <cell r="K5252" t="str">
            <v>VG01</v>
          </cell>
        </row>
        <row r="5253">
          <cell r="A5253" t="str">
            <v>1RH1A603L3G0ABP</v>
          </cell>
          <cell r="B5253" t="str">
            <v>SMT</v>
          </cell>
          <cell r="C5253">
            <v>1</v>
          </cell>
          <cell r="D5253">
            <v>4</v>
          </cell>
        </row>
        <row r="5254">
          <cell r="A5254" t="str">
            <v>1AE1A603L3G0ABP</v>
          </cell>
          <cell r="B5254" t="str">
            <v>SMT</v>
          </cell>
          <cell r="C5254">
            <v>1</v>
          </cell>
          <cell r="D5254">
            <v>60</v>
          </cell>
        </row>
        <row r="5255">
          <cell r="A5255" t="str">
            <v>1CM1A603L3G1AEU</v>
          </cell>
          <cell r="B5255" t="str">
            <v>SMT</v>
          </cell>
          <cell r="C5255">
            <v>1</v>
          </cell>
          <cell r="D5255">
            <v>113</v>
          </cell>
          <cell r="E5255">
            <v>6210</v>
          </cell>
          <cell r="F5255" t="str">
            <v>VG01</v>
          </cell>
          <cell r="G5255" t="str">
            <v>Auto</v>
          </cell>
          <cell r="H5255">
            <v>311</v>
          </cell>
          <cell r="I5255">
            <v>6210</v>
          </cell>
          <cell r="J5255">
            <v>6220</v>
          </cell>
          <cell r="K5255" t="str">
            <v>VG01</v>
          </cell>
        </row>
        <row r="5256">
          <cell r="A5256" t="str">
            <v>1RH1A603L3G1AEU</v>
          </cell>
          <cell r="B5256" t="str">
            <v>SMT</v>
          </cell>
          <cell r="C5256">
            <v>1</v>
          </cell>
          <cell r="D5256">
            <v>5</v>
          </cell>
        </row>
        <row r="5257">
          <cell r="A5257" t="str">
            <v>1AE1A603L3G1AEU</v>
          </cell>
          <cell r="B5257" t="str">
            <v>SMT</v>
          </cell>
          <cell r="C5257">
            <v>1</v>
          </cell>
          <cell r="D5257">
            <v>60</v>
          </cell>
        </row>
        <row r="5258">
          <cell r="A5258" t="str">
            <v>1CM1A603L3G2AEU</v>
          </cell>
          <cell r="B5258" t="str">
            <v>SMT</v>
          </cell>
          <cell r="C5258">
            <v>1</v>
          </cell>
          <cell r="D5258">
            <v>113</v>
          </cell>
          <cell r="E5258">
            <v>6210</v>
          </cell>
          <cell r="F5258" t="str">
            <v>VG01</v>
          </cell>
          <cell r="G5258" t="str">
            <v>Auto</v>
          </cell>
          <cell r="H5258">
            <v>311</v>
          </cell>
          <cell r="I5258">
            <v>6210</v>
          </cell>
          <cell r="J5258">
            <v>6220</v>
          </cell>
          <cell r="K5258" t="str">
            <v>VG01</v>
          </cell>
        </row>
        <row r="5259">
          <cell r="A5259" t="str">
            <v>1RH1A603L3G2AEU</v>
          </cell>
          <cell r="B5259" t="str">
            <v>SMT</v>
          </cell>
          <cell r="C5259">
            <v>1</v>
          </cell>
          <cell r="D5259">
            <v>4</v>
          </cell>
        </row>
        <row r="5260">
          <cell r="A5260" t="str">
            <v>1AE1A603L3G2AEU</v>
          </cell>
          <cell r="B5260" t="str">
            <v>SMT</v>
          </cell>
          <cell r="C5260">
            <v>1</v>
          </cell>
          <cell r="D5260">
            <v>60</v>
          </cell>
        </row>
        <row r="5261">
          <cell r="A5261" t="str">
            <v>1CM1A603L3H7AAP</v>
          </cell>
          <cell r="B5261" t="str">
            <v>SMT</v>
          </cell>
          <cell r="C5261">
            <v>1</v>
          </cell>
          <cell r="D5261">
            <v>117</v>
          </cell>
          <cell r="E5261">
            <v>6210</v>
          </cell>
          <cell r="F5261" t="str">
            <v>VG01</v>
          </cell>
          <cell r="G5261" t="str">
            <v>Auto</v>
          </cell>
          <cell r="H5261">
            <v>311</v>
          </cell>
          <cell r="I5261">
            <v>6210</v>
          </cell>
          <cell r="J5261">
            <v>6220</v>
          </cell>
          <cell r="K5261" t="str">
            <v>VG01</v>
          </cell>
        </row>
        <row r="5262">
          <cell r="A5262" t="str">
            <v>1RH1A603L3H7AAP</v>
          </cell>
          <cell r="B5262" t="str">
            <v>SMT</v>
          </cell>
          <cell r="C5262">
            <v>1</v>
          </cell>
          <cell r="D5262">
            <v>4</v>
          </cell>
        </row>
        <row r="5263">
          <cell r="A5263" t="str">
            <v>1AE1A603L3H7AAP</v>
          </cell>
          <cell r="B5263" t="str">
            <v>SMT</v>
          </cell>
          <cell r="C5263">
            <v>1</v>
          </cell>
          <cell r="D5263">
            <v>57</v>
          </cell>
        </row>
        <row r="5264">
          <cell r="A5264" t="str">
            <v>1CM1A603L3H8AAP</v>
          </cell>
          <cell r="B5264" t="str">
            <v>SMT</v>
          </cell>
          <cell r="C5264">
            <v>1</v>
          </cell>
          <cell r="D5264">
            <v>117</v>
          </cell>
          <cell r="E5264">
            <v>6210</v>
          </cell>
          <cell r="F5264" t="str">
            <v>VG01</v>
          </cell>
          <cell r="G5264" t="str">
            <v>Auto</v>
          </cell>
          <cell r="H5264">
            <v>311</v>
          </cell>
          <cell r="I5264">
            <v>6210</v>
          </cell>
          <cell r="J5264">
            <v>6220</v>
          </cell>
          <cell r="K5264" t="str">
            <v>VG01</v>
          </cell>
        </row>
        <row r="5265">
          <cell r="A5265" t="str">
            <v>1RH1A603L3H8AAP</v>
          </cell>
          <cell r="B5265" t="str">
            <v>SMT</v>
          </cell>
          <cell r="C5265">
            <v>1</v>
          </cell>
          <cell r="D5265">
            <v>4</v>
          </cell>
        </row>
        <row r="5266">
          <cell r="A5266" t="str">
            <v>1AE1A603L3H8AAP</v>
          </cell>
          <cell r="B5266" t="str">
            <v>SMT</v>
          </cell>
          <cell r="C5266">
            <v>1</v>
          </cell>
          <cell r="D5266">
            <v>56</v>
          </cell>
        </row>
        <row r="5267">
          <cell r="A5267" t="str">
            <v>1CM1A603L3H9AAP</v>
          </cell>
          <cell r="B5267" t="str">
            <v>SMT</v>
          </cell>
          <cell r="C5267">
            <v>1</v>
          </cell>
          <cell r="D5267">
            <v>115</v>
          </cell>
          <cell r="E5267">
            <v>6210</v>
          </cell>
          <cell r="F5267" t="str">
            <v>VG01</v>
          </cell>
          <cell r="G5267" t="str">
            <v>Auto</v>
          </cell>
          <cell r="H5267">
            <v>311</v>
          </cell>
          <cell r="I5267">
            <v>6210</v>
          </cell>
          <cell r="J5267">
            <v>6220</v>
          </cell>
          <cell r="K5267" t="str">
            <v>VG01</v>
          </cell>
        </row>
        <row r="5268">
          <cell r="A5268" t="str">
            <v>1RH1A603L3H9AAP</v>
          </cell>
          <cell r="B5268" t="str">
            <v>SMT</v>
          </cell>
          <cell r="C5268">
            <v>1</v>
          </cell>
          <cell r="D5268">
            <v>4</v>
          </cell>
        </row>
        <row r="5269">
          <cell r="A5269" t="str">
            <v>1AE1A603L3H9AAP</v>
          </cell>
          <cell r="B5269" t="str">
            <v>SMT</v>
          </cell>
          <cell r="C5269">
            <v>1</v>
          </cell>
          <cell r="D5269">
            <v>57</v>
          </cell>
        </row>
        <row r="5270">
          <cell r="A5270" t="str">
            <v>1CM1A603L3J0AP1</v>
          </cell>
          <cell r="B5270" t="str">
            <v>SMT</v>
          </cell>
          <cell r="C5270">
            <v>1</v>
          </cell>
          <cell r="D5270">
            <v>159</v>
          </cell>
          <cell r="E5270">
            <v>6210</v>
          </cell>
          <cell r="F5270" t="str">
            <v>VG01</v>
          </cell>
          <cell r="G5270" t="str">
            <v>Auto</v>
          </cell>
          <cell r="H5270">
            <v>311</v>
          </cell>
          <cell r="I5270">
            <v>6210</v>
          </cell>
          <cell r="J5270">
            <v>6220</v>
          </cell>
          <cell r="K5270" t="str">
            <v>VG01</v>
          </cell>
        </row>
        <row r="5271">
          <cell r="A5271" t="str">
            <v>1RH1A603L3J0AP1</v>
          </cell>
          <cell r="B5271" t="str">
            <v>SMT</v>
          </cell>
          <cell r="C5271">
            <v>1</v>
          </cell>
          <cell r="D5271">
            <v>8</v>
          </cell>
        </row>
        <row r="5272">
          <cell r="A5272" t="str">
            <v>1AE1A603L3J0AP1</v>
          </cell>
          <cell r="B5272" t="str">
            <v>SMT</v>
          </cell>
          <cell r="C5272">
            <v>1</v>
          </cell>
          <cell r="D5272">
            <v>57</v>
          </cell>
        </row>
        <row r="5273">
          <cell r="A5273" t="str">
            <v>1CM1A603L3J0AP2</v>
          </cell>
          <cell r="B5273" t="str">
            <v>SMT</v>
          </cell>
          <cell r="C5273">
            <v>1</v>
          </cell>
          <cell r="D5273">
            <v>159</v>
          </cell>
          <cell r="E5273">
            <v>6210</v>
          </cell>
          <cell r="F5273" t="str">
            <v>VG01</v>
          </cell>
          <cell r="G5273" t="str">
            <v>Auto</v>
          </cell>
          <cell r="H5273">
            <v>311</v>
          </cell>
          <cell r="I5273">
            <v>6210</v>
          </cell>
          <cell r="J5273">
            <v>6220</v>
          </cell>
          <cell r="K5273" t="str">
            <v>VG01</v>
          </cell>
        </row>
        <row r="5274">
          <cell r="A5274" t="str">
            <v>1RH1A603L3J0AP2</v>
          </cell>
          <cell r="B5274" t="str">
            <v>SMT</v>
          </cell>
          <cell r="C5274">
            <v>1</v>
          </cell>
          <cell r="D5274">
            <v>8</v>
          </cell>
        </row>
        <row r="5275">
          <cell r="A5275" t="str">
            <v>1AE1A603L3J0AP2</v>
          </cell>
          <cell r="B5275" t="str">
            <v>SMT</v>
          </cell>
          <cell r="C5275">
            <v>1</v>
          </cell>
          <cell r="D5275">
            <v>57</v>
          </cell>
        </row>
        <row r="5276">
          <cell r="A5276" t="str">
            <v>1CM1A603L3J1AP2</v>
          </cell>
          <cell r="B5276" t="str">
            <v>SMT</v>
          </cell>
          <cell r="C5276">
            <v>1</v>
          </cell>
          <cell r="D5276">
            <v>179</v>
          </cell>
          <cell r="E5276">
            <v>6210</v>
          </cell>
          <cell r="F5276" t="str">
            <v>VG01</v>
          </cell>
          <cell r="G5276" t="str">
            <v>Auto</v>
          </cell>
          <cell r="H5276">
            <v>311</v>
          </cell>
          <cell r="I5276">
            <v>6210</v>
          </cell>
          <cell r="J5276">
            <v>6220</v>
          </cell>
          <cell r="K5276" t="str">
            <v>VG01</v>
          </cell>
        </row>
        <row r="5277">
          <cell r="A5277" t="str">
            <v>1RH1A603L3J1AP2</v>
          </cell>
          <cell r="B5277" t="str">
            <v>SMT</v>
          </cell>
          <cell r="C5277">
            <v>1</v>
          </cell>
          <cell r="D5277">
            <v>8</v>
          </cell>
        </row>
        <row r="5278">
          <cell r="A5278" t="str">
            <v>1AE1A603L3J1AP2</v>
          </cell>
          <cell r="B5278" t="str">
            <v>SMT</v>
          </cell>
          <cell r="C5278">
            <v>1</v>
          </cell>
          <cell r="D5278">
            <v>65</v>
          </cell>
        </row>
        <row r="5279">
          <cell r="A5279" t="str">
            <v>1CM1A603L3J2AP3</v>
          </cell>
          <cell r="B5279" t="str">
            <v>SMT</v>
          </cell>
          <cell r="C5279">
            <v>1</v>
          </cell>
          <cell r="D5279">
            <v>159</v>
          </cell>
          <cell r="E5279">
            <v>6210</v>
          </cell>
          <cell r="F5279" t="str">
            <v>VG01</v>
          </cell>
          <cell r="G5279" t="str">
            <v>Auto</v>
          </cell>
          <cell r="H5279">
            <v>311</v>
          </cell>
          <cell r="I5279">
            <v>6210</v>
          </cell>
          <cell r="J5279">
            <v>6220</v>
          </cell>
          <cell r="K5279" t="str">
            <v>VG01</v>
          </cell>
        </row>
        <row r="5280">
          <cell r="A5280" t="str">
            <v>1RH1A603L3J2AP3</v>
          </cell>
          <cell r="B5280" t="str">
            <v>SMT</v>
          </cell>
          <cell r="C5280">
            <v>1</v>
          </cell>
          <cell r="D5280">
            <v>8</v>
          </cell>
        </row>
        <row r="5281">
          <cell r="A5281" t="str">
            <v>1AE1A603L3J2AP3</v>
          </cell>
          <cell r="B5281" t="str">
            <v>SMT</v>
          </cell>
          <cell r="C5281">
            <v>1</v>
          </cell>
          <cell r="D5281">
            <v>57</v>
          </cell>
        </row>
        <row r="5282">
          <cell r="A5282" t="str">
            <v>1CM1A603L3J2AP5</v>
          </cell>
          <cell r="B5282" t="str">
            <v>SMT</v>
          </cell>
          <cell r="C5282">
            <v>1</v>
          </cell>
          <cell r="D5282">
            <v>159</v>
          </cell>
          <cell r="E5282">
            <v>6210</v>
          </cell>
          <cell r="F5282" t="str">
            <v>VG01</v>
          </cell>
          <cell r="G5282" t="str">
            <v>Auto</v>
          </cell>
          <cell r="H5282">
            <v>311</v>
          </cell>
          <cell r="I5282">
            <v>6210</v>
          </cell>
          <cell r="J5282">
            <v>6220</v>
          </cell>
          <cell r="K5282" t="str">
            <v>VG01</v>
          </cell>
        </row>
        <row r="5283">
          <cell r="A5283" t="str">
            <v>1RH1A603L3J2AP5</v>
          </cell>
          <cell r="B5283" t="str">
            <v>SMT</v>
          </cell>
          <cell r="C5283">
            <v>1</v>
          </cell>
          <cell r="D5283">
            <v>8</v>
          </cell>
        </row>
        <row r="5284">
          <cell r="A5284" t="str">
            <v>1AE1A603L3J2AP5</v>
          </cell>
          <cell r="B5284" t="str">
            <v>SMT</v>
          </cell>
          <cell r="C5284">
            <v>1</v>
          </cell>
          <cell r="D5284">
            <v>57</v>
          </cell>
        </row>
        <row r="5285">
          <cell r="A5285" t="str">
            <v>1CM1A603L3J9ABP</v>
          </cell>
          <cell r="B5285" t="str">
            <v>SMT</v>
          </cell>
          <cell r="C5285">
            <v>1</v>
          </cell>
          <cell r="D5285">
            <v>168</v>
          </cell>
          <cell r="E5285">
            <v>6210</v>
          </cell>
          <cell r="F5285" t="str">
            <v>VG01</v>
          </cell>
          <cell r="G5285" t="str">
            <v>Auto</v>
          </cell>
          <cell r="H5285">
            <v>311</v>
          </cell>
          <cell r="I5285">
            <v>6210</v>
          </cell>
          <cell r="J5285">
            <v>6220</v>
          </cell>
          <cell r="K5285" t="str">
            <v>VG01</v>
          </cell>
        </row>
        <row r="5286">
          <cell r="A5286" t="str">
            <v>1RH1A603L3J9ABP</v>
          </cell>
          <cell r="B5286" t="str">
            <v>SMT</v>
          </cell>
          <cell r="C5286">
            <v>1</v>
          </cell>
          <cell r="D5286">
            <v>9</v>
          </cell>
        </row>
        <row r="5287">
          <cell r="A5287" t="str">
            <v>1AE1A603L3J9ABP</v>
          </cell>
          <cell r="B5287" t="str">
            <v>SMT</v>
          </cell>
          <cell r="C5287">
            <v>1</v>
          </cell>
          <cell r="D5287">
            <v>54</v>
          </cell>
        </row>
        <row r="5288">
          <cell r="A5288" t="str">
            <v>1CM1A603Y-3J0A</v>
          </cell>
          <cell r="B5288" t="str">
            <v>SMT</v>
          </cell>
          <cell r="C5288">
            <v>1</v>
          </cell>
          <cell r="D5288">
            <v>49</v>
          </cell>
          <cell r="E5288">
            <v>6210</v>
          </cell>
          <cell r="F5288" t="str">
            <v>VG01</v>
          </cell>
          <cell r="G5288" t="str">
            <v>Auto</v>
          </cell>
          <cell r="H5288">
            <v>311</v>
          </cell>
          <cell r="I5288">
            <v>6210</v>
          </cell>
          <cell r="J5288">
            <v>6220</v>
          </cell>
          <cell r="K5288" t="str">
            <v>VG01</v>
          </cell>
        </row>
        <row r="5289">
          <cell r="A5289" t="str">
            <v>1RH1A603Y-3J0A</v>
          </cell>
          <cell r="B5289" t="str">
            <v>SMT</v>
          </cell>
          <cell r="C5289">
            <v>1</v>
          </cell>
          <cell r="D5289">
            <v>14</v>
          </cell>
        </row>
        <row r="5290">
          <cell r="A5290" t="str">
            <v>1TE1A603Y-3J0A</v>
          </cell>
          <cell r="B5290" t="str">
            <v>SMT</v>
          </cell>
          <cell r="C5290">
            <v>1</v>
          </cell>
          <cell r="D5290">
            <v>5</v>
          </cell>
        </row>
        <row r="5291">
          <cell r="A5291" t="str">
            <v>1AE1A603Y-3J0A</v>
          </cell>
          <cell r="B5291" t="str">
            <v>SMT</v>
          </cell>
          <cell r="C5291">
            <v>1</v>
          </cell>
          <cell r="D5291">
            <v>21</v>
          </cell>
        </row>
        <row r="5292">
          <cell r="A5292" t="str">
            <v>1HT1A603Y-3J0A</v>
          </cell>
          <cell r="B5292" t="str">
            <v>SMT</v>
          </cell>
          <cell r="C5292">
            <v>1</v>
          </cell>
          <cell r="D5292">
            <v>22</v>
          </cell>
        </row>
        <row r="5293">
          <cell r="A5293" t="str">
            <v>1CM1A603Y-3J3A</v>
          </cell>
          <cell r="B5293" t="str">
            <v>SMT</v>
          </cell>
          <cell r="C5293">
            <v>1</v>
          </cell>
          <cell r="D5293">
            <v>41</v>
          </cell>
          <cell r="E5293">
            <v>6210</v>
          </cell>
          <cell r="F5293" t="str">
            <v>VG01</v>
          </cell>
          <cell r="G5293" t="str">
            <v>Auto</v>
          </cell>
          <cell r="H5293">
            <v>311</v>
          </cell>
          <cell r="I5293">
            <v>6210</v>
          </cell>
          <cell r="J5293">
            <v>6220</v>
          </cell>
          <cell r="K5293" t="str">
            <v>VG01</v>
          </cell>
        </row>
        <row r="5294">
          <cell r="A5294" t="str">
            <v>1RH1A603Y-3J3A</v>
          </cell>
          <cell r="B5294" t="str">
            <v>SMT</v>
          </cell>
          <cell r="C5294">
            <v>1</v>
          </cell>
          <cell r="D5294">
            <v>11</v>
          </cell>
        </row>
        <row r="5295">
          <cell r="A5295" t="str">
            <v>1TE1A603Y-3J3A</v>
          </cell>
          <cell r="B5295" t="str">
            <v>SMT</v>
          </cell>
          <cell r="C5295">
            <v>1</v>
          </cell>
          <cell r="D5295">
            <v>5</v>
          </cell>
        </row>
        <row r="5296">
          <cell r="A5296" t="str">
            <v>1AE1A603Y-3J3A</v>
          </cell>
          <cell r="B5296" t="str">
            <v>SMT</v>
          </cell>
          <cell r="C5296">
            <v>1</v>
          </cell>
          <cell r="D5296">
            <v>14</v>
          </cell>
        </row>
        <row r="5297">
          <cell r="A5297" t="str">
            <v>1HT1A603Y-3J3A</v>
          </cell>
          <cell r="B5297" t="str">
            <v>SMT</v>
          </cell>
          <cell r="C5297">
            <v>1</v>
          </cell>
          <cell r="D5297">
            <v>20</v>
          </cell>
        </row>
        <row r="5298">
          <cell r="A5298" t="str">
            <v>1CM1A603Y3E6AAP</v>
          </cell>
          <cell r="B5298" t="str">
            <v>SMT</v>
          </cell>
          <cell r="C5298">
            <v>1</v>
          </cell>
          <cell r="D5298">
            <v>15</v>
          </cell>
          <cell r="E5298">
            <v>6210</v>
          </cell>
          <cell r="F5298" t="str">
            <v>VG01</v>
          </cell>
          <cell r="G5298" t="str">
            <v>Auto</v>
          </cell>
          <cell r="H5298">
            <v>311</v>
          </cell>
          <cell r="I5298">
            <v>6210</v>
          </cell>
          <cell r="J5298">
            <v>6220</v>
          </cell>
          <cell r="K5298" t="str">
            <v>VG01</v>
          </cell>
        </row>
        <row r="5299">
          <cell r="A5299" t="str">
            <v>1RH1A603Y3E6AAP</v>
          </cell>
          <cell r="B5299" t="str">
            <v>SMT</v>
          </cell>
          <cell r="C5299">
            <v>1</v>
          </cell>
          <cell r="D5299">
            <v>4</v>
          </cell>
        </row>
        <row r="5300">
          <cell r="A5300" t="str">
            <v>1TE1A603Y3E6AAP</v>
          </cell>
          <cell r="B5300" t="str">
            <v>SMT</v>
          </cell>
          <cell r="C5300">
            <v>1</v>
          </cell>
          <cell r="D5300">
            <v>1</v>
          </cell>
        </row>
        <row r="5301">
          <cell r="A5301" t="str">
            <v>1AE1A603Y3E6AAP</v>
          </cell>
          <cell r="B5301" t="str">
            <v>SMT</v>
          </cell>
          <cell r="C5301">
            <v>1</v>
          </cell>
          <cell r="D5301">
            <v>19</v>
          </cell>
        </row>
        <row r="5302">
          <cell r="A5302" t="str">
            <v>1CM1A603Y3F0AAP</v>
          </cell>
          <cell r="B5302" t="str">
            <v>SMT</v>
          </cell>
          <cell r="C5302">
            <v>1</v>
          </cell>
          <cell r="D5302">
            <v>15</v>
          </cell>
          <cell r="E5302">
            <v>6210</v>
          </cell>
          <cell r="F5302" t="str">
            <v>VG01</v>
          </cell>
          <cell r="G5302" t="str">
            <v>Auto</v>
          </cell>
          <cell r="H5302">
            <v>311</v>
          </cell>
          <cell r="I5302">
            <v>6210</v>
          </cell>
          <cell r="J5302">
            <v>6220</v>
          </cell>
          <cell r="K5302" t="str">
            <v>VG01</v>
          </cell>
        </row>
        <row r="5303">
          <cell r="A5303" t="str">
            <v>1RH1A603Y3F0AAP</v>
          </cell>
          <cell r="B5303" t="str">
            <v>SMT</v>
          </cell>
          <cell r="C5303">
            <v>1</v>
          </cell>
          <cell r="D5303">
            <v>4</v>
          </cell>
        </row>
        <row r="5304">
          <cell r="A5304" t="str">
            <v>1TE1A603Y3F0AAP</v>
          </cell>
          <cell r="B5304" t="str">
            <v>SMT</v>
          </cell>
          <cell r="C5304">
            <v>1</v>
          </cell>
          <cell r="D5304">
            <v>1</v>
          </cell>
        </row>
        <row r="5305">
          <cell r="A5305" t="str">
            <v>1AE1A603Y3F0AAP</v>
          </cell>
          <cell r="B5305" t="str">
            <v>SMT</v>
          </cell>
          <cell r="C5305">
            <v>1</v>
          </cell>
          <cell r="D5305">
            <v>19</v>
          </cell>
        </row>
        <row r="5306">
          <cell r="A5306" t="str">
            <v>1CM1A603Y3F9ABP</v>
          </cell>
          <cell r="B5306" t="str">
            <v>SMT</v>
          </cell>
          <cell r="C5306">
            <v>1</v>
          </cell>
          <cell r="D5306">
            <v>15</v>
          </cell>
          <cell r="E5306">
            <v>6210</v>
          </cell>
          <cell r="F5306" t="str">
            <v>VG01</v>
          </cell>
          <cell r="G5306" t="str">
            <v>Auto</v>
          </cell>
          <cell r="H5306">
            <v>311</v>
          </cell>
          <cell r="I5306">
            <v>6210</v>
          </cell>
          <cell r="J5306">
            <v>6220</v>
          </cell>
          <cell r="K5306" t="str">
            <v>VG01</v>
          </cell>
        </row>
        <row r="5307">
          <cell r="A5307" t="str">
            <v>1RH1A603Y3F9ABP</v>
          </cell>
          <cell r="B5307" t="str">
            <v>SMT</v>
          </cell>
          <cell r="C5307">
            <v>1</v>
          </cell>
          <cell r="D5307">
            <v>4</v>
          </cell>
        </row>
        <row r="5308">
          <cell r="A5308" t="str">
            <v>1TE1A603Y3F9ABP</v>
          </cell>
          <cell r="B5308" t="str">
            <v>SMT</v>
          </cell>
          <cell r="C5308">
            <v>1</v>
          </cell>
          <cell r="D5308">
            <v>1</v>
          </cell>
        </row>
        <row r="5309">
          <cell r="A5309" t="str">
            <v>1AE1A603Y3F9ABP</v>
          </cell>
          <cell r="B5309" t="str">
            <v>SMT</v>
          </cell>
          <cell r="C5309">
            <v>1</v>
          </cell>
          <cell r="D5309">
            <v>20</v>
          </cell>
        </row>
        <row r="5310">
          <cell r="A5310" t="str">
            <v>1HT1A603Y3F9ABP</v>
          </cell>
          <cell r="B5310" t="str">
            <v>SMT</v>
          </cell>
          <cell r="C5310">
            <v>1</v>
          </cell>
          <cell r="D5310">
            <v>6</v>
          </cell>
        </row>
        <row r="5311">
          <cell r="A5311" t="str">
            <v>1CM1A603Y3G1AEU</v>
          </cell>
          <cell r="B5311" t="str">
            <v>SMT</v>
          </cell>
          <cell r="C5311">
            <v>1</v>
          </cell>
          <cell r="D5311">
            <v>15</v>
          </cell>
          <cell r="E5311">
            <v>6210</v>
          </cell>
          <cell r="F5311" t="str">
            <v>VG01</v>
          </cell>
          <cell r="G5311" t="str">
            <v>Auto</v>
          </cell>
          <cell r="H5311">
            <v>311</v>
          </cell>
          <cell r="I5311">
            <v>6210</v>
          </cell>
          <cell r="J5311">
            <v>6220</v>
          </cell>
          <cell r="K5311" t="str">
            <v>VG01</v>
          </cell>
        </row>
        <row r="5312">
          <cell r="A5312" t="str">
            <v>1RH1A603Y3G1AEU</v>
          </cell>
          <cell r="B5312" t="str">
            <v>SMT</v>
          </cell>
          <cell r="C5312">
            <v>1</v>
          </cell>
          <cell r="D5312">
            <v>4</v>
          </cell>
        </row>
        <row r="5313">
          <cell r="A5313" t="str">
            <v>1TE1A603Y3G1AEU</v>
          </cell>
          <cell r="B5313" t="str">
            <v>SMT</v>
          </cell>
          <cell r="C5313">
            <v>1</v>
          </cell>
          <cell r="D5313">
            <v>1</v>
          </cell>
        </row>
        <row r="5314">
          <cell r="A5314" t="str">
            <v>1AE1A603Y3G1AEU</v>
          </cell>
          <cell r="B5314" t="str">
            <v>SMT</v>
          </cell>
          <cell r="C5314">
            <v>1</v>
          </cell>
          <cell r="D5314">
            <v>20</v>
          </cell>
        </row>
        <row r="5315">
          <cell r="A5315" t="str">
            <v>1HT1A603Y3G1AEU</v>
          </cell>
          <cell r="B5315" t="str">
            <v>SMT</v>
          </cell>
          <cell r="C5315">
            <v>1</v>
          </cell>
          <cell r="D5315">
            <v>6</v>
          </cell>
        </row>
        <row r="5316">
          <cell r="A5316" t="str">
            <v>1CM1A603Y3J9ABP</v>
          </cell>
          <cell r="B5316" t="str">
            <v>SMT</v>
          </cell>
          <cell r="C5316">
            <v>1</v>
          </cell>
          <cell r="D5316">
            <v>36</v>
          </cell>
          <cell r="E5316">
            <v>6210</v>
          </cell>
          <cell r="F5316" t="str">
            <v>VG01</v>
          </cell>
          <cell r="G5316" t="str">
            <v>Auto</v>
          </cell>
          <cell r="H5316">
            <v>311</v>
          </cell>
          <cell r="I5316">
            <v>6210</v>
          </cell>
          <cell r="J5316">
            <v>6220</v>
          </cell>
          <cell r="K5316" t="str">
            <v>VG01</v>
          </cell>
        </row>
        <row r="5317">
          <cell r="A5317" t="str">
            <v>1RH1A603Y3J9ABP</v>
          </cell>
          <cell r="B5317" t="str">
            <v>SMT</v>
          </cell>
          <cell r="C5317">
            <v>1</v>
          </cell>
          <cell r="D5317">
            <v>15</v>
          </cell>
        </row>
        <row r="5318">
          <cell r="A5318" t="str">
            <v>1TE1A603Y3J9ABP</v>
          </cell>
          <cell r="B5318" t="str">
            <v>SMT</v>
          </cell>
          <cell r="C5318">
            <v>1</v>
          </cell>
          <cell r="D5318">
            <v>5</v>
          </cell>
        </row>
        <row r="5319">
          <cell r="A5319" t="str">
            <v>1AE1A603Y3J9ABP</v>
          </cell>
          <cell r="B5319" t="str">
            <v>SMT</v>
          </cell>
          <cell r="C5319">
            <v>1</v>
          </cell>
          <cell r="D5319">
            <v>21</v>
          </cell>
        </row>
        <row r="5320">
          <cell r="A5320" t="str">
            <v>1HT1A603Y3J9ABP</v>
          </cell>
          <cell r="B5320" t="str">
            <v>SMT</v>
          </cell>
          <cell r="C5320">
            <v>1</v>
          </cell>
          <cell r="D5320">
            <v>16</v>
          </cell>
        </row>
        <row r="5321">
          <cell r="A5321" t="str">
            <v>1RE1A605Q-3E4A</v>
          </cell>
          <cell r="B5321" t="str">
            <v>SMT</v>
          </cell>
          <cell r="C5321">
            <v>1</v>
          </cell>
          <cell r="D5321">
            <v>41</v>
          </cell>
          <cell r="E5321">
            <v>6210</v>
          </cell>
          <cell r="F5321" t="str">
            <v>VG01</v>
          </cell>
          <cell r="G5321" t="str">
            <v>Auto</v>
          </cell>
          <cell r="H5321">
            <v>311</v>
          </cell>
          <cell r="I5321">
            <v>6210</v>
          </cell>
          <cell r="J5321">
            <v>6310</v>
          </cell>
          <cell r="K5321" t="str">
            <v>VG01</v>
          </cell>
        </row>
        <row r="5322">
          <cell r="A5322" t="str">
            <v>1RE1A605S-3J0A</v>
          </cell>
          <cell r="B5322" t="str">
            <v>SMT</v>
          </cell>
          <cell r="C5322">
            <v>1</v>
          </cell>
          <cell r="D5322">
            <v>9</v>
          </cell>
          <cell r="E5322">
            <v>6210</v>
          </cell>
          <cell r="F5322" t="str">
            <v>VG01</v>
          </cell>
          <cell r="G5322" t="str">
            <v>Auto</v>
          </cell>
          <cell r="H5322">
            <v>311</v>
          </cell>
          <cell r="I5322">
            <v>6210</v>
          </cell>
          <cell r="J5322">
            <v>6310</v>
          </cell>
          <cell r="K5322" t="str">
            <v>VG01</v>
          </cell>
        </row>
        <row r="5323">
          <cell r="A5323" t="str">
            <v>1RE1A608C-3J3A</v>
          </cell>
          <cell r="B5323" t="str">
            <v>SMT</v>
          </cell>
          <cell r="C5323">
            <v>1</v>
          </cell>
          <cell r="D5323">
            <v>83</v>
          </cell>
          <cell r="E5323">
            <v>6210</v>
          </cell>
          <cell r="F5323" t="str">
            <v>VG01</v>
          </cell>
          <cell r="G5323" t="str">
            <v>Auto</v>
          </cell>
          <cell r="H5323">
            <v>311</v>
          </cell>
          <cell r="I5323">
            <v>6210</v>
          </cell>
          <cell r="J5323">
            <v>6310</v>
          </cell>
          <cell r="K5323" t="str">
            <v>VG01</v>
          </cell>
        </row>
        <row r="5324">
          <cell r="A5324" t="str">
            <v>1CM1A603L3J3AP1</v>
          </cell>
          <cell r="B5324" t="str">
            <v>SMT</v>
          </cell>
          <cell r="C5324">
            <v>1</v>
          </cell>
          <cell r="D5324">
            <v>222</v>
          </cell>
          <cell r="E5324">
            <v>6210</v>
          </cell>
          <cell r="F5324" t="str">
            <v>VG01</v>
          </cell>
          <cell r="G5324" t="str">
            <v>Auto</v>
          </cell>
          <cell r="H5324">
            <v>311</v>
          </cell>
          <cell r="I5324">
            <v>6210</v>
          </cell>
          <cell r="J5324">
            <v>6220</v>
          </cell>
          <cell r="K5324" t="str">
            <v>VG01</v>
          </cell>
        </row>
        <row r="5325">
          <cell r="A5325" t="str">
            <v>1RH1A603L3J3AP1</v>
          </cell>
          <cell r="B5325" t="str">
            <v>SMT</v>
          </cell>
          <cell r="C5325">
            <v>1</v>
          </cell>
          <cell r="D5325">
            <v>7</v>
          </cell>
        </row>
        <row r="5326">
          <cell r="A5326" t="str">
            <v>1AE1A603L3J3AP1</v>
          </cell>
          <cell r="B5326" t="str">
            <v>SMT</v>
          </cell>
          <cell r="C5326">
            <v>1</v>
          </cell>
          <cell r="D5326">
            <v>74</v>
          </cell>
        </row>
        <row r="5327">
          <cell r="A5327" t="str">
            <v>ANE605Q8YABP-V4</v>
          </cell>
          <cell r="B5327" t="str">
            <v>SMT</v>
          </cell>
          <cell r="C5327">
            <v>1</v>
          </cell>
          <cell r="D5327" t="e">
            <v>#N/A</v>
          </cell>
        </row>
        <row r="5328">
          <cell r="A5328" t="str">
            <v>A608C3G0AEU-V4</v>
          </cell>
          <cell r="B5328" t="str">
            <v>SMT</v>
          </cell>
          <cell r="C5328">
            <v>1</v>
          </cell>
          <cell r="D5328" t="e">
            <v>#N/A</v>
          </cell>
        </row>
        <row r="5329">
          <cell r="A5329" t="str">
            <v>1CM1A603L-3G9A-FE</v>
          </cell>
          <cell r="B5329" t="str">
            <v>SMT</v>
          </cell>
          <cell r="C5329">
            <v>1</v>
          </cell>
          <cell r="D5329" t="e">
            <v>#N/A</v>
          </cell>
          <cell r="E5329">
            <v>6210</v>
          </cell>
          <cell r="F5329" t="str">
            <v>VG01</v>
          </cell>
          <cell r="G5329" t="str">
            <v>Auto</v>
          </cell>
          <cell r="H5329">
            <v>311</v>
          </cell>
          <cell r="I5329">
            <v>6210</v>
          </cell>
          <cell r="J5329">
            <v>6220</v>
          </cell>
          <cell r="K5329" t="str">
            <v>VG01</v>
          </cell>
        </row>
        <row r="5330">
          <cell r="A5330" t="str">
            <v>1RH1A603L-3G9A-FE</v>
          </cell>
          <cell r="B5330" t="str">
            <v>SMT</v>
          </cell>
          <cell r="C5330">
            <v>1</v>
          </cell>
          <cell r="D5330" t="e">
            <v>#N/A</v>
          </cell>
        </row>
        <row r="5331">
          <cell r="A5331" t="str">
            <v>1TE1A603L-3G9A-FE</v>
          </cell>
          <cell r="B5331" t="str">
            <v>SMT</v>
          </cell>
          <cell r="C5331">
            <v>1</v>
          </cell>
          <cell r="D5331" t="e">
            <v>#N/A</v>
          </cell>
        </row>
        <row r="5332">
          <cell r="A5332" t="str">
            <v>1AE1A603L-3G9A-FE</v>
          </cell>
          <cell r="B5332" t="str">
            <v>SMT</v>
          </cell>
          <cell r="C5332">
            <v>1</v>
          </cell>
          <cell r="D5332" t="e">
            <v>#N/A</v>
          </cell>
        </row>
        <row r="5333">
          <cell r="A5333" t="str">
            <v>1HT1A603L-3G9A-FE</v>
          </cell>
          <cell r="B5333" t="str">
            <v>SMT</v>
          </cell>
          <cell r="C5333">
            <v>1</v>
          </cell>
          <cell r="D5333" t="e">
            <v>#N/A</v>
          </cell>
        </row>
        <row r="5334">
          <cell r="A5334" t="str">
            <v>1CM1A603L3F9AWT</v>
          </cell>
          <cell r="B5334" t="str">
            <v>SMT</v>
          </cell>
          <cell r="C5334">
            <v>1</v>
          </cell>
          <cell r="D5334">
            <v>113</v>
          </cell>
          <cell r="E5334">
            <v>6210</v>
          </cell>
          <cell r="F5334" t="str">
            <v>VG01</v>
          </cell>
          <cell r="G5334" t="str">
            <v>Auto</v>
          </cell>
          <cell r="H5334">
            <v>311</v>
          </cell>
          <cell r="I5334">
            <v>6210</v>
          </cell>
          <cell r="J5334">
            <v>6220</v>
          </cell>
          <cell r="K5334" t="str">
            <v>VG01</v>
          </cell>
        </row>
        <row r="5335">
          <cell r="A5335" t="str">
            <v>1RH1A603L3F9AWT</v>
          </cell>
          <cell r="B5335" t="str">
            <v>SMT</v>
          </cell>
          <cell r="C5335">
            <v>1</v>
          </cell>
          <cell r="D5335">
            <v>4</v>
          </cell>
        </row>
        <row r="5336">
          <cell r="A5336" t="str">
            <v>1AE1A603L3F9AWT</v>
          </cell>
          <cell r="B5336" t="str">
            <v>SMT</v>
          </cell>
          <cell r="C5336">
            <v>1</v>
          </cell>
          <cell r="D5336">
            <v>59</v>
          </cell>
        </row>
        <row r="5337">
          <cell r="A5337" t="str">
            <v>A62603E61AP</v>
          </cell>
          <cell r="B5337" t="str">
            <v>SMT</v>
          </cell>
          <cell r="C5337">
            <v>1</v>
          </cell>
          <cell r="D5337" t="e">
            <v>#N/A</v>
          </cell>
        </row>
        <row r="5338">
          <cell r="A5338" t="str">
            <v>1CM1A603L3G8AAP-FE</v>
          </cell>
          <cell r="B5338" t="str">
            <v>SMT</v>
          </cell>
          <cell r="C5338">
            <v>1</v>
          </cell>
          <cell r="D5338" t="e">
            <v>#N/A</v>
          </cell>
          <cell r="E5338">
            <v>6210</v>
          </cell>
          <cell r="F5338" t="str">
            <v>VG01</v>
          </cell>
          <cell r="G5338" t="str">
            <v>Auto</v>
          </cell>
          <cell r="H5338">
            <v>311</v>
          </cell>
          <cell r="I5338">
            <v>6210</v>
          </cell>
          <cell r="J5338">
            <v>6220</v>
          </cell>
          <cell r="K5338" t="str">
            <v>VG01</v>
          </cell>
        </row>
        <row r="5339">
          <cell r="A5339" t="str">
            <v>1RH1A603L3G8AAP-FE</v>
          </cell>
          <cell r="B5339" t="str">
            <v>SMT</v>
          </cell>
          <cell r="C5339">
            <v>1</v>
          </cell>
          <cell r="D5339" t="e">
            <v>#N/A</v>
          </cell>
        </row>
        <row r="5340">
          <cell r="A5340" t="str">
            <v>1TE1A603L3G8AAP-FE</v>
          </cell>
          <cell r="B5340" t="str">
            <v>SMT</v>
          </cell>
          <cell r="C5340">
            <v>1</v>
          </cell>
          <cell r="D5340" t="e">
            <v>#N/A</v>
          </cell>
        </row>
        <row r="5341">
          <cell r="A5341" t="str">
            <v>1AE1A603L3G8AAP-FE</v>
          </cell>
          <cell r="B5341" t="str">
            <v>SMT</v>
          </cell>
          <cell r="C5341">
            <v>1</v>
          </cell>
          <cell r="D5341" t="e">
            <v>#N/A</v>
          </cell>
        </row>
        <row r="5342">
          <cell r="A5342" t="str">
            <v>1HT1A603L3G8AAP-FE</v>
          </cell>
          <cell r="B5342" t="str">
            <v>SMT</v>
          </cell>
          <cell r="C5342">
            <v>1</v>
          </cell>
          <cell r="D5342" t="e">
            <v>#N/A</v>
          </cell>
        </row>
        <row r="5343">
          <cell r="A5343" t="str">
            <v>A62603G80AP</v>
          </cell>
          <cell r="B5343" t="str">
            <v>SMT</v>
          </cell>
          <cell r="C5343">
            <v>1</v>
          </cell>
          <cell r="D5343" t="e">
            <v>#N/A</v>
          </cell>
        </row>
        <row r="5344">
          <cell r="A5344" t="str">
            <v>1CM1A603L3G8ABP-FE</v>
          </cell>
          <cell r="B5344" t="str">
            <v>SMT</v>
          </cell>
          <cell r="C5344">
            <v>1</v>
          </cell>
          <cell r="D5344" t="e">
            <v>#N/A</v>
          </cell>
          <cell r="E5344">
            <v>6210</v>
          </cell>
          <cell r="F5344" t="str">
            <v>VG01</v>
          </cell>
          <cell r="G5344" t="str">
            <v>Auto</v>
          </cell>
          <cell r="H5344">
            <v>311</v>
          </cell>
          <cell r="I5344">
            <v>6210</v>
          </cell>
          <cell r="J5344">
            <v>6220</v>
          </cell>
          <cell r="K5344" t="str">
            <v>VG01</v>
          </cell>
        </row>
        <row r="5345">
          <cell r="A5345" t="str">
            <v>1RH1A603L3G8ABP-FE</v>
          </cell>
          <cell r="B5345" t="str">
            <v>SMT</v>
          </cell>
          <cell r="C5345">
            <v>1</v>
          </cell>
          <cell r="D5345" t="e">
            <v>#N/A</v>
          </cell>
        </row>
        <row r="5346">
          <cell r="A5346" t="str">
            <v>1TE1A603L3G8ABP-FE</v>
          </cell>
          <cell r="B5346" t="str">
            <v>SMT</v>
          </cell>
          <cell r="C5346">
            <v>1</v>
          </cell>
          <cell r="D5346" t="e">
            <v>#N/A</v>
          </cell>
        </row>
        <row r="5347">
          <cell r="A5347" t="str">
            <v>1AE1A603L3G8ABP-FE</v>
          </cell>
          <cell r="B5347" t="str">
            <v>SMT</v>
          </cell>
          <cell r="C5347">
            <v>1</v>
          </cell>
          <cell r="D5347" t="e">
            <v>#N/A</v>
          </cell>
        </row>
        <row r="5348">
          <cell r="A5348" t="str">
            <v>1HT1A603L3G8ABP-FE</v>
          </cell>
          <cell r="B5348" t="str">
            <v>SMT</v>
          </cell>
          <cell r="C5348">
            <v>1</v>
          </cell>
          <cell r="D5348" t="e">
            <v>#N/A</v>
          </cell>
        </row>
        <row r="5349">
          <cell r="A5349" t="str">
            <v>1CM1A603L3G9AP1-FE</v>
          </cell>
          <cell r="B5349" t="str">
            <v>SMT</v>
          </cell>
          <cell r="C5349">
            <v>1</v>
          </cell>
          <cell r="D5349" t="e">
            <v>#N/A</v>
          </cell>
          <cell r="E5349">
            <v>6210</v>
          </cell>
          <cell r="F5349" t="str">
            <v>VG01</v>
          </cell>
          <cell r="G5349" t="str">
            <v>Auto</v>
          </cell>
          <cell r="H5349">
            <v>311</v>
          </cell>
          <cell r="I5349">
            <v>6210</v>
          </cell>
          <cell r="J5349">
            <v>6220</v>
          </cell>
          <cell r="K5349" t="str">
            <v>VG01</v>
          </cell>
        </row>
        <row r="5350">
          <cell r="A5350" t="str">
            <v>1RH1A603L3G9AP1-FE</v>
          </cell>
          <cell r="B5350" t="str">
            <v>SMT</v>
          </cell>
          <cell r="C5350">
            <v>1</v>
          </cell>
          <cell r="D5350" t="e">
            <v>#N/A</v>
          </cell>
        </row>
        <row r="5351">
          <cell r="A5351" t="str">
            <v>1TE1A603L3G9AP1-FE</v>
          </cell>
          <cell r="B5351" t="str">
            <v>SMT</v>
          </cell>
          <cell r="C5351">
            <v>1</v>
          </cell>
          <cell r="D5351" t="e">
            <v>#N/A</v>
          </cell>
        </row>
        <row r="5352">
          <cell r="A5352" t="str">
            <v>1AE1A603L3G9AP1-FE</v>
          </cell>
          <cell r="B5352" t="str">
            <v>SMT</v>
          </cell>
          <cell r="C5352">
            <v>1</v>
          </cell>
          <cell r="D5352" t="e">
            <v>#N/A</v>
          </cell>
        </row>
        <row r="5353">
          <cell r="A5353" t="str">
            <v>1HT1A603L3G9AP1-FE</v>
          </cell>
          <cell r="B5353" t="str">
            <v>SMT</v>
          </cell>
          <cell r="C5353">
            <v>1</v>
          </cell>
          <cell r="D5353" t="e">
            <v>#N/A</v>
          </cell>
        </row>
        <row r="5354">
          <cell r="A5354" t="str">
            <v>1CM1H603Y-3K20-FE</v>
          </cell>
          <cell r="B5354" t="str">
            <v>SMT</v>
          </cell>
          <cell r="C5354">
            <v>1</v>
          </cell>
          <cell r="D5354" t="e">
            <v>#N/A</v>
          </cell>
          <cell r="E5354">
            <v>6210</v>
          </cell>
          <cell r="F5354" t="str">
            <v>VG01</v>
          </cell>
          <cell r="G5354" t="str">
            <v>Auto</v>
          </cell>
          <cell r="H5354">
            <v>311</v>
          </cell>
          <cell r="I5354">
            <v>6210</v>
          </cell>
          <cell r="J5354">
            <v>6220</v>
          </cell>
          <cell r="K5354" t="str">
            <v>VG01</v>
          </cell>
        </row>
        <row r="5355">
          <cell r="A5355" t="str">
            <v>1RH1H603Y-3K20-FE</v>
          </cell>
          <cell r="B5355" t="str">
            <v>SMT</v>
          </cell>
          <cell r="C5355">
            <v>1</v>
          </cell>
          <cell r="D5355" t="e">
            <v>#N/A</v>
          </cell>
        </row>
        <row r="5356">
          <cell r="A5356" t="str">
            <v>1TE1H603Y-3K20-FE</v>
          </cell>
          <cell r="B5356" t="str">
            <v>SMT</v>
          </cell>
          <cell r="C5356">
            <v>1</v>
          </cell>
          <cell r="D5356" t="e">
            <v>#N/A</v>
          </cell>
        </row>
        <row r="5357">
          <cell r="A5357" t="str">
            <v>1AE1H603Y-3K20-FE</v>
          </cell>
          <cell r="B5357" t="str">
            <v>SMT</v>
          </cell>
          <cell r="C5357">
            <v>1</v>
          </cell>
          <cell r="D5357" t="e">
            <v>#N/A</v>
          </cell>
        </row>
        <row r="5358">
          <cell r="A5358" t="str">
            <v>1HT1H603Y-3K20-FE</v>
          </cell>
          <cell r="B5358" t="str">
            <v>SMT</v>
          </cell>
          <cell r="C5358">
            <v>1</v>
          </cell>
          <cell r="D5358" t="e">
            <v>#N/A</v>
          </cell>
        </row>
        <row r="5359">
          <cell r="A5359" t="str">
            <v>H6555-3K20</v>
          </cell>
          <cell r="B5359" t="str">
            <v>SMT</v>
          </cell>
          <cell r="C5359">
            <v>1</v>
          </cell>
          <cell r="D5359">
            <v>219</v>
          </cell>
        </row>
        <row r="5360">
          <cell r="A5360" t="str">
            <v>1RE1A608E-3G6A-FE</v>
          </cell>
          <cell r="B5360" t="str">
            <v>SMT</v>
          </cell>
          <cell r="C5360">
            <v>1</v>
          </cell>
          <cell r="D5360" t="e">
            <v>#N/A</v>
          </cell>
          <cell r="E5360">
            <v>6210</v>
          </cell>
          <cell r="F5360" t="str">
            <v>VG01</v>
          </cell>
          <cell r="G5360" t="str">
            <v>Auto</v>
          </cell>
          <cell r="H5360">
            <v>311</v>
          </cell>
          <cell r="I5360">
            <v>6210</v>
          </cell>
          <cell r="J5360">
            <v>6220</v>
          </cell>
          <cell r="K5360" t="str">
            <v>VG01</v>
          </cell>
        </row>
        <row r="5361">
          <cell r="A5361" t="str">
            <v>A6749-3G6A</v>
          </cell>
          <cell r="B5361" t="str">
            <v>SMT</v>
          </cell>
          <cell r="C5361">
            <v>1</v>
          </cell>
          <cell r="D5361" t="e">
            <v>#N/A</v>
          </cell>
        </row>
        <row r="5362">
          <cell r="A5362" t="str">
            <v>1RE1A608E3G8ABP-FE</v>
          </cell>
          <cell r="B5362" t="str">
            <v>SMT</v>
          </cell>
          <cell r="C5362">
            <v>1</v>
          </cell>
          <cell r="D5362" t="e">
            <v>#N/A</v>
          </cell>
          <cell r="E5362">
            <v>6210</v>
          </cell>
          <cell r="F5362" t="str">
            <v>VG01</v>
          </cell>
          <cell r="G5362" t="str">
            <v>Auto</v>
          </cell>
          <cell r="H5362">
            <v>311</v>
          </cell>
          <cell r="I5362">
            <v>6210</v>
          </cell>
          <cell r="J5362">
            <v>6220</v>
          </cell>
          <cell r="K5362" t="str">
            <v>VG01</v>
          </cell>
        </row>
        <row r="5363">
          <cell r="A5363" t="str">
            <v>A67493G8ABP</v>
          </cell>
          <cell r="B5363" t="str">
            <v>SMT</v>
          </cell>
          <cell r="C5363">
            <v>1</v>
          </cell>
          <cell r="D5363" t="e">
            <v>#N/A</v>
          </cell>
        </row>
        <row r="5364">
          <cell r="A5364" t="str">
            <v>1RE1A608T-3G6A-FE</v>
          </cell>
          <cell r="B5364" t="str">
            <v>SMT</v>
          </cell>
          <cell r="C5364">
            <v>1</v>
          </cell>
          <cell r="D5364" t="e">
            <v>#N/A</v>
          </cell>
          <cell r="E5364">
            <v>6210</v>
          </cell>
          <cell r="F5364" t="str">
            <v>VG01</v>
          </cell>
          <cell r="G5364" t="str">
            <v>Auto</v>
          </cell>
          <cell r="H5364">
            <v>311</v>
          </cell>
          <cell r="I5364">
            <v>6210</v>
          </cell>
          <cell r="J5364">
            <v>6220</v>
          </cell>
          <cell r="K5364" t="str">
            <v>VG01</v>
          </cell>
        </row>
        <row r="5365">
          <cell r="A5365" t="str">
            <v>A6407-3G60</v>
          </cell>
          <cell r="B5365" t="str">
            <v>SMT</v>
          </cell>
          <cell r="C5365">
            <v>1</v>
          </cell>
          <cell r="D5365" t="e">
            <v>#N/A</v>
          </cell>
        </row>
        <row r="5366">
          <cell r="A5366" t="str">
            <v>1RE2A605Q-3G8A-FE</v>
          </cell>
          <cell r="B5366" t="str">
            <v>SMT</v>
          </cell>
          <cell r="C5366">
            <v>1</v>
          </cell>
          <cell r="D5366" t="e">
            <v>#N/A</v>
          </cell>
          <cell r="E5366">
            <v>6210</v>
          </cell>
          <cell r="F5366" t="str">
            <v>VG01</v>
          </cell>
          <cell r="G5366" t="str">
            <v>Auto</v>
          </cell>
          <cell r="H5366">
            <v>311</v>
          </cell>
          <cell r="I5366">
            <v>6210</v>
          </cell>
          <cell r="J5366">
            <v>6220</v>
          </cell>
          <cell r="K5366" t="str">
            <v>VG01</v>
          </cell>
        </row>
        <row r="5367">
          <cell r="A5367" t="str">
            <v>1RE1A605Q-3G8A-FE</v>
          </cell>
          <cell r="B5367" t="str">
            <v>SMT</v>
          </cell>
          <cell r="C5367">
            <v>1</v>
          </cell>
          <cell r="D5367" t="e">
            <v>#N/A</v>
          </cell>
        </row>
        <row r="5368">
          <cell r="A5368" t="str">
            <v>1RE2A605Q-3G9A-FE</v>
          </cell>
          <cell r="B5368" t="str">
            <v>SMT</v>
          </cell>
          <cell r="C5368">
            <v>1</v>
          </cell>
          <cell r="D5368" t="e">
            <v>#N/A</v>
          </cell>
          <cell r="E5368">
            <v>6210</v>
          </cell>
          <cell r="F5368" t="str">
            <v>VG01</v>
          </cell>
          <cell r="G5368" t="str">
            <v>Auto</v>
          </cell>
          <cell r="H5368">
            <v>311</v>
          </cell>
          <cell r="I5368">
            <v>6210</v>
          </cell>
          <cell r="J5368">
            <v>6220</v>
          </cell>
          <cell r="K5368" t="str">
            <v>VG01</v>
          </cell>
        </row>
        <row r="5369">
          <cell r="A5369" t="str">
            <v>1RE1A605Q-3G9A-FE</v>
          </cell>
          <cell r="B5369" t="str">
            <v>SMT</v>
          </cell>
          <cell r="C5369">
            <v>1</v>
          </cell>
          <cell r="D5369" t="e">
            <v>#N/A</v>
          </cell>
        </row>
        <row r="5370">
          <cell r="A5370" t="str">
            <v>1RE2A605Q3G8AAP-FE</v>
          </cell>
          <cell r="B5370" t="str">
            <v>SMT</v>
          </cell>
          <cell r="C5370">
            <v>1</v>
          </cell>
          <cell r="D5370" t="e">
            <v>#N/A</v>
          </cell>
          <cell r="E5370">
            <v>6210</v>
          </cell>
          <cell r="F5370" t="str">
            <v>VG01</v>
          </cell>
          <cell r="G5370" t="str">
            <v>Auto</v>
          </cell>
          <cell r="H5370">
            <v>311</v>
          </cell>
          <cell r="I5370">
            <v>6210</v>
          </cell>
          <cell r="J5370">
            <v>6220</v>
          </cell>
          <cell r="K5370" t="str">
            <v>VG01</v>
          </cell>
        </row>
        <row r="5371">
          <cell r="A5371" t="str">
            <v>1RE1A605Q3G8AAP-FE</v>
          </cell>
          <cell r="B5371" t="str">
            <v>SMT</v>
          </cell>
          <cell r="C5371">
            <v>1</v>
          </cell>
          <cell r="D5371" t="e">
            <v>#N/A</v>
          </cell>
        </row>
        <row r="5372">
          <cell r="A5372" t="str">
            <v>1RE2A605Q3G8ABP-FE</v>
          </cell>
          <cell r="B5372" t="str">
            <v>SMT</v>
          </cell>
          <cell r="C5372">
            <v>1</v>
          </cell>
          <cell r="D5372" t="e">
            <v>#N/A</v>
          </cell>
          <cell r="E5372">
            <v>6210</v>
          </cell>
          <cell r="F5372" t="str">
            <v>VG01</v>
          </cell>
          <cell r="G5372" t="str">
            <v>Auto</v>
          </cell>
          <cell r="H5372">
            <v>311</v>
          </cell>
          <cell r="I5372">
            <v>6210</v>
          </cell>
          <cell r="J5372">
            <v>6220</v>
          </cell>
          <cell r="K5372" t="str">
            <v>VG01</v>
          </cell>
        </row>
        <row r="5373">
          <cell r="A5373" t="str">
            <v>1RE1A605Q3G8ABP-FE</v>
          </cell>
          <cell r="B5373" t="str">
            <v>SMT</v>
          </cell>
          <cell r="C5373">
            <v>1</v>
          </cell>
          <cell r="D5373" t="e">
            <v>#N/A</v>
          </cell>
        </row>
        <row r="5374">
          <cell r="A5374" t="str">
            <v>1RE2H685Q-3K20-FE</v>
          </cell>
          <cell r="B5374" t="str">
            <v>SMT</v>
          </cell>
          <cell r="C5374">
            <v>1</v>
          </cell>
          <cell r="D5374" t="e">
            <v>#N/A</v>
          </cell>
          <cell r="E5374">
            <v>6210</v>
          </cell>
          <cell r="F5374" t="str">
            <v>VG01</v>
          </cell>
          <cell r="G5374" t="str">
            <v>Auto</v>
          </cell>
          <cell r="H5374">
            <v>311</v>
          </cell>
          <cell r="I5374">
            <v>6210</v>
          </cell>
          <cell r="J5374">
            <v>6220</v>
          </cell>
          <cell r="K5374" t="str">
            <v>VG01</v>
          </cell>
        </row>
        <row r="5375">
          <cell r="A5375" t="str">
            <v>1RE1H685Q-3K20-FE</v>
          </cell>
          <cell r="B5375" t="str">
            <v>SMT</v>
          </cell>
          <cell r="C5375">
            <v>1</v>
          </cell>
          <cell r="D5375" t="e">
            <v>#N/A</v>
          </cell>
        </row>
        <row r="5376">
          <cell r="A5376" t="str">
            <v>H6575-3K20</v>
          </cell>
          <cell r="B5376" t="str">
            <v>SMT</v>
          </cell>
          <cell r="C5376">
            <v>1</v>
          </cell>
          <cell r="D5376">
            <v>219</v>
          </cell>
        </row>
        <row r="5377">
          <cell r="A5377" t="str">
            <v>1RE2T7731M1APL4</v>
          </cell>
          <cell r="B5377" t="str">
            <v>SMT</v>
          </cell>
          <cell r="C5377">
            <v>1</v>
          </cell>
          <cell r="D5377">
            <v>276</v>
          </cell>
          <cell r="E5377">
            <v>2210</v>
          </cell>
          <cell r="F5377" t="str">
            <v>VC01</v>
          </cell>
          <cell r="G5377" t="str">
            <v>Auto</v>
          </cell>
          <cell r="H5377">
            <v>311</v>
          </cell>
          <cell r="I5377">
            <v>2210</v>
          </cell>
          <cell r="J5377">
            <v>2310</v>
          </cell>
          <cell r="K5377" t="str">
            <v>VC01</v>
          </cell>
        </row>
        <row r="5378">
          <cell r="A5378" t="str">
            <v>1RE1T7731M1APL4</v>
          </cell>
          <cell r="B5378" t="str">
            <v>SMT</v>
          </cell>
          <cell r="C5378">
            <v>1</v>
          </cell>
          <cell r="D5378">
            <v>37</v>
          </cell>
        </row>
        <row r="5379">
          <cell r="A5379" t="str">
            <v>1VJ1T7731M1APL4</v>
          </cell>
          <cell r="B5379" t="str">
            <v>SMT</v>
          </cell>
          <cell r="C5379">
            <v>1</v>
          </cell>
          <cell r="D5379" t="e">
            <v>#N/A</v>
          </cell>
        </row>
        <row r="5380">
          <cell r="A5380" t="str">
            <v>1TE1H683L-3K20-FE</v>
          </cell>
          <cell r="B5380" t="str">
            <v>SMT</v>
          </cell>
          <cell r="C5380">
            <v>1</v>
          </cell>
          <cell r="D5380" t="e">
            <v>#N/A</v>
          </cell>
        </row>
        <row r="5381">
          <cell r="A5381" t="str">
            <v>1HT1H683L-3K20-FE</v>
          </cell>
          <cell r="B5381" t="str">
            <v>SMT</v>
          </cell>
          <cell r="C5381">
            <v>1</v>
          </cell>
          <cell r="D5381" t="e">
            <v>#N/A</v>
          </cell>
        </row>
        <row r="5382">
          <cell r="A5382" t="str">
            <v>1AE1H683L-3K20-FE</v>
          </cell>
          <cell r="B5382" t="str">
            <v>SMT</v>
          </cell>
          <cell r="C5382">
            <v>1</v>
          </cell>
          <cell r="D5382" t="e">
            <v>#N/A</v>
          </cell>
        </row>
        <row r="5383">
          <cell r="A5383" t="str">
            <v>1RH1H683L-3K20-FE</v>
          </cell>
          <cell r="B5383" t="str">
            <v>SMT</v>
          </cell>
          <cell r="C5383">
            <v>1</v>
          </cell>
          <cell r="D5383" t="e">
            <v>#N/A</v>
          </cell>
        </row>
        <row r="5384">
          <cell r="A5384" t="str">
            <v>1CM1H683L-3K20-FE</v>
          </cell>
          <cell r="B5384" t="str">
            <v>SMT</v>
          </cell>
          <cell r="C5384">
            <v>1</v>
          </cell>
          <cell r="D5384" t="e">
            <v>#N/A</v>
          </cell>
          <cell r="E5384">
            <v>6210</v>
          </cell>
          <cell r="F5384" t="str">
            <v>VG01</v>
          </cell>
          <cell r="G5384" t="str">
            <v>Auto</v>
          </cell>
          <cell r="H5384">
            <v>311</v>
          </cell>
          <cell r="I5384">
            <v>6210</v>
          </cell>
          <cell r="J5384">
            <v>6220</v>
          </cell>
          <cell r="K5384" t="str">
            <v>VG01</v>
          </cell>
        </row>
        <row r="5385">
          <cell r="A5385" t="str">
            <v>1RE2LPTGP600CEGHZA</v>
          </cell>
          <cell r="B5385" t="str">
            <v>SMT</v>
          </cell>
          <cell r="C5385">
            <v>1</v>
          </cell>
          <cell r="D5385">
            <v>193</v>
          </cell>
          <cell r="E5385">
            <v>2210</v>
          </cell>
          <cell r="F5385" t="str">
            <v>VC01</v>
          </cell>
          <cell r="G5385" t="str">
            <v>Auto</v>
          </cell>
          <cell r="H5385">
            <v>311</v>
          </cell>
          <cell r="I5385">
            <v>2210</v>
          </cell>
          <cell r="J5385">
            <v>2220</v>
          </cell>
          <cell r="K5385" t="str">
            <v>VC01</v>
          </cell>
        </row>
        <row r="5386">
          <cell r="A5386" t="str">
            <v>1RE1LPTGP600CEGHZA</v>
          </cell>
          <cell r="B5386" t="str">
            <v>SMT</v>
          </cell>
          <cell r="C5386">
            <v>1</v>
          </cell>
          <cell r="D5386">
            <v>158</v>
          </cell>
        </row>
        <row r="5387">
          <cell r="A5387" t="str">
            <v>1VJ1A605Q3G8AAP-FE</v>
          </cell>
          <cell r="B5387" t="str">
            <v>SMT</v>
          </cell>
          <cell r="C5387">
            <v>1</v>
          </cell>
          <cell r="D5387" t="e">
            <v>#N/A</v>
          </cell>
        </row>
        <row r="5388">
          <cell r="A5388" t="str">
            <v>1VJ2A605Q3G8AAP-FE</v>
          </cell>
          <cell r="B5388" t="str">
            <v>SMT</v>
          </cell>
          <cell r="C5388">
            <v>1</v>
          </cell>
          <cell r="D5388" t="e">
            <v>#N/A</v>
          </cell>
        </row>
        <row r="5389">
          <cell r="A5389" t="str">
            <v>1VJ1A605Q3G8ABP-FE</v>
          </cell>
          <cell r="B5389" t="str">
            <v>SMT</v>
          </cell>
          <cell r="C5389">
            <v>1</v>
          </cell>
          <cell r="D5389" t="e">
            <v>#N/A</v>
          </cell>
        </row>
        <row r="5390">
          <cell r="A5390" t="str">
            <v>1VJ2A605Q3G8ABP-FE</v>
          </cell>
          <cell r="B5390" t="str">
            <v>SMT</v>
          </cell>
          <cell r="C5390">
            <v>1</v>
          </cell>
          <cell r="D5390" t="e">
            <v>#N/A</v>
          </cell>
        </row>
        <row r="5391">
          <cell r="A5391" t="str">
            <v>1VJ1A605Q-3G8A-FE</v>
          </cell>
          <cell r="B5391" t="str">
            <v>SMT</v>
          </cell>
          <cell r="C5391">
            <v>1</v>
          </cell>
          <cell r="D5391" t="e">
            <v>#N/A</v>
          </cell>
        </row>
        <row r="5392">
          <cell r="A5392" t="str">
            <v>1VJ2A605Q-3G8A-FE</v>
          </cell>
          <cell r="B5392" t="str">
            <v>SMT</v>
          </cell>
          <cell r="C5392">
            <v>1</v>
          </cell>
          <cell r="D5392" t="e">
            <v>#N/A</v>
          </cell>
        </row>
        <row r="5393">
          <cell r="A5393" t="str">
            <v>1VJ1A605Q-3G9A-FE</v>
          </cell>
          <cell r="B5393" t="str">
            <v>SMT</v>
          </cell>
          <cell r="C5393">
            <v>1</v>
          </cell>
          <cell r="D5393" t="e">
            <v>#N/A</v>
          </cell>
        </row>
        <row r="5394">
          <cell r="A5394" t="str">
            <v>1VJ2A605Q-3G9A-FE</v>
          </cell>
          <cell r="B5394" t="str">
            <v>SMT</v>
          </cell>
          <cell r="C5394">
            <v>1</v>
          </cell>
          <cell r="D5394" t="e">
            <v>#N/A</v>
          </cell>
        </row>
        <row r="5395">
          <cell r="A5395" t="str">
            <v>1VJ1H685Q-3K20-FE</v>
          </cell>
          <cell r="B5395" t="str">
            <v>SMT</v>
          </cell>
          <cell r="C5395">
            <v>1</v>
          </cell>
          <cell r="D5395" t="e">
            <v>#N/A</v>
          </cell>
        </row>
        <row r="5396">
          <cell r="A5396" t="str">
            <v>1VJ2H685Q-3K20-FE</v>
          </cell>
          <cell r="B5396" t="str">
            <v>SMT</v>
          </cell>
          <cell r="C5396">
            <v>1</v>
          </cell>
          <cell r="D5396" t="e">
            <v>#N/A</v>
          </cell>
        </row>
        <row r="5397">
          <cell r="A5397" t="str">
            <v>1RE1T7736M1APL4</v>
          </cell>
          <cell r="B5397" t="str">
            <v>SMT</v>
          </cell>
          <cell r="C5397">
            <v>1</v>
          </cell>
          <cell r="D5397">
            <v>37</v>
          </cell>
        </row>
        <row r="5398">
          <cell r="A5398" t="str">
            <v>1RE2T7736M1APL4</v>
          </cell>
          <cell r="B5398" t="str">
            <v>SMT</v>
          </cell>
          <cell r="C5398">
            <v>1</v>
          </cell>
          <cell r="D5398">
            <v>277</v>
          </cell>
          <cell r="E5398">
            <v>2210</v>
          </cell>
          <cell r="F5398" t="str">
            <v>VC01</v>
          </cell>
          <cell r="G5398" t="str">
            <v>Auto</v>
          </cell>
          <cell r="H5398">
            <v>311</v>
          </cell>
          <cell r="I5398">
            <v>2210</v>
          </cell>
          <cell r="J5398">
            <v>2310</v>
          </cell>
          <cell r="K5398" t="str">
            <v>VC01</v>
          </cell>
        </row>
        <row r="5399">
          <cell r="A5399" t="str">
            <v>1VJ1T7736M1APL4</v>
          </cell>
          <cell r="B5399" t="str">
            <v>SMT</v>
          </cell>
          <cell r="C5399">
            <v>1</v>
          </cell>
          <cell r="D5399" t="e">
            <v>#N/A</v>
          </cell>
          <cell r="E5399" t="e">
            <v>#N/A</v>
          </cell>
        </row>
        <row r="5400">
          <cell r="A5400" t="str">
            <v>1PR1SE200DNP</v>
          </cell>
          <cell r="B5400" t="str">
            <v>SMT</v>
          </cell>
          <cell r="C5400">
            <v>1</v>
          </cell>
          <cell r="D5400">
            <v>1</v>
          </cell>
          <cell r="E5400" t="e">
            <v>#N/A</v>
          </cell>
        </row>
        <row r="5401">
          <cell r="A5401" t="str">
            <v>1RE1CH457</v>
          </cell>
          <cell r="B5401" t="str">
            <v>SMT</v>
          </cell>
          <cell r="C5401">
            <v>1</v>
          </cell>
          <cell r="D5401">
            <v>91</v>
          </cell>
        </row>
        <row r="5402">
          <cell r="A5402" t="str">
            <v>1RE2CH457</v>
          </cell>
          <cell r="B5402" t="str">
            <v>SMT</v>
          </cell>
          <cell r="C5402">
            <v>1</v>
          </cell>
          <cell r="D5402">
            <v>107</v>
          </cell>
          <cell r="E5402">
            <v>9210</v>
          </cell>
          <cell r="F5402" t="str">
            <v>VE01</v>
          </cell>
          <cell r="G5402" t="str">
            <v>Auto</v>
          </cell>
          <cell r="H5402">
            <v>311</v>
          </cell>
          <cell r="I5402">
            <v>9210</v>
          </cell>
          <cell r="J5402">
            <v>9340</v>
          </cell>
          <cell r="K5402" t="str">
            <v>VE01</v>
          </cell>
        </row>
        <row r="5403">
          <cell r="A5403" t="str">
            <v>1VJ1CH457</v>
          </cell>
          <cell r="B5403" t="str">
            <v>SMT</v>
          </cell>
          <cell r="C5403">
            <v>1</v>
          </cell>
          <cell r="D5403" t="e">
            <v>#N/A</v>
          </cell>
        </row>
        <row r="5404">
          <cell r="A5404" t="str">
            <v>1VJ1SE200DNP</v>
          </cell>
          <cell r="B5404" t="str">
            <v>SMT</v>
          </cell>
          <cell r="C5404">
            <v>1</v>
          </cell>
          <cell r="D5404" t="e">
            <v>#N/A</v>
          </cell>
        </row>
        <row r="5405">
          <cell r="A5405" t="str">
            <v>1VJ1SR202DNP</v>
          </cell>
          <cell r="B5405" t="str">
            <v>SMT</v>
          </cell>
          <cell r="C5405">
            <v>1</v>
          </cell>
          <cell r="D5405" t="e">
            <v>#N/A</v>
          </cell>
        </row>
        <row r="5406">
          <cell r="A5406" t="str">
            <v>2AE1SR202DNP</v>
          </cell>
          <cell r="B5406" t="str">
            <v>SMT</v>
          </cell>
          <cell r="C5406">
            <v>1</v>
          </cell>
          <cell r="D5406">
            <v>2</v>
          </cell>
        </row>
        <row r="5407">
          <cell r="A5407" t="str">
            <v>2RE1CH455P-V4</v>
          </cell>
          <cell r="B5407" t="str">
            <v>SMT</v>
          </cell>
          <cell r="C5407">
            <v>1</v>
          </cell>
          <cell r="D5407">
            <v>81</v>
          </cell>
          <cell r="E5407">
            <v>9210</v>
          </cell>
          <cell r="F5407" t="str">
            <v>VE01</v>
          </cell>
          <cell r="G5407" t="str">
            <v>Auto</v>
          </cell>
          <cell r="H5407">
            <v>311</v>
          </cell>
          <cell r="I5407">
            <v>9210</v>
          </cell>
          <cell r="J5407">
            <v>9220</v>
          </cell>
          <cell r="K5407" t="str">
            <v>VE01</v>
          </cell>
        </row>
        <row r="5408">
          <cell r="A5408" t="str">
            <v>2RE1SR202DNP</v>
          </cell>
          <cell r="B5408" t="str">
            <v>SMT</v>
          </cell>
          <cell r="C5408">
            <v>1</v>
          </cell>
          <cell r="D5408">
            <v>126</v>
          </cell>
        </row>
        <row r="5409">
          <cell r="A5409" t="str">
            <v>2RH1SR202DNP</v>
          </cell>
          <cell r="B5409" t="str">
            <v>SMT</v>
          </cell>
          <cell r="C5409">
            <v>1</v>
          </cell>
          <cell r="D5409">
            <v>2</v>
          </cell>
          <cell r="E5409">
            <v>9210</v>
          </cell>
          <cell r="F5409" t="str">
            <v>VE01</v>
          </cell>
          <cell r="G5409" t="str">
            <v>Auto</v>
          </cell>
          <cell r="H5409">
            <v>311</v>
          </cell>
          <cell r="I5409">
            <v>9210</v>
          </cell>
          <cell r="J5409">
            <v>9220</v>
          </cell>
          <cell r="K5409" t="str">
            <v>VE01</v>
          </cell>
        </row>
        <row r="5410">
          <cell r="A5410" t="str">
            <v>2VJ1SR202DNP</v>
          </cell>
          <cell r="B5410" t="str">
            <v>SMT</v>
          </cell>
          <cell r="C5410">
            <v>1</v>
          </cell>
          <cell r="D5410" t="e">
            <v>#N/A</v>
          </cell>
        </row>
        <row r="5411">
          <cell r="A5411" t="str">
            <v>3RE1SR202DNP</v>
          </cell>
          <cell r="B5411" t="str">
            <v>SMT</v>
          </cell>
          <cell r="C5411">
            <v>1</v>
          </cell>
          <cell r="D5411">
            <v>121</v>
          </cell>
        </row>
        <row r="5412">
          <cell r="A5412" t="str">
            <v>3RE1SR204DNP</v>
          </cell>
          <cell r="B5412" t="str">
            <v>SMT</v>
          </cell>
          <cell r="C5412">
            <v>1</v>
          </cell>
          <cell r="D5412">
            <v>129</v>
          </cell>
        </row>
        <row r="5413">
          <cell r="A5413" t="str">
            <v>3RE2SR202DNP</v>
          </cell>
          <cell r="B5413" t="str">
            <v>SMT</v>
          </cell>
          <cell r="C5413">
            <v>1</v>
          </cell>
          <cell r="D5413">
            <v>404</v>
          </cell>
          <cell r="E5413">
            <v>9210</v>
          </cell>
          <cell r="F5413" t="str">
            <v>VE01</v>
          </cell>
          <cell r="G5413" t="str">
            <v>Auto</v>
          </cell>
          <cell r="H5413">
            <v>311</v>
          </cell>
          <cell r="I5413">
            <v>9210</v>
          </cell>
          <cell r="J5413">
            <v>9220</v>
          </cell>
          <cell r="K5413" t="str">
            <v>VE01</v>
          </cell>
        </row>
        <row r="5414">
          <cell r="A5414" t="str">
            <v>3RE2SR204DNP</v>
          </cell>
          <cell r="B5414" t="str">
            <v>SMT</v>
          </cell>
          <cell r="C5414">
            <v>1</v>
          </cell>
          <cell r="D5414">
            <v>462</v>
          </cell>
          <cell r="E5414">
            <v>9210</v>
          </cell>
          <cell r="F5414" t="str">
            <v>VE01</v>
          </cell>
          <cell r="G5414" t="str">
            <v>Auto</v>
          </cell>
          <cell r="H5414">
            <v>311</v>
          </cell>
          <cell r="I5414">
            <v>9210</v>
          </cell>
          <cell r="J5414">
            <v>9220</v>
          </cell>
          <cell r="K5414" t="str">
            <v>VE01</v>
          </cell>
        </row>
        <row r="5415">
          <cell r="A5415" t="str">
            <v>3VJ1SR202DNP</v>
          </cell>
          <cell r="B5415" t="str">
            <v>SMT</v>
          </cell>
          <cell r="C5415">
            <v>1</v>
          </cell>
          <cell r="D5415" t="e">
            <v>#N/A</v>
          </cell>
        </row>
        <row r="5416">
          <cell r="A5416" t="str">
            <v>4RE1SE200DNP</v>
          </cell>
          <cell r="B5416" t="str">
            <v>SMT</v>
          </cell>
          <cell r="C5416">
            <v>1</v>
          </cell>
          <cell r="D5416">
            <v>130</v>
          </cell>
        </row>
        <row r="5417">
          <cell r="A5417" t="str">
            <v>4RE1SR202DNP</v>
          </cell>
          <cell r="B5417" t="str">
            <v>SMT</v>
          </cell>
          <cell r="C5417">
            <v>1</v>
          </cell>
          <cell r="D5417">
            <v>135</v>
          </cell>
        </row>
        <row r="5418">
          <cell r="A5418" t="str">
            <v>4RE1SR204DNP</v>
          </cell>
          <cell r="B5418" t="str">
            <v>SMT</v>
          </cell>
          <cell r="C5418">
            <v>1</v>
          </cell>
          <cell r="D5418">
            <v>184</v>
          </cell>
        </row>
        <row r="5419">
          <cell r="A5419" t="str">
            <v>4RE2SE200DNP</v>
          </cell>
          <cell r="B5419" t="str">
            <v>SMT</v>
          </cell>
          <cell r="C5419">
            <v>1</v>
          </cell>
          <cell r="D5419">
            <v>38</v>
          </cell>
          <cell r="E5419">
            <v>9210</v>
          </cell>
          <cell r="F5419" t="str">
            <v>VE01</v>
          </cell>
          <cell r="G5419" t="str">
            <v>Auto</v>
          </cell>
          <cell r="H5419">
            <v>311</v>
          </cell>
          <cell r="I5419">
            <v>9210</v>
          </cell>
          <cell r="J5419">
            <v>9220</v>
          </cell>
          <cell r="K5419" t="str">
            <v>VE01</v>
          </cell>
        </row>
        <row r="5420">
          <cell r="A5420" t="str">
            <v>4RE2SR202DNP</v>
          </cell>
          <cell r="B5420" t="str">
            <v>SMT</v>
          </cell>
          <cell r="C5420">
            <v>1</v>
          </cell>
          <cell r="D5420">
            <v>32</v>
          </cell>
          <cell r="E5420">
            <v>9210</v>
          </cell>
          <cell r="F5420" t="str">
            <v>VE01</v>
          </cell>
          <cell r="G5420" t="str">
            <v>Auto</v>
          </cell>
          <cell r="H5420">
            <v>311</v>
          </cell>
          <cell r="I5420">
            <v>9210</v>
          </cell>
          <cell r="J5420">
            <v>9220</v>
          </cell>
          <cell r="K5420" t="str">
            <v>VE01</v>
          </cell>
        </row>
        <row r="5421">
          <cell r="A5421" t="str">
            <v>4RE2SR204DNP</v>
          </cell>
          <cell r="B5421" t="str">
            <v>SMT</v>
          </cell>
          <cell r="C5421">
            <v>1</v>
          </cell>
          <cell r="D5421">
            <v>50</v>
          </cell>
          <cell r="E5421">
            <v>9210</v>
          </cell>
          <cell r="F5421" t="str">
            <v>VE01</v>
          </cell>
          <cell r="G5421" t="str">
            <v>Auto</v>
          </cell>
          <cell r="H5421">
            <v>311</v>
          </cell>
          <cell r="I5421">
            <v>9210</v>
          </cell>
          <cell r="J5421">
            <v>9220</v>
          </cell>
          <cell r="K5421" t="str">
            <v>VE01</v>
          </cell>
        </row>
        <row r="5422">
          <cell r="A5422" t="str">
            <v>1VJ1PS200-R2</v>
          </cell>
          <cell r="B5422" t="str">
            <v>SMT</v>
          </cell>
          <cell r="C5422">
            <v>1</v>
          </cell>
          <cell r="D5422" t="e">
            <v>#N/A</v>
          </cell>
        </row>
        <row r="5423">
          <cell r="A5423" t="str">
            <v>2VJ1PS200YSZB-R2</v>
          </cell>
          <cell r="B5423" t="str">
            <v>SMT</v>
          </cell>
          <cell r="C5423">
            <v>1</v>
          </cell>
          <cell r="D5423" t="e">
            <v>#N/A</v>
          </cell>
        </row>
        <row r="5424">
          <cell r="A5424" t="str">
            <v>1RE1PS200YSZB-R2</v>
          </cell>
          <cell r="B5424" t="str">
            <v>SMT</v>
          </cell>
          <cell r="C5424">
            <v>1</v>
          </cell>
          <cell r="D5424">
            <v>80</v>
          </cell>
        </row>
        <row r="5425">
          <cell r="A5425" t="str">
            <v>1RE2PS200YSZB-R2</v>
          </cell>
          <cell r="B5425" t="str">
            <v>SMT</v>
          </cell>
          <cell r="C5425">
            <v>1</v>
          </cell>
          <cell r="D5425">
            <v>378</v>
          </cell>
          <cell r="E5425">
            <v>9210</v>
          </cell>
          <cell r="F5425" t="str">
            <v>VE01</v>
          </cell>
          <cell r="G5425" t="str">
            <v>Auto</v>
          </cell>
          <cell r="H5425">
            <v>311</v>
          </cell>
          <cell r="I5425">
            <v>9210</v>
          </cell>
          <cell r="J5425">
            <v>9220</v>
          </cell>
          <cell r="K5425" t="str">
            <v>VE01</v>
          </cell>
        </row>
        <row r="5426">
          <cell r="A5426" t="str">
            <v>1VJ1DPLB1233</v>
          </cell>
          <cell r="B5426" t="str">
            <v>SMT</v>
          </cell>
          <cell r="C5426">
            <v>1</v>
          </cell>
          <cell r="D5426" t="e">
            <v>#N/A</v>
          </cell>
        </row>
        <row r="5427">
          <cell r="A5427" t="str">
            <v>1VJ2DPLB1233</v>
          </cell>
          <cell r="B5427" t="str">
            <v>SMT</v>
          </cell>
          <cell r="C5427">
            <v>1</v>
          </cell>
          <cell r="D5427" t="e">
            <v>#N/A</v>
          </cell>
        </row>
        <row r="5428">
          <cell r="A5428" t="str">
            <v>A6403-3820</v>
          </cell>
          <cell r="B5428" t="str">
            <v>SMT</v>
          </cell>
          <cell r="C5428">
            <v>1</v>
          </cell>
          <cell r="D5428" t="e">
            <v>#N/A</v>
          </cell>
        </row>
        <row r="5429">
          <cell r="A5429" t="str">
            <v>A65553J90BP</v>
          </cell>
          <cell r="B5429" t="str">
            <v>SMT</v>
          </cell>
          <cell r="C5429">
            <v>1</v>
          </cell>
          <cell r="D5429" t="e">
            <v>#N/A</v>
          </cell>
        </row>
        <row r="5430">
          <cell r="A5430" t="str">
            <v>A6555-3J8A</v>
          </cell>
          <cell r="B5430" t="str">
            <v>SMT</v>
          </cell>
          <cell r="C5430">
            <v>1</v>
          </cell>
          <cell r="D5430" t="e">
            <v>#N/A</v>
          </cell>
        </row>
        <row r="5431">
          <cell r="A5431" t="str">
            <v>1RE2LPNT511CN1ZA</v>
          </cell>
          <cell r="B5431" t="str">
            <v>SMT</v>
          </cell>
          <cell r="C5431">
            <v>1</v>
          </cell>
          <cell r="D5431">
            <v>122</v>
          </cell>
        </row>
        <row r="5432">
          <cell r="A5432" t="str">
            <v>1RE2LPTGP600ALGHZA</v>
          </cell>
          <cell r="B5432" t="str">
            <v>SMT</v>
          </cell>
          <cell r="C5432">
            <v>1</v>
          </cell>
          <cell r="D5432">
            <v>193</v>
          </cell>
        </row>
        <row r="5433">
          <cell r="A5433" t="str">
            <v>1RE2LPTGP600CHZA</v>
          </cell>
          <cell r="B5433" t="str">
            <v>SMT</v>
          </cell>
          <cell r="C5433">
            <v>1</v>
          </cell>
          <cell r="D5433">
            <v>193</v>
          </cell>
        </row>
        <row r="5434">
          <cell r="A5434" t="str">
            <v>1RE2LPTGP600LCHZA</v>
          </cell>
          <cell r="B5434" t="str">
            <v>SMT</v>
          </cell>
          <cell r="C5434">
            <v>1</v>
          </cell>
          <cell r="D5434">
            <v>193</v>
          </cell>
        </row>
        <row r="5435">
          <cell r="A5435" t="str">
            <v>PGLB2171YA-XM</v>
          </cell>
          <cell r="B5435" t="str">
            <v>SMT</v>
          </cell>
          <cell r="C5435">
            <v>1</v>
          </cell>
          <cell r="D5435" t="e">
            <v>#N/A</v>
          </cell>
        </row>
        <row r="5436">
          <cell r="A5436" t="str">
            <v>1RH1A603L3E6AAP</v>
          </cell>
          <cell r="B5436" t="str">
            <v>SMT</v>
          </cell>
          <cell r="C5436">
            <v>1</v>
          </cell>
          <cell r="D5436">
            <v>4</v>
          </cell>
        </row>
        <row r="5437">
          <cell r="A5437" t="str">
            <v>1AE1A603L3E6AAP</v>
          </cell>
          <cell r="B5437" t="str">
            <v>SMT</v>
          </cell>
          <cell r="C5437">
            <v>1</v>
          </cell>
          <cell r="D5437">
            <v>60</v>
          </cell>
        </row>
        <row r="5438">
          <cell r="A5438" t="str">
            <v>1RH1A603L3E8AAP</v>
          </cell>
          <cell r="B5438" t="str">
            <v>SMT</v>
          </cell>
          <cell r="C5438">
            <v>1</v>
          </cell>
          <cell r="D5438">
            <v>4</v>
          </cell>
        </row>
        <row r="5439">
          <cell r="A5439" t="str">
            <v>1AE1A603L3E8AAP</v>
          </cell>
          <cell r="B5439" t="str">
            <v>SMT</v>
          </cell>
          <cell r="C5439">
            <v>1</v>
          </cell>
          <cell r="D5439">
            <v>59</v>
          </cell>
        </row>
        <row r="5440">
          <cell r="A5440" t="str">
            <v>1RH1A603L3F6AEU</v>
          </cell>
          <cell r="B5440" t="str">
            <v>SMT</v>
          </cell>
          <cell r="C5440">
            <v>1</v>
          </cell>
          <cell r="D5440">
            <v>4</v>
          </cell>
        </row>
        <row r="5441">
          <cell r="A5441" t="str">
            <v>1AE1A603L3F6AEU</v>
          </cell>
          <cell r="B5441" t="str">
            <v>SMT</v>
          </cell>
          <cell r="C5441">
            <v>1</v>
          </cell>
          <cell r="D5441">
            <v>60</v>
          </cell>
        </row>
        <row r="5442">
          <cell r="A5442" t="str">
            <v>1RH1A603L3F7AEU</v>
          </cell>
          <cell r="B5442" t="str">
            <v>SMT</v>
          </cell>
          <cell r="C5442">
            <v>1</v>
          </cell>
          <cell r="D5442">
            <v>4</v>
          </cell>
        </row>
        <row r="5443">
          <cell r="A5443" t="str">
            <v>1AE1A603L3F7AEU</v>
          </cell>
          <cell r="B5443" t="str">
            <v>SMT</v>
          </cell>
          <cell r="C5443">
            <v>1</v>
          </cell>
          <cell r="D5443">
            <v>60</v>
          </cell>
        </row>
        <row r="5444">
          <cell r="A5444" t="str">
            <v>1RH1A603L3J90QP</v>
          </cell>
          <cell r="B5444" t="str">
            <v>SMT</v>
          </cell>
          <cell r="C5444">
            <v>1</v>
          </cell>
          <cell r="D5444">
            <v>8</v>
          </cell>
        </row>
        <row r="5445">
          <cell r="A5445" t="str">
            <v>1AE1A603L3J90QP</v>
          </cell>
          <cell r="B5445" t="str">
            <v>SMT</v>
          </cell>
          <cell r="C5445">
            <v>1</v>
          </cell>
          <cell r="D5445">
            <v>54</v>
          </cell>
        </row>
        <row r="5446">
          <cell r="A5446" t="str">
            <v>1RH1A603L3K4ATP</v>
          </cell>
          <cell r="B5446" t="str">
            <v>SMT</v>
          </cell>
          <cell r="C5446">
            <v>1</v>
          </cell>
          <cell r="D5446">
            <v>4</v>
          </cell>
        </row>
        <row r="5447">
          <cell r="A5447" t="str">
            <v>1AE1A603L3K4ATP</v>
          </cell>
          <cell r="B5447" t="str">
            <v>SMT</v>
          </cell>
          <cell r="C5447">
            <v>1</v>
          </cell>
          <cell r="D5447">
            <v>60</v>
          </cell>
        </row>
        <row r="5448">
          <cell r="A5448" t="str">
            <v>1RH1A603Y3E6ACP</v>
          </cell>
          <cell r="B5448" t="str">
            <v>SMT</v>
          </cell>
          <cell r="C5448">
            <v>1</v>
          </cell>
          <cell r="D5448">
            <v>4</v>
          </cell>
        </row>
        <row r="5449">
          <cell r="A5449" t="str">
            <v>1TE1A603Y3E6ACP</v>
          </cell>
          <cell r="B5449" t="str">
            <v>SMT</v>
          </cell>
          <cell r="C5449">
            <v>1</v>
          </cell>
          <cell r="D5449">
            <v>1</v>
          </cell>
        </row>
        <row r="5450">
          <cell r="A5450" t="str">
            <v>1AE1A603Y3E6ACP</v>
          </cell>
          <cell r="B5450" t="str">
            <v>SMT</v>
          </cell>
          <cell r="C5450">
            <v>1</v>
          </cell>
          <cell r="D5450">
            <v>20</v>
          </cell>
        </row>
        <row r="5451">
          <cell r="A5451" t="str">
            <v>1HT1A603Y3E6ACP</v>
          </cell>
          <cell r="B5451" t="str">
            <v>SMT</v>
          </cell>
          <cell r="C5451">
            <v>1</v>
          </cell>
          <cell r="D5451">
            <v>4</v>
          </cell>
        </row>
        <row r="5452">
          <cell r="A5452" t="str">
            <v>1RH1A603Y3F0ACP</v>
          </cell>
          <cell r="B5452" t="str">
            <v>SMT</v>
          </cell>
          <cell r="C5452">
            <v>1</v>
          </cell>
          <cell r="D5452">
            <v>4</v>
          </cell>
        </row>
        <row r="5453">
          <cell r="A5453" t="str">
            <v>1TE1A603Y3F0ACP</v>
          </cell>
          <cell r="B5453" t="str">
            <v>SMT</v>
          </cell>
          <cell r="C5453">
            <v>1</v>
          </cell>
          <cell r="D5453">
            <v>1</v>
          </cell>
        </row>
        <row r="5454">
          <cell r="A5454" t="str">
            <v>1AE1A603Y3F0ACP</v>
          </cell>
          <cell r="B5454" t="str">
            <v>SMT</v>
          </cell>
          <cell r="C5454">
            <v>1</v>
          </cell>
          <cell r="D5454">
            <v>20</v>
          </cell>
        </row>
        <row r="5455">
          <cell r="A5455" t="str">
            <v>1HT1A603Y3F0ACP</v>
          </cell>
          <cell r="B5455" t="str">
            <v>SMT</v>
          </cell>
          <cell r="C5455">
            <v>1</v>
          </cell>
          <cell r="D5455">
            <v>4</v>
          </cell>
        </row>
        <row r="5456">
          <cell r="A5456" t="str">
            <v>1RH1A603Y3F9AMP</v>
          </cell>
          <cell r="B5456" t="str">
            <v>SMT</v>
          </cell>
          <cell r="C5456">
            <v>1</v>
          </cell>
          <cell r="D5456">
            <v>4</v>
          </cell>
        </row>
        <row r="5457">
          <cell r="A5457" t="str">
            <v>1TE1A603Y3F9AMP</v>
          </cell>
          <cell r="B5457" t="str">
            <v>SMT</v>
          </cell>
          <cell r="C5457">
            <v>1</v>
          </cell>
          <cell r="D5457">
            <v>1</v>
          </cell>
        </row>
        <row r="5458">
          <cell r="A5458" t="str">
            <v>1AE1A603Y3F9AMP</v>
          </cell>
          <cell r="B5458" t="str">
            <v>SMT</v>
          </cell>
          <cell r="C5458">
            <v>1</v>
          </cell>
          <cell r="D5458">
            <v>19</v>
          </cell>
        </row>
        <row r="5459">
          <cell r="A5459" t="str">
            <v>1HT1A603Y3F9AMP</v>
          </cell>
          <cell r="B5459" t="str">
            <v>SMT</v>
          </cell>
          <cell r="C5459">
            <v>1</v>
          </cell>
          <cell r="D5459">
            <v>6</v>
          </cell>
        </row>
        <row r="5460">
          <cell r="A5460" t="str">
            <v>1RE1SR204P-V4</v>
          </cell>
          <cell r="B5460" t="str">
            <v>SMT</v>
          </cell>
          <cell r="C5460">
            <v>1</v>
          </cell>
          <cell r="D5460">
            <v>460</v>
          </cell>
        </row>
        <row r="5461">
          <cell r="A5461" t="str">
            <v>1VJ1SR204P-V4</v>
          </cell>
          <cell r="B5461" t="str">
            <v>SMT</v>
          </cell>
          <cell r="C5461">
            <v>1</v>
          </cell>
          <cell r="D5461" t="e">
            <v>#N/A</v>
          </cell>
        </row>
        <row r="5462">
          <cell r="A5462" t="str">
            <v>2VJ1SR204P-V4</v>
          </cell>
          <cell r="B5462" t="str">
            <v>SMT</v>
          </cell>
          <cell r="C5462">
            <v>1</v>
          </cell>
          <cell r="D5462">
            <v>1</v>
          </cell>
        </row>
        <row r="5463">
          <cell r="A5463" t="str">
            <v>3VJ1SR204P-V4</v>
          </cell>
          <cell r="B5463" t="str">
            <v>SMT</v>
          </cell>
          <cell r="C5463">
            <v>1</v>
          </cell>
          <cell r="D5463">
            <v>1</v>
          </cell>
        </row>
        <row r="5464">
          <cell r="A5464" t="str">
            <v>2AE1SR204P-V4</v>
          </cell>
          <cell r="B5464" t="str">
            <v>SMT</v>
          </cell>
          <cell r="C5464">
            <v>1</v>
          </cell>
          <cell r="D5464">
            <v>0</v>
          </cell>
        </row>
        <row r="5465">
          <cell r="A5465" t="str">
            <v>2RE1SR204P-V4</v>
          </cell>
          <cell r="B5465" t="str">
            <v>SMT</v>
          </cell>
          <cell r="C5465">
            <v>1</v>
          </cell>
          <cell r="D5465">
            <v>126</v>
          </cell>
        </row>
        <row r="5466">
          <cell r="A5466" t="str">
            <v>4RE1SR204P-V4</v>
          </cell>
          <cell r="B5466" t="str">
            <v>SMT</v>
          </cell>
          <cell r="C5466">
            <v>1</v>
          </cell>
          <cell r="D5466">
            <v>184</v>
          </cell>
        </row>
        <row r="5467">
          <cell r="A5467" t="str">
            <v>F62603702AEU</v>
          </cell>
          <cell r="B5467" t="str">
            <v>SMT</v>
          </cell>
          <cell r="C5467">
            <v>1</v>
          </cell>
          <cell r="D5467" t="e">
            <v>#N/A</v>
          </cell>
        </row>
        <row r="5468">
          <cell r="A5468" t="str">
            <v>F62606P00AAP</v>
          </cell>
          <cell r="B5468" t="str">
            <v>SMT</v>
          </cell>
          <cell r="C5468">
            <v>1</v>
          </cell>
          <cell r="D5468" t="e">
            <v>#N/A</v>
          </cell>
        </row>
        <row r="5469">
          <cell r="A5469" t="str">
            <v>F6260BS72AAP</v>
          </cell>
          <cell r="B5469" t="str">
            <v>SMT</v>
          </cell>
          <cell r="C5469">
            <v>1</v>
          </cell>
          <cell r="D5469" t="e">
            <v>#N/A</v>
          </cell>
        </row>
        <row r="5470">
          <cell r="A5470" t="str">
            <v>F67453702ABP</v>
          </cell>
          <cell r="B5470" t="str">
            <v>SMT</v>
          </cell>
          <cell r="C5470">
            <v>1</v>
          </cell>
          <cell r="D5470" t="e">
            <v>#N/A</v>
          </cell>
        </row>
        <row r="5471">
          <cell r="A5471" t="str">
            <v>F67457601ACP</v>
          </cell>
          <cell r="B5471" t="str">
            <v>SMT</v>
          </cell>
          <cell r="C5471">
            <v>1</v>
          </cell>
          <cell r="D5471" t="e">
            <v>#N/A</v>
          </cell>
        </row>
        <row r="5472">
          <cell r="A5472" t="str">
            <v>F6745BS71ACP</v>
          </cell>
          <cell r="B5472" t="str">
            <v>SMT</v>
          </cell>
          <cell r="C5472">
            <v>1</v>
          </cell>
          <cell r="D5472" t="e">
            <v>#N/A</v>
          </cell>
        </row>
        <row r="5473">
          <cell r="A5473" t="str">
            <v>F6745CE70AEP</v>
          </cell>
          <cell r="B5473" t="str">
            <v>SMT</v>
          </cell>
          <cell r="C5473">
            <v>1</v>
          </cell>
          <cell r="D5473" t="e">
            <v>#N/A</v>
          </cell>
        </row>
        <row r="5474">
          <cell r="A5474" t="str">
            <v>F64033711ABP</v>
          </cell>
          <cell r="B5474" t="str">
            <v>SMT</v>
          </cell>
          <cell r="C5474">
            <v>1</v>
          </cell>
          <cell r="D5474" t="e">
            <v>#N/A</v>
          </cell>
        </row>
        <row r="5475">
          <cell r="A5475" t="str">
            <v>1AP1PSJXN0134ZB</v>
          </cell>
          <cell r="B5475" t="str">
            <v>SMT</v>
          </cell>
          <cell r="C5475">
            <v>1</v>
          </cell>
          <cell r="D5475" t="e">
            <v>#N/A</v>
          </cell>
        </row>
        <row r="5476">
          <cell r="A5476" t="str">
            <v>1AP1PQJX2PSWL01ZB</v>
          </cell>
          <cell r="B5476" t="str">
            <v>SMT</v>
          </cell>
          <cell r="C5476">
            <v>1</v>
          </cell>
          <cell r="D5476" t="e">
            <v>#N/A</v>
          </cell>
        </row>
        <row r="5477">
          <cell r="A5477" t="str">
            <v>1AP1PSJXN0133ZB</v>
          </cell>
          <cell r="B5477" t="str">
            <v>SMT</v>
          </cell>
          <cell r="C5477">
            <v>1</v>
          </cell>
          <cell r="D5477" t="e">
            <v>#N/A</v>
          </cell>
        </row>
        <row r="5478">
          <cell r="A5478" t="str">
            <v>1AP1PQJX2PKAL01ZB</v>
          </cell>
          <cell r="B5478" t="str">
            <v>SMT</v>
          </cell>
          <cell r="C5478">
            <v>1</v>
          </cell>
          <cell r="D5478" t="e">
            <v>#N/A</v>
          </cell>
        </row>
        <row r="5479">
          <cell r="A5479" t="str">
            <v>1RE2LPAT7730UE1ZA</v>
          </cell>
          <cell r="B5479" t="str">
            <v>SMT</v>
          </cell>
          <cell r="C5479">
            <v>1</v>
          </cell>
          <cell r="D5479">
            <v>285</v>
          </cell>
        </row>
        <row r="5480">
          <cell r="A5480" t="str">
            <v>1RE2T7665RU1APL4</v>
          </cell>
          <cell r="B5480" t="str">
            <v>SMT</v>
          </cell>
          <cell r="C5480">
            <v>1</v>
          </cell>
          <cell r="D5480">
            <v>215</v>
          </cell>
        </row>
        <row r="5481">
          <cell r="A5481" t="str">
            <v>1RE2T7720EV4</v>
          </cell>
          <cell r="B5481" t="str">
            <v>SMT</v>
          </cell>
          <cell r="C5481">
            <v>1</v>
          </cell>
          <cell r="D5481">
            <v>273</v>
          </cell>
        </row>
        <row r="5482">
          <cell r="A5482" t="str">
            <v>1RE2T7730ALV4</v>
          </cell>
          <cell r="B5482" t="str">
            <v>SMT</v>
          </cell>
          <cell r="C5482">
            <v>1</v>
          </cell>
          <cell r="D5482">
            <v>287</v>
          </cell>
        </row>
        <row r="5483">
          <cell r="A5483" t="str">
            <v>1RE2T7730XSX</v>
          </cell>
          <cell r="B5483" t="str">
            <v>SMT</v>
          </cell>
          <cell r="C5483">
            <v>1</v>
          </cell>
          <cell r="D5483">
            <v>285</v>
          </cell>
        </row>
        <row r="5484">
          <cell r="A5484" t="str">
            <v>1RE2T7735CEV4</v>
          </cell>
          <cell r="B5484" t="str">
            <v>SMT</v>
          </cell>
          <cell r="C5484">
            <v>1</v>
          </cell>
          <cell r="D5484">
            <v>276</v>
          </cell>
        </row>
        <row r="5485">
          <cell r="A5485" t="str">
            <v>1RE2T7735EV4</v>
          </cell>
          <cell r="B5485" t="str">
            <v>SMT</v>
          </cell>
          <cell r="C5485">
            <v>1</v>
          </cell>
          <cell r="D5485">
            <v>275</v>
          </cell>
        </row>
        <row r="5486">
          <cell r="A5486" t="str">
            <v>1RE2T7735XBV4</v>
          </cell>
          <cell r="B5486" t="str">
            <v>SMT</v>
          </cell>
          <cell r="C5486">
            <v>1</v>
          </cell>
          <cell r="D5486">
            <v>273</v>
          </cell>
        </row>
        <row r="5487">
          <cell r="A5487" t="str">
            <v>1RE2T7735XSX</v>
          </cell>
          <cell r="B5487" t="str">
            <v>SMT</v>
          </cell>
          <cell r="C5487">
            <v>1</v>
          </cell>
          <cell r="D5487">
            <v>273</v>
          </cell>
        </row>
        <row r="5488">
          <cell r="A5488" t="str">
            <v>1RE2T7735XV4</v>
          </cell>
          <cell r="B5488" t="str">
            <v>SMT</v>
          </cell>
          <cell r="C5488">
            <v>1</v>
          </cell>
          <cell r="D5488">
            <v>273</v>
          </cell>
        </row>
        <row r="5489">
          <cell r="A5489" t="str">
            <v>1RE2T7740XBV4</v>
          </cell>
          <cell r="B5489" t="str">
            <v>SMT</v>
          </cell>
          <cell r="C5489">
            <v>1</v>
          </cell>
          <cell r="D5489">
            <v>55</v>
          </cell>
        </row>
        <row r="5490">
          <cell r="A5490" t="str">
            <v>1RE2T7740XEU</v>
          </cell>
          <cell r="B5490" t="str">
            <v>SMT</v>
          </cell>
          <cell r="C5490">
            <v>1</v>
          </cell>
          <cell r="D5490">
            <v>55</v>
          </cell>
        </row>
        <row r="5491">
          <cell r="A5491" t="str">
            <v>1RE2T7740XSX</v>
          </cell>
          <cell r="B5491" t="str">
            <v>SMT</v>
          </cell>
          <cell r="C5491">
            <v>1</v>
          </cell>
          <cell r="D5491">
            <v>55</v>
          </cell>
        </row>
        <row r="5492">
          <cell r="A5492" t="str">
            <v>1RE2T7740XV4</v>
          </cell>
          <cell r="B5492" t="str">
            <v>SMT</v>
          </cell>
          <cell r="C5492">
            <v>1</v>
          </cell>
          <cell r="D5492">
            <v>55</v>
          </cell>
        </row>
        <row r="5493">
          <cell r="A5493" t="str">
            <v>1RE2T7750EV4</v>
          </cell>
          <cell r="B5493" t="str">
            <v>SMT</v>
          </cell>
          <cell r="C5493">
            <v>1</v>
          </cell>
          <cell r="D5493">
            <v>225</v>
          </cell>
        </row>
        <row r="5494">
          <cell r="A5494" t="str">
            <v>1RE2T7750XV4</v>
          </cell>
          <cell r="B5494" t="str">
            <v>SMT</v>
          </cell>
          <cell r="C5494">
            <v>1</v>
          </cell>
          <cell r="D5494">
            <v>224</v>
          </cell>
        </row>
        <row r="5495">
          <cell r="A5495" t="str">
            <v>1RE2LPTPA60LCRZA</v>
          </cell>
          <cell r="B5495" t="str">
            <v>SMT</v>
          </cell>
          <cell r="C5495">
            <v>1</v>
          </cell>
          <cell r="D5495">
            <v>134</v>
          </cell>
        </row>
        <row r="5496">
          <cell r="A5496" t="str">
            <v>1CM1A603L3E6AAP</v>
          </cell>
          <cell r="B5496" t="str">
            <v>SMT</v>
          </cell>
          <cell r="C5496">
            <v>1</v>
          </cell>
          <cell r="D5496">
            <v>116</v>
          </cell>
          <cell r="E5496">
            <v>6210</v>
          </cell>
          <cell r="F5496" t="str">
            <v>VG01</v>
          </cell>
          <cell r="G5496" t="str">
            <v>Auto</v>
          </cell>
          <cell r="H5496">
            <v>311</v>
          </cell>
          <cell r="I5496">
            <v>6210</v>
          </cell>
          <cell r="J5496">
            <v>6220</v>
          </cell>
          <cell r="K5496" t="str">
            <v>VG01</v>
          </cell>
        </row>
        <row r="5497">
          <cell r="A5497" t="str">
            <v>1CM1A603L3E8AAP</v>
          </cell>
          <cell r="B5497" t="str">
            <v>SMT</v>
          </cell>
          <cell r="C5497">
            <v>1</v>
          </cell>
          <cell r="D5497">
            <v>116</v>
          </cell>
          <cell r="E5497">
            <v>6210</v>
          </cell>
          <cell r="F5497" t="str">
            <v>VG01</v>
          </cell>
          <cell r="G5497" t="str">
            <v>Auto</v>
          </cell>
          <cell r="H5497">
            <v>311</v>
          </cell>
          <cell r="I5497">
            <v>6210</v>
          </cell>
          <cell r="J5497">
            <v>6220</v>
          </cell>
          <cell r="K5497" t="str">
            <v>VG01</v>
          </cell>
        </row>
        <row r="5498">
          <cell r="A5498" t="str">
            <v>1CM1A603L3F6AEU</v>
          </cell>
          <cell r="B5498" t="str">
            <v>SMT</v>
          </cell>
          <cell r="C5498">
            <v>1</v>
          </cell>
          <cell r="D5498">
            <v>113</v>
          </cell>
          <cell r="E5498">
            <v>6210</v>
          </cell>
          <cell r="F5498" t="str">
            <v>VG01</v>
          </cell>
          <cell r="G5498" t="str">
            <v>Auto</v>
          </cell>
          <cell r="H5498">
            <v>311</v>
          </cell>
          <cell r="I5498">
            <v>6210</v>
          </cell>
          <cell r="J5498">
            <v>6220</v>
          </cell>
          <cell r="K5498" t="str">
            <v>VG01</v>
          </cell>
        </row>
        <row r="5499">
          <cell r="A5499" t="str">
            <v>1CM1A603L3F7AEU</v>
          </cell>
          <cell r="B5499" t="str">
            <v>SMT</v>
          </cell>
          <cell r="C5499">
            <v>1</v>
          </cell>
          <cell r="D5499">
            <v>113</v>
          </cell>
          <cell r="E5499">
            <v>6210</v>
          </cell>
          <cell r="F5499" t="str">
            <v>VG01</v>
          </cell>
          <cell r="G5499" t="str">
            <v>Auto</v>
          </cell>
          <cell r="H5499">
            <v>311</v>
          </cell>
          <cell r="I5499">
            <v>6210</v>
          </cell>
          <cell r="J5499">
            <v>6220</v>
          </cell>
          <cell r="K5499" t="str">
            <v>VG01</v>
          </cell>
        </row>
        <row r="5500">
          <cell r="A5500" t="str">
            <v>1CM1A603L3J90QP</v>
          </cell>
          <cell r="B5500" t="str">
            <v>SMT</v>
          </cell>
          <cell r="C5500">
            <v>1</v>
          </cell>
          <cell r="D5500">
            <v>159</v>
          </cell>
          <cell r="E5500">
            <v>6210</v>
          </cell>
          <cell r="F5500" t="str">
            <v>VG01</v>
          </cell>
          <cell r="G5500" t="str">
            <v>Auto</v>
          </cell>
          <cell r="H5500">
            <v>311</v>
          </cell>
          <cell r="I5500">
            <v>6210</v>
          </cell>
          <cell r="J5500">
            <v>6220</v>
          </cell>
          <cell r="K5500" t="str">
            <v>VG01</v>
          </cell>
        </row>
        <row r="5501">
          <cell r="A5501" t="str">
            <v>1CM1A603L3K4ATP</v>
          </cell>
          <cell r="B5501" t="str">
            <v>SMT</v>
          </cell>
          <cell r="C5501">
            <v>1</v>
          </cell>
          <cell r="D5501">
            <v>113</v>
          </cell>
          <cell r="E5501">
            <v>6210</v>
          </cell>
          <cell r="F5501" t="str">
            <v>VG01</v>
          </cell>
          <cell r="G5501" t="str">
            <v>Auto</v>
          </cell>
          <cell r="H5501">
            <v>311</v>
          </cell>
          <cell r="I5501">
            <v>6210</v>
          </cell>
          <cell r="J5501">
            <v>6220</v>
          </cell>
          <cell r="K5501" t="str">
            <v>VG01</v>
          </cell>
        </row>
        <row r="5502">
          <cell r="A5502" t="str">
            <v>1CM1A603Y3E6ACP</v>
          </cell>
          <cell r="B5502" t="str">
            <v>SMT</v>
          </cell>
          <cell r="C5502">
            <v>1</v>
          </cell>
          <cell r="D5502">
            <v>15</v>
          </cell>
          <cell r="E5502">
            <v>6210</v>
          </cell>
          <cell r="F5502" t="str">
            <v>VG01</v>
          </cell>
          <cell r="G5502" t="str">
            <v>Auto</v>
          </cell>
          <cell r="H5502">
            <v>311</v>
          </cell>
          <cell r="I5502">
            <v>6210</v>
          </cell>
          <cell r="J5502">
            <v>6220</v>
          </cell>
          <cell r="K5502" t="str">
            <v>VG01</v>
          </cell>
        </row>
        <row r="5503">
          <cell r="A5503" t="str">
            <v>1CM1A603Y3F0ACP</v>
          </cell>
          <cell r="B5503" t="str">
            <v>SMT</v>
          </cell>
          <cell r="C5503">
            <v>1</v>
          </cell>
          <cell r="D5503">
            <v>15</v>
          </cell>
          <cell r="E5503">
            <v>6210</v>
          </cell>
          <cell r="F5503" t="str">
            <v>VG01</v>
          </cell>
          <cell r="G5503" t="str">
            <v>Auto</v>
          </cell>
          <cell r="H5503">
            <v>311</v>
          </cell>
          <cell r="I5503">
            <v>6210</v>
          </cell>
          <cell r="J5503">
            <v>6220</v>
          </cell>
          <cell r="K5503" t="str">
            <v>VG01</v>
          </cell>
        </row>
        <row r="5504">
          <cell r="A5504" t="str">
            <v>1CM1A603Y3F9AMP</v>
          </cell>
          <cell r="B5504" t="str">
            <v>SMT</v>
          </cell>
          <cell r="C5504">
            <v>1</v>
          </cell>
          <cell r="D5504">
            <v>15</v>
          </cell>
          <cell r="E5504">
            <v>6210</v>
          </cell>
          <cell r="F5504" t="str">
            <v>VG01</v>
          </cell>
          <cell r="G5504" t="str">
            <v>Auto</v>
          </cell>
          <cell r="H5504">
            <v>311</v>
          </cell>
          <cell r="I5504">
            <v>6210</v>
          </cell>
          <cell r="J5504">
            <v>6220</v>
          </cell>
          <cell r="K5504" t="str">
            <v>VG01</v>
          </cell>
        </row>
        <row r="5505">
          <cell r="A5505" t="str">
            <v>1RE2SR204P-V4</v>
          </cell>
          <cell r="B5505" t="str">
            <v>SMT</v>
          </cell>
          <cell r="C5505">
            <v>1</v>
          </cell>
          <cell r="D5505">
            <v>548</v>
          </cell>
          <cell r="E5505">
            <v>9210</v>
          </cell>
          <cell r="F5505" t="str">
            <v>VE01</v>
          </cell>
          <cell r="G5505" t="str">
            <v>Auto</v>
          </cell>
          <cell r="H5505">
            <v>311</v>
          </cell>
          <cell r="I5505">
            <v>9210</v>
          </cell>
          <cell r="J5505">
            <v>9220</v>
          </cell>
          <cell r="K5505" t="str">
            <v>VE01</v>
          </cell>
        </row>
        <row r="5506">
          <cell r="A5506" t="str">
            <v>2RH1SR204P-V4</v>
          </cell>
          <cell r="B5506" t="str">
            <v>SMT</v>
          </cell>
          <cell r="C5506">
            <v>1</v>
          </cell>
          <cell r="D5506">
            <v>2</v>
          </cell>
          <cell r="E5506">
            <v>9210</v>
          </cell>
          <cell r="F5506" t="str">
            <v>VE01</v>
          </cell>
          <cell r="G5506" t="str">
            <v>Auto</v>
          </cell>
          <cell r="H5506">
            <v>311</v>
          </cell>
          <cell r="I5506">
            <v>9210</v>
          </cell>
          <cell r="J5506">
            <v>9220</v>
          </cell>
          <cell r="K5506" t="str">
            <v>VE01</v>
          </cell>
        </row>
        <row r="5507">
          <cell r="A5507" t="str">
            <v>3RE1SR204P-V4</v>
          </cell>
          <cell r="B5507" t="str">
            <v>SMT</v>
          </cell>
          <cell r="C5507">
            <v>1</v>
          </cell>
          <cell r="D5507">
            <v>400</v>
          </cell>
          <cell r="E5507">
            <v>9210</v>
          </cell>
          <cell r="F5507" t="str">
            <v>VE01</v>
          </cell>
          <cell r="G5507" t="str">
            <v>Auto</v>
          </cell>
          <cell r="H5507">
            <v>311</v>
          </cell>
          <cell r="I5507">
            <v>9210</v>
          </cell>
          <cell r="J5507">
            <v>9220</v>
          </cell>
          <cell r="K5507" t="str">
            <v>VE01</v>
          </cell>
        </row>
        <row r="5508">
          <cell r="A5508" t="str">
            <v>4RE2SR204P-V4</v>
          </cell>
          <cell r="B5508" t="str">
            <v>SMT</v>
          </cell>
          <cell r="C5508">
            <v>1</v>
          </cell>
          <cell r="D5508">
            <v>50</v>
          </cell>
          <cell r="E5508">
            <v>9210</v>
          </cell>
          <cell r="F5508" t="str">
            <v>VE01</v>
          </cell>
          <cell r="G5508" t="str">
            <v>Auto</v>
          </cell>
          <cell r="H5508">
            <v>311</v>
          </cell>
          <cell r="I5508">
            <v>9210</v>
          </cell>
          <cell r="J5508">
            <v>9220</v>
          </cell>
          <cell r="K5508" t="str">
            <v>VE01</v>
          </cell>
        </row>
        <row r="5509">
          <cell r="A5509" t="str">
            <v>1RE2SR202DNP</v>
          </cell>
          <cell r="B5509" t="str">
            <v>SMT</v>
          </cell>
          <cell r="C5509">
            <v>1</v>
          </cell>
          <cell r="D5509">
            <v>531</v>
          </cell>
          <cell r="E5509">
            <v>9210</v>
          </cell>
          <cell r="F5509" t="str">
            <v>VE01</v>
          </cell>
          <cell r="G5509" t="str">
            <v>Auto</v>
          </cell>
          <cell r="H5509">
            <v>311</v>
          </cell>
          <cell r="I5509">
            <v>9210</v>
          </cell>
          <cell r="J5509">
            <v>9220</v>
          </cell>
          <cell r="K5509" t="str">
            <v>VE01</v>
          </cell>
        </row>
        <row r="5510">
          <cell r="A5510" t="str">
            <v>1RE2SE200DNP</v>
          </cell>
          <cell r="B5510" t="str">
            <v>SMT</v>
          </cell>
          <cell r="C5510">
            <v>1</v>
          </cell>
          <cell r="D5510">
            <v>407</v>
          </cell>
          <cell r="E5510">
            <v>9210</v>
          </cell>
          <cell r="F5510" t="str">
            <v>VE01</v>
          </cell>
          <cell r="G5510" t="str">
            <v>Auto</v>
          </cell>
          <cell r="H5510">
            <v>311</v>
          </cell>
          <cell r="I5510">
            <v>9210</v>
          </cell>
          <cell r="J5510">
            <v>9220</v>
          </cell>
          <cell r="K5510" t="str">
            <v>VE01</v>
          </cell>
        </row>
        <row r="5511">
          <cell r="A5511" t="str">
            <v>1RE2SR204DNP</v>
          </cell>
          <cell r="B5511" t="str">
            <v>SMT</v>
          </cell>
          <cell r="C5511">
            <v>1</v>
          </cell>
          <cell r="D5511">
            <v>548</v>
          </cell>
          <cell r="E5511">
            <v>9210</v>
          </cell>
          <cell r="F5511" t="str">
            <v>VE01</v>
          </cell>
          <cell r="G5511" t="str">
            <v>Auto</v>
          </cell>
          <cell r="H5511">
            <v>311</v>
          </cell>
          <cell r="I5511">
            <v>9210</v>
          </cell>
          <cell r="J5511">
            <v>9220</v>
          </cell>
          <cell r="K5511" t="str">
            <v>VE01</v>
          </cell>
        </row>
        <row r="5512">
          <cell r="A5512" t="str">
            <v>1RE1SR202DNP</v>
          </cell>
          <cell r="B5512" t="str">
            <v>SMT</v>
          </cell>
          <cell r="C5512">
            <v>1</v>
          </cell>
          <cell r="D5512">
            <v>460</v>
          </cell>
        </row>
        <row r="5513">
          <cell r="A5513" t="str">
            <v>1RE1SE200DNP</v>
          </cell>
          <cell r="B5513" t="str">
            <v>SMT</v>
          </cell>
          <cell r="C5513">
            <v>1</v>
          </cell>
          <cell r="D5513">
            <v>163</v>
          </cell>
        </row>
        <row r="5514">
          <cell r="A5514" t="str">
            <v>1RE1SR204DNP</v>
          </cell>
          <cell r="B5514" t="str">
            <v>SMT</v>
          </cell>
          <cell r="C5514">
            <v>1</v>
          </cell>
          <cell r="D5514">
            <v>460</v>
          </cell>
        </row>
        <row r="5515">
          <cell r="A5515" t="str">
            <v>1RE2SRC14YSZC-V4</v>
          </cell>
          <cell r="B5515" t="str">
            <v>SMT</v>
          </cell>
          <cell r="C5515">
            <v>1</v>
          </cell>
          <cell r="D5515">
            <v>567</v>
          </cell>
          <cell r="E5515">
            <v>9210</v>
          </cell>
          <cell r="F5515" t="str">
            <v>VE01</v>
          </cell>
          <cell r="G5515" t="str">
            <v>Auto</v>
          </cell>
          <cell r="H5515">
            <v>311</v>
          </cell>
          <cell r="I5515">
            <v>9210</v>
          </cell>
          <cell r="J5515">
            <v>9220</v>
          </cell>
          <cell r="K5515" t="str">
            <v>VE01</v>
          </cell>
        </row>
        <row r="5516">
          <cell r="A5516" t="str">
            <v>1RE2SRB20YSZC-V4</v>
          </cell>
          <cell r="B5516" t="str">
            <v>SMT</v>
          </cell>
          <cell r="C5516">
            <v>1</v>
          </cell>
          <cell r="D5516">
            <v>568</v>
          </cell>
          <cell r="E5516">
            <v>9210</v>
          </cell>
          <cell r="F5516" t="str">
            <v>VE01</v>
          </cell>
          <cell r="G5516" t="str">
            <v>Auto</v>
          </cell>
          <cell r="H5516">
            <v>311</v>
          </cell>
          <cell r="I5516">
            <v>9210</v>
          </cell>
          <cell r="J5516">
            <v>9220</v>
          </cell>
          <cell r="K5516" t="str">
            <v>VE01</v>
          </cell>
        </row>
        <row r="5517">
          <cell r="A5517" t="str">
            <v>1RE1T76651APL4</v>
          </cell>
          <cell r="B5517" t="str">
            <v>SMT</v>
          </cell>
          <cell r="C5517">
            <v>1</v>
          </cell>
          <cell r="D5517">
            <v>14</v>
          </cell>
        </row>
        <row r="5518">
          <cell r="A5518" t="str">
            <v>1RE2T76651APL4</v>
          </cell>
          <cell r="B5518" t="str">
            <v>SMT</v>
          </cell>
          <cell r="C5518">
            <v>1</v>
          </cell>
          <cell r="D5518">
            <v>209</v>
          </cell>
          <cell r="E5518">
            <v>2210</v>
          </cell>
          <cell r="F5518" t="str">
            <v>VC01</v>
          </cell>
          <cell r="G5518" t="str">
            <v>Auto</v>
          </cell>
          <cell r="H5518">
            <v>311</v>
          </cell>
          <cell r="I5518">
            <v>2210</v>
          </cell>
          <cell r="J5518">
            <v>2220</v>
          </cell>
          <cell r="K5518" t="str">
            <v>VC01</v>
          </cell>
        </row>
        <row r="5519">
          <cell r="A5519" t="str">
            <v>3RE1SE200DNP</v>
          </cell>
          <cell r="B5519" t="str">
            <v>SMT</v>
          </cell>
          <cell r="C5519">
            <v>1</v>
          </cell>
          <cell r="D5519">
            <v>129</v>
          </cell>
        </row>
        <row r="5520">
          <cell r="A5520" t="str">
            <v>3RE2SE200DNP</v>
          </cell>
          <cell r="B5520" t="str">
            <v>SMT</v>
          </cell>
          <cell r="C5520">
            <v>1</v>
          </cell>
          <cell r="D5520">
            <v>461</v>
          </cell>
          <cell r="E5520">
            <v>9210</v>
          </cell>
          <cell r="F5520" t="str">
            <v>VE01</v>
          </cell>
          <cell r="G5520" t="str">
            <v>Auto</v>
          </cell>
          <cell r="H5520">
            <v>311</v>
          </cell>
          <cell r="I5520">
            <v>9210</v>
          </cell>
          <cell r="J5520">
            <v>9220</v>
          </cell>
          <cell r="K5520" t="str">
            <v>VE01</v>
          </cell>
        </row>
        <row r="5521">
          <cell r="A5521" t="str">
            <v>PULB1049ZA-XM</v>
          </cell>
          <cell r="B5521" t="str">
            <v>SMT</v>
          </cell>
          <cell r="C5521">
            <v>1</v>
          </cell>
          <cell r="D5521" t="e">
            <v>#N/A</v>
          </cell>
        </row>
        <row r="5522">
          <cell r="A5522" t="str">
            <v>1AE1A603Y-3J8A</v>
          </cell>
          <cell r="B5522" t="str">
            <v>SMT</v>
          </cell>
          <cell r="C5522">
            <v>1</v>
          </cell>
          <cell r="D5522">
            <v>15</v>
          </cell>
        </row>
        <row r="5523">
          <cell r="A5523" t="str">
            <v>1AE1H603L3J80P1-PP</v>
          </cell>
          <cell r="B5523" t="str">
            <v>SMT</v>
          </cell>
          <cell r="C5523">
            <v>1</v>
          </cell>
          <cell r="D5523" t="e">
            <v>#N/A</v>
          </cell>
        </row>
        <row r="5524">
          <cell r="A5524" t="str">
            <v>1AE1J603L3J8AP2</v>
          </cell>
          <cell r="B5524" t="str">
            <v>SMT</v>
          </cell>
          <cell r="C5524">
            <v>1</v>
          </cell>
          <cell r="D5524">
            <v>11</v>
          </cell>
        </row>
        <row r="5525">
          <cell r="A5525" t="str">
            <v>1CM1A603Y-3J8A</v>
          </cell>
          <cell r="B5525" t="str">
            <v>SMT</v>
          </cell>
          <cell r="C5525">
            <v>1</v>
          </cell>
          <cell r="D5525">
            <v>48</v>
          </cell>
          <cell r="E5525">
            <v>6210</v>
          </cell>
          <cell r="F5525" t="str">
            <v>VG01</v>
          </cell>
          <cell r="G5525" t="str">
            <v>Auto</v>
          </cell>
          <cell r="H5525">
            <v>311</v>
          </cell>
          <cell r="I5525">
            <v>6210</v>
          </cell>
          <cell r="J5525">
            <v>6220</v>
          </cell>
          <cell r="K5525" t="str">
            <v>VG01</v>
          </cell>
        </row>
        <row r="5526">
          <cell r="A5526" t="str">
            <v>1CM1H603L3J80P1-PP</v>
          </cell>
          <cell r="B5526" t="str">
            <v>SMT</v>
          </cell>
          <cell r="C5526">
            <v>1</v>
          </cell>
          <cell r="D5526" t="e">
            <v>#N/A</v>
          </cell>
          <cell r="E5526">
            <v>6210</v>
          </cell>
          <cell r="F5526" t="str">
            <v>VG01</v>
          </cell>
          <cell r="G5526" t="str">
            <v>Auto</v>
          </cell>
          <cell r="H5526">
            <v>311</v>
          </cell>
          <cell r="I5526">
            <v>6210</v>
          </cell>
          <cell r="J5526">
            <v>6220</v>
          </cell>
          <cell r="K5526" t="str">
            <v>VG01</v>
          </cell>
        </row>
        <row r="5527">
          <cell r="A5527" t="str">
            <v>1CM1J603L3J8AP2</v>
          </cell>
          <cell r="B5527" t="str">
            <v>SMT</v>
          </cell>
          <cell r="C5527">
            <v>1</v>
          </cell>
          <cell r="D5527">
            <v>101</v>
          </cell>
          <cell r="E5527">
            <v>6210</v>
          </cell>
          <cell r="F5527" t="str">
            <v>VG01</v>
          </cell>
          <cell r="G5527" t="str">
            <v>Auto</v>
          </cell>
          <cell r="H5527">
            <v>311</v>
          </cell>
          <cell r="I5527">
            <v>6210</v>
          </cell>
          <cell r="J5527">
            <v>6220</v>
          </cell>
          <cell r="K5527" t="str">
            <v>VG01</v>
          </cell>
        </row>
        <row r="5528">
          <cell r="A5528" t="str">
            <v>1HT1A603Y-3J8A</v>
          </cell>
          <cell r="B5528" t="str">
            <v>SMT</v>
          </cell>
          <cell r="C5528">
            <v>1</v>
          </cell>
          <cell r="D5528">
            <v>20</v>
          </cell>
        </row>
        <row r="5529">
          <cell r="A5529" t="str">
            <v>1RE1A605S-3J8A</v>
          </cell>
          <cell r="B5529" t="str">
            <v>SMT</v>
          </cell>
          <cell r="C5529">
            <v>1</v>
          </cell>
          <cell r="D5529">
            <v>3</v>
          </cell>
          <cell r="E5529">
            <v>6210</v>
          </cell>
          <cell r="F5529" t="str">
            <v>VG01</v>
          </cell>
          <cell r="G5529" t="str">
            <v>Auto</v>
          </cell>
          <cell r="H5529">
            <v>311</v>
          </cell>
          <cell r="I5529">
            <v>6210</v>
          </cell>
          <cell r="J5529">
            <v>6220</v>
          </cell>
          <cell r="K5529" t="str">
            <v>VG01</v>
          </cell>
        </row>
        <row r="5530">
          <cell r="A5530" t="str">
            <v>1RE1A607B3J80P1-PP</v>
          </cell>
          <cell r="B5530" t="str">
            <v>SMT</v>
          </cell>
          <cell r="C5530">
            <v>1</v>
          </cell>
          <cell r="D5530" t="e">
            <v>#N/A</v>
          </cell>
        </row>
        <row r="5531">
          <cell r="A5531" t="str">
            <v>1RE1A607B3J8AP2</v>
          </cell>
          <cell r="B5531" t="str">
            <v>SMT</v>
          </cell>
          <cell r="C5531">
            <v>1</v>
          </cell>
          <cell r="D5531">
            <v>180</v>
          </cell>
        </row>
        <row r="5532">
          <cell r="A5532" t="str">
            <v>1RE1A608B-3J8A</v>
          </cell>
          <cell r="B5532" t="str">
            <v>SMT</v>
          </cell>
          <cell r="C5532">
            <v>1</v>
          </cell>
          <cell r="D5532">
            <v>3</v>
          </cell>
        </row>
        <row r="5533">
          <cell r="A5533" t="str">
            <v>1RE1CM470</v>
          </cell>
          <cell r="B5533" t="str">
            <v>SMT</v>
          </cell>
          <cell r="C5533">
            <v>1</v>
          </cell>
          <cell r="D5533">
            <v>53</v>
          </cell>
          <cell r="E5533">
            <v>9210</v>
          </cell>
          <cell r="F5533" t="str">
            <v>VE01</v>
          </cell>
          <cell r="G5533" t="str">
            <v>Auto</v>
          </cell>
          <cell r="H5533">
            <v>311</v>
          </cell>
          <cell r="I5533">
            <v>9210</v>
          </cell>
          <cell r="J5533">
            <v>9340</v>
          </cell>
          <cell r="K5533" t="str">
            <v>VE01</v>
          </cell>
        </row>
        <row r="5534">
          <cell r="A5534" t="str">
            <v>1RE1CR480</v>
          </cell>
          <cell r="B5534" t="str">
            <v>SMT</v>
          </cell>
          <cell r="C5534">
            <v>1</v>
          </cell>
          <cell r="D5534">
            <v>27</v>
          </cell>
        </row>
        <row r="5535">
          <cell r="A5535" t="str">
            <v>1RE1H603L3J80P1-PP</v>
          </cell>
          <cell r="B5535" t="str">
            <v>SMT</v>
          </cell>
          <cell r="C5535">
            <v>1</v>
          </cell>
          <cell r="D5535" t="e">
            <v>#N/A</v>
          </cell>
        </row>
        <row r="5536">
          <cell r="A5536" t="str">
            <v>1RE1J603L3J8AP2</v>
          </cell>
          <cell r="B5536" t="str">
            <v>SMT</v>
          </cell>
          <cell r="C5536">
            <v>1</v>
          </cell>
          <cell r="D5536">
            <v>116</v>
          </cell>
        </row>
        <row r="5537">
          <cell r="A5537" t="str">
            <v>1RE1J605Q3J80P1PP</v>
          </cell>
          <cell r="B5537" t="str">
            <v>SMT</v>
          </cell>
          <cell r="C5537">
            <v>1</v>
          </cell>
          <cell r="D5537">
            <v>102</v>
          </cell>
        </row>
        <row r="5538">
          <cell r="A5538" t="str">
            <v>1RE1J605Q3J8AP2</v>
          </cell>
          <cell r="B5538" t="str">
            <v>SMT</v>
          </cell>
          <cell r="C5538">
            <v>1</v>
          </cell>
          <cell r="D5538">
            <v>60</v>
          </cell>
          <cell r="E5538">
            <v>6210</v>
          </cell>
          <cell r="F5538" t="str">
            <v>VG01</v>
          </cell>
          <cell r="G5538" t="str">
            <v>Auto</v>
          </cell>
          <cell r="H5538">
            <v>311</v>
          </cell>
          <cell r="I5538">
            <v>6210</v>
          </cell>
          <cell r="J5538">
            <v>6220</v>
          </cell>
          <cell r="K5538" t="str">
            <v>VG01</v>
          </cell>
        </row>
        <row r="5539">
          <cell r="A5539" t="str">
            <v>1RE1SE200DAN</v>
          </cell>
          <cell r="B5539" t="str">
            <v>SMT</v>
          </cell>
          <cell r="C5539">
            <v>1</v>
          </cell>
          <cell r="D5539">
            <v>163</v>
          </cell>
        </row>
        <row r="5540">
          <cell r="A5540" t="str">
            <v>1RE1SR202DAN</v>
          </cell>
          <cell r="B5540" t="str">
            <v>SMT</v>
          </cell>
          <cell r="C5540">
            <v>1</v>
          </cell>
          <cell r="D5540">
            <v>460</v>
          </cell>
        </row>
        <row r="5541">
          <cell r="A5541" t="str">
            <v>1RE1ST600</v>
          </cell>
          <cell r="B5541" t="str">
            <v>SMT</v>
          </cell>
          <cell r="C5541">
            <v>1</v>
          </cell>
          <cell r="D5541">
            <v>155</v>
          </cell>
        </row>
        <row r="5542">
          <cell r="A5542" t="str">
            <v>1RE1ST600P</v>
          </cell>
          <cell r="B5542" t="str">
            <v>SMT</v>
          </cell>
          <cell r="C5542">
            <v>1</v>
          </cell>
          <cell r="D5542">
            <v>155</v>
          </cell>
        </row>
        <row r="5543">
          <cell r="A5543" t="str">
            <v>1RE1ST700</v>
          </cell>
          <cell r="B5543" t="str">
            <v>SMT</v>
          </cell>
          <cell r="C5543">
            <v>1</v>
          </cell>
          <cell r="D5543">
            <v>152</v>
          </cell>
        </row>
        <row r="5544">
          <cell r="A5544" t="str">
            <v>1RE1ST700P</v>
          </cell>
          <cell r="B5544" t="str">
            <v>SMT</v>
          </cell>
          <cell r="C5544">
            <v>1</v>
          </cell>
          <cell r="D5544">
            <v>152</v>
          </cell>
        </row>
        <row r="5545">
          <cell r="A5545" t="str">
            <v>1RE1SZ600</v>
          </cell>
          <cell r="B5545" t="str">
            <v>SMT</v>
          </cell>
          <cell r="C5545">
            <v>1</v>
          </cell>
          <cell r="D5545">
            <v>130</v>
          </cell>
        </row>
        <row r="5546">
          <cell r="A5546" t="str">
            <v>1RE2A607B3J80P1-PP</v>
          </cell>
          <cell r="B5546" t="str">
            <v>SMT</v>
          </cell>
          <cell r="C5546">
            <v>1</v>
          </cell>
          <cell r="D5546" t="e">
            <v>#N/A</v>
          </cell>
          <cell r="E5546">
            <v>6210</v>
          </cell>
          <cell r="F5546" t="str">
            <v>VG01</v>
          </cell>
          <cell r="G5546" t="str">
            <v>Auto</v>
          </cell>
          <cell r="H5546">
            <v>311</v>
          </cell>
          <cell r="I5546">
            <v>6210</v>
          </cell>
          <cell r="J5546">
            <v>6220</v>
          </cell>
          <cell r="K5546" t="str">
            <v>VG01</v>
          </cell>
        </row>
        <row r="5547">
          <cell r="A5547" t="str">
            <v>1RE2A607B3J8AP2</v>
          </cell>
          <cell r="B5547" t="str">
            <v>SMT</v>
          </cell>
          <cell r="C5547">
            <v>1</v>
          </cell>
          <cell r="D5547">
            <v>300</v>
          </cell>
          <cell r="E5547">
            <v>6210</v>
          </cell>
          <cell r="F5547" t="str">
            <v>VG01</v>
          </cell>
          <cell r="G5547" t="str">
            <v>Auto</v>
          </cell>
          <cell r="H5547">
            <v>311</v>
          </cell>
          <cell r="I5547">
            <v>6210</v>
          </cell>
          <cell r="J5547">
            <v>6220</v>
          </cell>
          <cell r="K5547" t="str">
            <v>VG01</v>
          </cell>
        </row>
        <row r="5548">
          <cell r="A5548" t="str">
            <v>1RE2A608B-3J8A</v>
          </cell>
          <cell r="B5548" t="str">
            <v>SMT</v>
          </cell>
          <cell r="C5548">
            <v>1</v>
          </cell>
          <cell r="D5548">
            <v>1</v>
          </cell>
          <cell r="E5548">
            <v>6210</v>
          </cell>
          <cell r="F5548" t="str">
            <v>VG01</v>
          </cell>
          <cell r="G5548" t="str">
            <v>Auto</v>
          </cell>
          <cell r="H5548">
            <v>311</v>
          </cell>
          <cell r="I5548">
            <v>6210</v>
          </cell>
          <cell r="J5548">
            <v>6310</v>
          </cell>
          <cell r="K5548" t="str">
            <v>VG01</v>
          </cell>
        </row>
        <row r="5549">
          <cell r="A5549" t="str">
            <v>1RE2CR480</v>
          </cell>
          <cell r="B5549" t="str">
            <v>SMT</v>
          </cell>
          <cell r="C5549">
            <v>1</v>
          </cell>
          <cell r="D5549">
            <v>59</v>
          </cell>
          <cell r="E5549">
            <v>9210</v>
          </cell>
          <cell r="F5549" t="str">
            <v>VE01</v>
          </cell>
          <cell r="G5549" t="str">
            <v>Auto</v>
          </cell>
          <cell r="H5549">
            <v>311</v>
          </cell>
          <cell r="I5549">
            <v>9210</v>
          </cell>
          <cell r="J5549">
            <v>9340</v>
          </cell>
          <cell r="K5549" t="str">
            <v>VE01</v>
          </cell>
        </row>
        <row r="5550">
          <cell r="A5550" t="str">
            <v>1RE2J605Q3J80P1PP</v>
          </cell>
          <cell r="B5550" t="str">
            <v>SMT</v>
          </cell>
          <cell r="C5550">
            <v>1</v>
          </cell>
          <cell r="D5550">
            <v>12</v>
          </cell>
          <cell r="E5550">
            <v>6210</v>
          </cell>
          <cell r="F5550" t="str">
            <v>VG01</v>
          </cell>
          <cell r="G5550" t="str">
            <v>Auto</v>
          </cell>
          <cell r="H5550">
            <v>311</v>
          </cell>
          <cell r="I5550">
            <v>6210</v>
          </cell>
          <cell r="J5550">
            <v>6220</v>
          </cell>
          <cell r="K5550" t="str">
            <v>VG01</v>
          </cell>
        </row>
        <row r="5551">
          <cell r="A5551" t="str">
            <v>1RE2SE200DAN</v>
          </cell>
          <cell r="B5551" t="str">
            <v>SMT</v>
          </cell>
          <cell r="C5551">
            <v>1</v>
          </cell>
          <cell r="D5551">
            <v>405</v>
          </cell>
          <cell r="E5551">
            <v>9210</v>
          </cell>
          <cell r="F5551" t="str">
            <v>VE01</v>
          </cell>
          <cell r="G5551" t="str">
            <v>Auto</v>
          </cell>
          <cell r="H5551">
            <v>311</v>
          </cell>
          <cell r="I5551">
            <v>9210</v>
          </cell>
          <cell r="J5551">
            <v>9220</v>
          </cell>
          <cell r="K5551" t="str">
            <v>VE01</v>
          </cell>
        </row>
        <row r="5552">
          <cell r="A5552" t="str">
            <v>1RE2SR202DAN</v>
          </cell>
          <cell r="B5552" t="str">
            <v>SMT</v>
          </cell>
          <cell r="C5552">
            <v>1</v>
          </cell>
          <cell r="D5552">
            <v>546</v>
          </cell>
          <cell r="E5552">
            <v>9210</v>
          </cell>
          <cell r="F5552" t="str">
            <v>VE01</v>
          </cell>
          <cell r="G5552" t="str">
            <v>Auto</v>
          </cell>
          <cell r="H5552">
            <v>311</v>
          </cell>
          <cell r="I5552">
            <v>9210</v>
          </cell>
          <cell r="J5552">
            <v>9220</v>
          </cell>
          <cell r="K5552" t="str">
            <v>VE01</v>
          </cell>
        </row>
        <row r="5553">
          <cell r="A5553" t="str">
            <v>1RE2ST600</v>
          </cell>
          <cell r="B5553" t="str">
            <v>SMT</v>
          </cell>
          <cell r="C5553">
            <v>1</v>
          </cell>
          <cell r="D5553">
            <v>257</v>
          </cell>
          <cell r="E5553">
            <v>9210</v>
          </cell>
          <cell r="F5553" t="str">
            <v>VE01</v>
          </cell>
          <cell r="G5553" t="str">
            <v>Auto</v>
          </cell>
          <cell r="H5553">
            <v>311</v>
          </cell>
          <cell r="I5553">
            <v>9210</v>
          </cell>
          <cell r="J5553">
            <v>9340</v>
          </cell>
          <cell r="K5553" t="str">
            <v>VE01</v>
          </cell>
        </row>
        <row r="5554">
          <cell r="A5554" t="str">
            <v>1RE2ST600P</v>
          </cell>
          <cell r="B5554" t="str">
            <v>SMT</v>
          </cell>
          <cell r="C5554">
            <v>1</v>
          </cell>
          <cell r="D5554">
            <v>257</v>
          </cell>
          <cell r="E5554">
            <v>9210</v>
          </cell>
          <cell r="F5554" t="str">
            <v>VE01</v>
          </cell>
          <cell r="G5554" t="str">
            <v>Auto</v>
          </cell>
          <cell r="H5554">
            <v>311</v>
          </cell>
          <cell r="I5554">
            <v>9210</v>
          </cell>
          <cell r="J5554">
            <v>9340</v>
          </cell>
          <cell r="K5554" t="str">
            <v>VE01</v>
          </cell>
        </row>
        <row r="5555">
          <cell r="A5555" t="str">
            <v>1RE2ST700</v>
          </cell>
          <cell r="B5555" t="str">
            <v>SMT</v>
          </cell>
          <cell r="C5555">
            <v>1</v>
          </cell>
          <cell r="D5555">
            <v>226</v>
          </cell>
          <cell r="E5555">
            <v>9210</v>
          </cell>
          <cell r="F5555" t="str">
            <v>VE01</v>
          </cell>
          <cell r="G5555" t="str">
            <v>Auto</v>
          </cell>
          <cell r="H5555">
            <v>311</v>
          </cell>
          <cell r="I5555">
            <v>9210</v>
          </cell>
          <cell r="J5555">
            <v>9340</v>
          </cell>
          <cell r="K5555" t="str">
            <v>VE01</v>
          </cell>
        </row>
        <row r="5556">
          <cell r="A5556" t="str">
            <v>1RE2ST700P</v>
          </cell>
          <cell r="B5556" t="str">
            <v>SMT</v>
          </cell>
          <cell r="C5556">
            <v>1</v>
          </cell>
          <cell r="D5556">
            <v>226</v>
          </cell>
          <cell r="E5556">
            <v>9210</v>
          </cell>
          <cell r="F5556" t="str">
            <v>VE01</v>
          </cell>
          <cell r="G5556" t="str">
            <v>Auto</v>
          </cell>
          <cell r="H5556">
            <v>311</v>
          </cell>
          <cell r="I5556">
            <v>9210</v>
          </cell>
          <cell r="J5556">
            <v>9340</v>
          </cell>
          <cell r="K5556" t="str">
            <v>VE01</v>
          </cell>
        </row>
        <row r="5557">
          <cell r="A5557" t="str">
            <v>1RE2SZ600</v>
          </cell>
          <cell r="B5557" t="str">
            <v>SMT</v>
          </cell>
          <cell r="C5557">
            <v>1</v>
          </cell>
          <cell r="D5557">
            <v>530</v>
          </cell>
          <cell r="E5557">
            <v>9210</v>
          </cell>
          <cell r="F5557" t="str">
            <v>VE01</v>
          </cell>
          <cell r="G5557" t="str">
            <v>Auto</v>
          </cell>
          <cell r="H5557">
            <v>311</v>
          </cell>
          <cell r="I5557">
            <v>9210</v>
          </cell>
          <cell r="J5557">
            <v>9340</v>
          </cell>
          <cell r="K5557" t="str">
            <v>VE01</v>
          </cell>
        </row>
        <row r="5558">
          <cell r="A5558" t="str">
            <v>1RH1A603Y-3J8A</v>
          </cell>
          <cell r="B5558" t="str">
            <v>SMT</v>
          </cell>
          <cell r="C5558">
            <v>1</v>
          </cell>
          <cell r="D5558">
            <v>13</v>
          </cell>
        </row>
        <row r="5559">
          <cell r="A5559" t="str">
            <v>1RH1H603L3J80P1-PP</v>
          </cell>
          <cell r="B5559" t="str">
            <v>SMT</v>
          </cell>
          <cell r="C5559">
            <v>1</v>
          </cell>
          <cell r="D5559" t="e">
            <v>#N/A</v>
          </cell>
        </row>
        <row r="5560">
          <cell r="A5560" t="str">
            <v>1RH1J603L3J8AP2</v>
          </cell>
          <cell r="B5560" t="str">
            <v>SMT</v>
          </cell>
          <cell r="C5560">
            <v>1</v>
          </cell>
          <cell r="D5560">
            <v>9</v>
          </cell>
        </row>
        <row r="5561">
          <cell r="A5561" t="str">
            <v>1TE1A603Y-3J8A</v>
          </cell>
          <cell r="B5561" t="str">
            <v>SMT</v>
          </cell>
          <cell r="C5561">
            <v>1</v>
          </cell>
          <cell r="D5561">
            <v>5</v>
          </cell>
        </row>
        <row r="5562">
          <cell r="A5562" t="str">
            <v>1VJ1CR480</v>
          </cell>
          <cell r="B5562" t="str">
            <v>SMT</v>
          </cell>
          <cell r="C5562">
            <v>1</v>
          </cell>
          <cell r="D5562">
            <v>1</v>
          </cell>
        </row>
        <row r="5563">
          <cell r="A5563" t="str">
            <v>1VJ1SE200DAN</v>
          </cell>
          <cell r="B5563" t="str">
            <v>SMT</v>
          </cell>
          <cell r="C5563">
            <v>1</v>
          </cell>
          <cell r="D5563">
            <v>1</v>
          </cell>
        </row>
        <row r="5564">
          <cell r="A5564" t="str">
            <v>1VJ1SR202DAN</v>
          </cell>
          <cell r="B5564" t="str">
            <v>SMT</v>
          </cell>
          <cell r="C5564">
            <v>1</v>
          </cell>
          <cell r="D5564">
            <v>1</v>
          </cell>
        </row>
        <row r="5565">
          <cell r="A5565" t="str">
            <v>1VJ1ST600</v>
          </cell>
          <cell r="B5565" t="str">
            <v>SMT</v>
          </cell>
          <cell r="C5565">
            <v>1</v>
          </cell>
          <cell r="D5565">
            <v>1</v>
          </cell>
        </row>
        <row r="5566">
          <cell r="A5566" t="str">
            <v>1VJ1ST600P</v>
          </cell>
          <cell r="B5566" t="str">
            <v>SMT</v>
          </cell>
          <cell r="C5566">
            <v>1</v>
          </cell>
          <cell r="D5566">
            <v>1</v>
          </cell>
        </row>
        <row r="5567">
          <cell r="A5567" t="str">
            <v>1VJ1SZ600</v>
          </cell>
          <cell r="B5567" t="str">
            <v>SMT</v>
          </cell>
          <cell r="C5567">
            <v>1</v>
          </cell>
          <cell r="D5567">
            <v>1</v>
          </cell>
        </row>
        <row r="5568">
          <cell r="A5568" t="str">
            <v>2AE1SR202DAN</v>
          </cell>
          <cell r="B5568" t="str">
            <v>SMT</v>
          </cell>
          <cell r="C5568">
            <v>1</v>
          </cell>
          <cell r="D5568">
            <v>1</v>
          </cell>
        </row>
        <row r="5569">
          <cell r="A5569" t="str">
            <v>2RE1SR202DAN</v>
          </cell>
          <cell r="B5569" t="str">
            <v>SMT</v>
          </cell>
          <cell r="C5569">
            <v>1</v>
          </cell>
          <cell r="D5569">
            <v>126</v>
          </cell>
        </row>
        <row r="5570">
          <cell r="A5570" t="str">
            <v>2RH1SR202DAN</v>
          </cell>
          <cell r="B5570" t="str">
            <v>SMT</v>
          </cell>
          <cell r="C5570">
            <v>1</v>
          </cell>
          <cell r="D5570">
            <v>2</v>
          </cell>
          <cell r="E5570">
            <v>9210</v>
          </cell>
          <cell r="F5570" t="str">
            <v>VE01</v>
          </cell>
          <cell r="G5570" t="str">
            <v>Auto</v>
          </cell>
          <cell r="H5570">
            <v>311</v>
          </cell>
          <cell r="I5570">
            <v>9210</v>
          </cell>
          <cell r="J5570">
            <v>9220</v>
          </cell>
          <cell r="K5570" t="str">
            <v>VE01</v>
          </cell>
        </row>
        <row r="5571">
          <cell r="A5571" t="str">
            <v>2VJ1SR202DAN</v>
          </cell>
          <cell r="B5571" t="str">
            <v>SMT</v>
          </cell>
          <cell r="C5571">
            <v>1</v>
          </cell>
          <cell r="D5571">
            <v>1</v>
          </cell>
        </row>
        <row r="5572">
          <cell r="A5572" t="str">
            <v>3RE1SE200DAN</v>
          </cell>
          <cell r="B5572" t="str">
            <v>SMT</v>
          </cell>
          <cell r="C5572">
            <v>1</v>
          </cell>
          <cell r="D5572">
            <v>147</v>
          </cell>
        </row>
        <row r="5573">
          <cell r="A5573" t="str">
            <v>3RE1SR202DAN</v>
          </cell>
          <cell r="B5573" t="str">
            <v>SMT</v>
          </cell>
          <cell r="C5573">
            <v>1</v>
          </cell>
          <cell r="D5573">
            <v>136</v>
          </cell>
        </row>
        <row r="5574">
          <cell r="A5574" t="str">
            <v>3RE1SR204DAN</v>
          </cell>
          <cell r="B5574" t="str">
            <v>SMT</v>
          </cell>
          <cell r="C5574">
            <v>1</v>
          </cell>
          <cell r="D5574">
            <v>147</v>
          </cell>
        </row>
        <row r="5575">
          <cell r="A5575" t="str">
            <v>3RE2SE200DAN</v>
          </cell>
          <cell r="B5575" t="str">
            <v>SMT</v>
          </cell>
          <cell r="C5575">
            <v>1</v>
          </cell>
          <cell r="D5575">
            <v>473</v>
          </cell>
          <cell r="E5575">
            <v>9210</v>
          </cell>
          <cell r="F5575" t="str">
            <v>VE01</v>
          </cell>
          <cell r="G5575" t="str">
            <v>Auto</v>
          </cell>
          <cell r="H5575">
            <v>311</v>
          </cell>
          <cell r="I5575">
            <v>9210</v>
          </cell>
          <cell r="J5575">
            <v>9220</v>
          </cell>
          <cell r="K5575" t="str">
            <v>VE01</v>
          </cell>
        </row>
        <row r="5576">
          <cell r="A5576" t="str">
            <v>3RE2SR202DAN</v>
          </cell>
          <cell r="B5576" t="str">
            <v>SMT</v>
          </cell>
          <cell r="C5576">
            <v>1</v>
          </cell>
          <cell r="D5576">
            <v>418</v>
          </cell>
          <cell r="E5576">
            <v>9210</v>
          </cell>
          <cell r="F5576" t="str">
            <v>VE01</v>
          </cell>
          <cell r="G5576" t="str">
            <v>Auto</v>
          </cell>
          <cell r="H5576">
            <v>311</v>
          </cell>
          <cell r="I5576">
            <v>9210</v>
          </cell>
          <cell r="J5576">
            <v>9220</v>
          </cell>
          <cell r="K5576" t="str">
            <v>VE01</v>
          </cell>
        </row>
        <row r="5577">
          <cell r="A5577" t="str">
            <v>3RE2SR204DAN</v>
          </cell>
          <cell r="B5577" t="str">
            <v>SMT</v>
          </cell>
          <cell r="C5577">
            <v>1</v>
          </cell>
          <cell r="D5577">
            <v>474</v>
          </cell>
          <cell r="E5577">
            <v>9210</v>
          </cell>
          <cell r="F5577" t="str">
            <v>VE01</v>
          </cell>
          <cell r="G5577" t="str">
            <v>Auto</v>
          </cell>
          <cell r="H5577">
            <v>311</v>
          </cell>
          <cell r="I5577">
            <v>9210</v>
          </cell>
          <cell r="J5577">
            <v>9220</v>
          </cell>
          <cell r="K5577" t="str">
            <v>VE01</v>
          </cell>
        </row>
        <row r="5578">
          <cell r="A5578" t="str">
            <v>3VJ1SR202DAN</v>
          </cell>
          <cell r="B5578" t="str">
            <v>SMT</v>
          </cell>
          <cell r="C5578">
            <v>1</v>
          </cell>
          <cell r="D5578">
            <v>1</v>
          </cell>
        </row>
        <row r="5579">
          <cell r="A5579" t="str">
            <v>4RE1SE200DAN</v>
          </cell>
          <cell r="B5579" t="str">
            <v>SMT</v>
          </cell>
          <cell r="C5579">
            <v>1</v>
          </cell>
          <cell r="D5579">
            <v>130</v>
          </cell>
        </row>
        <row r="5580">
          <cell r="A5580" t="str">
            <v>4RE1SR202DAN</v>
          </cell>
          <cell r="B5580" t="str">
            <v>SMT</v>
          </cell>
          <cell r="C5580">
            <v>1</v>
          </cell>
          <cell r="D5580">
            <v>135</v>
          </cell>
        </row>
        <row r="5581">
          <cell r="A5581" t="str">
            <v>4RE1SR204DAN</v>
          </cell>
          <cell r="B5581" t="str">
            <v>SMT</v>
          </cell>
          <cell r="C5581">
            <v>1</v>
          </cell>
          <cell r="D5581">
            <v>184</v>
          </cell>
        </row>
        <row r="5582">
          <cell r="A5582" t="str">
            <v>4RE2SE200DAN</v>
          </cell>
          <cell r="B5582" t="str">
            <v>SMT</v>
          </cell>
          <cell r="C5582">
            <v>1</v>
          </cell>
          <cell r="D5582">
            <v>38</v>
          </cell>
          <cell r="E5582">
            <v>9210</v>
          </cell>
          <cell r="F5582" t="str">
            <v>VE01</v>
          </cell>
          <cell r="G5582" t="str">
            <v>Auto</v>
          </cell>
          <cell r="H5582">
            <v>311</v>
          </cell>
          <cell r="I5582">
            <v>9210</v>
          </cell>
          <cell r="J5582">
            <v>9220</v>
          </cell>
          <cell r="K5582" t="str">
            <v>VE01</v>
          </cell>
        </row>
        <row r="5583">
          <cell r="A5583" t="str">
            <v>4RE2SR202DAN</v>
          </cell>
          <cell r="B5583" t="str">
            <v>SMT</v>
          </cell>
          <cell r="C5583">
            <v>1</v>
          </cell>
          <cell r="D5583">
            <v>33</v>
          </cell>
          <cell r="E5583">
            <v>9210</v>
          </cell>
          <cell r="F5583" t="str">
            <v>VE01</v>
          </cell>
          <cell r="G5583" t="str">
            <v>Auto</v>
          </cell>
          <cell r="H5583">
            <v>311</v>
          </cell>
          <cell r="I5583">
            <v>9210</v>
          </cell>
          <cell r="J5583">
            <v>9220</v>
          </cell>
          <cell r="K5583" t="str">
            <v>VE01</v>
          </cell>
        </row>
        <row r="5584">
          <cell r="A5584" t="str">
            <v>4RE2SR204DAN</v>
          </cell>
          <cell r="B5584" t="str">
            <v>SMT</v>
          </cell>
          <cell r="C5584">
            <v>1</v>
          </cell>
          <cell r="D5584">
            <v>51</v>
          </cell>
          <cell r="E5584">
            <v>9210</v>
          </cell>
          <cell r="F5584" t="str">
            <v>VE01</v>
          </cell>
          <cell r="G5584" t="str">
            <v>Auto</v>
          </cell>
          <cell r="H5584">
            <v>311</v>
          </cell>
          <cell r="I5584">
            <v>9210</v>
          </cell>
          <cell r="J5584">
            <v>9220</v>
          </cell>
          <cell r="K5584" t="str">
            <v>VE01</v>
          </cell>
        </row>
        <row r="5585">
          <cell r="A5585" t="str">
            <v>H62603J80P1</v>
          </cell>
          <cell r="B5585" t="str">
            <v>SMT</v>
          </cell>
          <cell r="C5585">
            <v>1</v>
          </cell>
          <cell r="D5585">
            <v>1</v>
          </cell>
        </row>
        <row r="5586">
          <cell r="A5586" t="str">
            <v>1RE1SE200P-V4</v>
          </cell>
          <cell r="B5586" t="str">
            <v>SMT</v>
          </cell>
          <cell r="C5586">
            <v>1</v>
          </cell>
          <cell r="D5586">
            <v>163</v>
          </cell>
        </row>
        <row r="5587">
          <cell r="A5587" t="str">
            <v>PULB1049YA-XM</v>
          </cell>
          <cell r="B5587" t="str">
            <v>SMT</v>
          </cell>
          <cell r="C5587">
            <v>1</v>
          </cell>
          <cell r="D5587" t="e">
            <v>#N/A</v>
          </cell>
        </row>
        <row r="5588">
          <cell r="A5588" t="str">
            <v>PULB1062ZA-GL</v>
          </cell>
          <cell r="B5588" t="str">
            <v>SMT</v>
          </cell>
          <cell r="C5588">
            <v>1</v>
          </cell>
          <cell r="D5588">
            <v>1</v>
          </cell>
        </row>
        <row r="5589">
          <cell r="A5589" t="str">
            <v>PULB1064ZA-GL</v>
          </cell>
          <cell r="B5589" t="str">
            <v>SMT</v>
          </cell>
          <cell r="C5589">
            <v>1</v>
          </cell>
          <cell r="D5589" t="e">
            <v>#N/A</v>
          </cell>
        </row>
        <row r="5590">
          <cell r="A5590" t="str">
            <v>1AE1H603L3J81P1-PP</v>
          </cell>
          <cell r="B5590" t="str">
            <v>SMT</v>
          </cell>
          <cell r="C5590">
            <v>1</v>
          </cell>
          <cell r="D5590">
            <v>12</v>
          </cell>
        </row>
        <row r="5591">
          <cell r="A5591" t="str">
            <v>1CM1H603L3J81P1-PP</v>
          </cell>
          <cell r="B5591" t="str">
            <v>SMT</v>
          </cell>
          <cell r="C5591">
            <v>1</v>
          </cell>
          <cell r="D5591">
            <v>117</v>
          </cell>
          <cell r="E5591">
            <v>6210</v>
          </cell>
          <cell r="F5591" t="str">
            <v>VG01</v>
          </cell>
          <cell r="G5591" t="str">
            <v>Auto</v>
          </cell>
          <cell r="H5591">
            <v>311</v>
          </cell>
          <cell r="I5591">
            <v>6210</v>
          </cell>
          <cell r="J5591">
            <v>6220</v>
          </cell>
          <cell r="K5591" t="str">
            <v>VG01</v>
          </cell>
        </row>
        <row r="5592">
          <cell r="A5592" t="str">
            <v>1RE1H603L3J81P1-PP</v>
          </cell>
          <cell r="B5592" t="str">
            <v>SMT</v>
          </cell>
          <cell r="C5592">
            <v>1</v>
          </cell>
          <cell r="D5592">
            <v>120</v>
          </cell>
        </row>
        <row r="5593">
          <cell r="A5593" t="str">
            <v>1RH1H603L3J81P1-PP</v>
          </cell>
          <cell r="B5593" t="str">
            <v>SMT</v>
          </cell>
          <cell r="C5593">
            <v>1</v>
          </cell>
          <cell r="D5593">
            <v>10</v>
          </cell>
        </row>
        <row r="5594">
          <cell r="A5594" t="str">
            <v>1RE2LPHDV130C1YA</v>
          </cell>
          <cell r="B5594" t="str">
            <v>SMT</v>
          </cell>
          <cell r="C5594">
            <v>1</v>
          </cell>
          <cell r="D5594">
            <v>338</v>
          </cell>
          <cell r="E5594">
            <v>2210</v>
          </cell>
          <cell r="F5594" t="str">
            <v>VC01</v>
          </cell>
          <cell r="G5594" t="str">
            <v>Auto</v>
          </cell>
          <cell r="H5594">
            <v>311</v>
          </cell>
          <cell r="I5594">
            <v>2210</v>
          </cell>
          <cell r="J5594">
            <v>2220</v>
          </cell>
          <cell r="K5594" t="str">
            <v>VC01</v>
          </cell>
        </row>
        <row r="5595">
          <cell r="A5595" t="str">
            <v>1RE1LPHDV130C1YA</v>
          </cell>
          <cell r="B5595" t="str">
            <v>SMT</v>
          </cell>
          <cell r="C5595">
            <v>1</v>
          </cell>
          <cell r="D5595">
            <v>34</v>
          </cell>
        </row>
        <row r="5596">
          <cell r="A5596" t="str">
            <v>1VJ1LPHDV130C1YA</v>
          </cell>
          <cell r="B5596" t="str">
            <v>SMT</v>
          </cell>
          <cell r="C5596">
            <v>1</v>
          </cell>
          <cell r="D5596" t="e">
            <v>#N/A</v>
          </cell>
        </row>
        <row r="5597">
          <cell r="A5597" t="str">
            <v>1RE2SA250P-V4</v>
          </cell>
          <cell r="B5597" t="str">
            <v>SMT</v>
          </cell>
          <cell r="C5597">
            <v>1</v>
          </cell>
          <cell r="D5597">
            <v>442</v>
          </cell>
          <cell r="E5597">
            <v>9210</v>
          </cell>
          <cell r="F5597" t="str">
            <v>VE01</v>
          </cell>
          <cell r="G5597" t="str">
            <v>Auto</v>
          </cell>
          <cell r="H5597">
            <v>311</v>
          </cell>
          <cell r="I5597">
            <v>9210</v>
          </cell>
          <cell r="J5597">
            <v>9340</v>
          </cell>
          <cell r="K5597" t="str">
            <v>VE01</v>
          </cell>
        </row>
        <row r="5598">
          <cell r="A5598" t="str">
            <v>1RE1SA250P-V4</v>
          </cell>
          <cell r="B5598" t="str">
            <v>SMT</v>
          </cell>
          <cell r="C5598">
            <v>1</v>
          </cell>
          <cell r="D5598">
            <v>326</v>
          </cell>
        </row>
        <row r="5599">
          <cell r="A5599" t="str">
            <v>1VJ1SA250P-V4</v>
          </cell>
          <cell r="B5599" t="str">
            <v>SMT</v>
          </cell>
          <cell r="C5599">
            <v>1</v>
          </cell>
          <cell r="D5599" t="e">
            <v>#N/A</v>
          </cell>
        </row>
        <row r="5600">
          <cell r="A5600" t="str">
            <v>2VJ1SA250P-V4</v>
          </cell>
          <cell r="B5600" t="str">
            <v>SMT</v>
          </cell>
          <cell r="C5600">
            <v>1</v>
          </cell>
          <cell r="D5600" t="e">
            <v>#N/A</v>
          </cell>
        </row>
        <row r="5601">
          <cell r="A5601" t="str">
            <v>PULB1030ZA-XM</v>
          </cell>
          <cell r="B5601" t="str">
            <v>SMT</v>
          </cell>
          <cell r="C5601">
            <v>1</v>
          </cell>
          <cell r="D5601" t="e">
            <v>#N/A</v>
          </cell>
          <cell r="E5601">
            <v>9210</v>
          </cell>
          <cell r="F5601" t="str">
            <v>VE01</v>
          </cell>
          <cell r="G5601" t="str">
            <v>Auto</v>
          </cell>
          <cell r="H5601">
            <v>311</v>
          </cell>
          <cell r="I5601">
            <v>9210</v>
          </cell>
          <cell r="J5601">
            <v>9220</v>
          </cell>
          <cell r="K5601" t="str">
            <v>VE01</v>
          </cell>
        </row>
        <row r="5602">
          <cell r="A5602" t="str">
            <v>3AP1CC411BP</v>
          </cell>
          <cell r="B5602" t="str">
            <v>DIP</v>
          </cell>
          <cell r="C5602">
            <v>1</v>
          </cell>
          <cell r="D5602" t="e">
            <v>#N/A</v>
          </cell>
        </row>
        <row r="5603">
          <cell r="A5603" t="str">
            <v>1RE2SE200P-V4</v>
          </cell>
          <cell r="B5603" t="str">
            <v>SMT</v>
          </cell>
          <cell r="C5603">
            <v>1</v>
          </cell>
          <cell r="D5603">
            <v>407</v>
          </cell>
          <cell r="E5603">
            <v>9210</v>
          </cell>
          <cell r="F5603" t="str">
            <v>VE01</v>
          </cell>
          <cell r="G5603" t="str">
            <v>Auto</v>
          </cell>
          <cell r="H5603">
            <v>311</v>
          </cell>
          <cell r="I5603">
            <v>9210</v>
          </cell>
          <cell r="J5603">
            <v>9220</v>
          </cell>
          <cell r="K5603" t="str">
            <v>VE01</v>
          </cell>
        </row>
        <row r="5604">
          <cell r="A5604" t="str">
            <v>1RE1ST400P-V4</v>
          </cell>
          <cell r="B5604" t="str">
            <v>SMT</v>
          </cell>
          <cell r="C5604">
            <v>1</v>
          </cell>
          <cell r="D5604">
            <v>114</v>
          </cell>
        </row>
        <row r="5605">
          <cell r="A5605" t="str">
            <v>3AP1CC411BPZA</v>
          </cell>
          <cell r="B5605" t="str">
            <v>DIP</v>
          </cell>
          <cell r="C5605">
            <v>1</v>
          </cell>
          <cell r="D5605" t="e">
            <v>#N/A</v>
          </cell>
        </row>
        <row r="5606">
          <cell r="A5606" t="str">
            <v>1RE2ST400P-V4</v>
          </cell>
          <cell r="B5606" t="str">
            <v>SMT</v>
          </cell>
          <cell r="C5606">
            <v>1</v>
          </cell>
          <cell r="D5606">
            <v>168</v>
          </cell>
          <cell r="E5606">
            <v>9210</v>
          </cell>
          <cell r="F5606" t="str">
            <v>VE01</v>
          </cell>
          <cell r="G5606" t="str">
            <v>Auto</v>
          </cell>
          <cell r="H5606">
            <v>311</v>
          </cell>
          <cell r="I5606">
            <v>9210</v>
          </cell>
          <cell r="J5606">
            <v>9340</v>
          </cell>
          <cell r="K5606" t="str">
            <v>VE01</v>
          </cell>
        </row>
        <row r="5607">
          <cell r="A5607" t="str">
            <v>PGLB2134ZA-XM</v>
          </cell>
          <cell r="B5607" t="str">
            <v>SMT</v>
          </cell>
          <cell r="C5607">
            <v>1</v>
          </cell>
          <cell r="D5607">
            <v>1</v>
          </cell>
        </row>
        <row r="5608">
          <cell r="A5608" t="str">
            <v>1VJ1ST400P-V4</v>
          </cell>
          <cell r="C5608">
            <v>1</v>
          </cell>
          <cell r="D5608" t="e">
            <v>#N/A</v>
          </cell>
        </row>
        <row r="5609">
          <cell r="A5609" t="str">
            <v>3AP1CC411BPZB</v>
          </cell>
          <cell r="B5609" t="str">
            <v>SMT</v>
          </cell>
          <cell r="C5609">
            <v>1</v>
          </cell>
          <cell r="D5609" t="e">
            <v>#N/A</v>
          </cell>
        </row>
        <row r="5610">
          <cell r="A5610" t="str">
            <v>1AE1A603L3G8ABP-P1</v>
          </cell>
          <cell r="B5610" t="str">
            <v>SMT</v>
          </cell>
          <cell r="C5610">
            <v>1</v>
          </cell>
          <cell r="D5610">
            <v>115</v>
          </cell>
          <cell r="E5610">
            <v>0</v>
          </cell>
          <cell r="F5610">
            <v>0</v>
          </cell>
          <cell r="G5610">
            <v>0</v>
          </cell>
          <cell r="H5610">
            <v>0</v>
          </cell>
          <cell r="I5610">
            <v>0</v>
          </cell>
          <cell r="J5610">
            <v>0</v>
          </cell>
          <cell r="K5610">
            <v>0</v>
          </cell>
        </row>
        <row r="5611">
          <cell r="A5611" t="str">
            <v>1AE1A603L3G8AAP-P1</v>
          </cell>
          <cell r="B5611" t="str">
            <v>SMT</v>
          </cell>
          <cell r="C5611">
            <v>1</v>
          </cell>
          <cell r="D5611">
            <v>133</v>
          </cell>
        </row>
        <row r="5612">
          <cell r="A5612" t="str">
            <v>1AE1A603L-3G9A-P1</v>
          </cell>
          <cell r="B5612" t="str">
            <v>SMT</v>
          </cell>
          <cell r="C5612">
            <v>1</v>
          </cell>
          <cell r="D5612">
            <v>93</v>
          </cell>
        </row>
        <row r="5613">
          <cell r="A5613" t="str">
            <v>1AE1A603L3G8AYP-P1</v>
          </cell>
          <cell r="B5613" t="str">
            <v>SMT</v>
          </cell>
          <cell r="C5613">
            <v>1</v>
          </cell>
          <cell r="D5613">
            <v>115</v>
          </cell>
        </row>
        <row r="5614">
          <cell r="A5614" t="str">
            <v>1AE1A603L3G9AP1-P1</v>
          </cell>
          <cell r="B5614" t="str">
            <v>SMT</v>
          </cell>
          <cell r="C5614">
            <v>1</v>
          </cell>
          <cell r="D5614">
            <v>93</v>
          </cell>
        </row>
        <row r="5615">
          <cell r="A5615" t="str">
            <v>1HT1A603L3G8ABP-P1</v>
          </cell>
          <cell r="B5615" t="str">
            <v>SMT</v>
          </cell>
          <cell r="C5615">
            <v>1</v>
          </cell>
          <cell r="D5615">
            <v>19</v>
          </cell>
        </row>
        <row r="5616">
          <cell r="A5616" t="str">
            <v>1TE1A603L3G8ABP-P1</v>
          </cell>
          <cell r="B5616" t="str">
            <v>SMT</v>
          </cell>
          <cell r="C5616">
            <v>1</v>
          </cell>
          <cell r="D5616">
            <v>7</v>
          </cell>
        </row>
        <row r="5617">
          <cell r="A5617" t="str">
            <v>1HT1A603L3G8AAP-P1</v>
          </cell>
          <cell r="B5617" t="str">
            <v>SMT</v>
          </cell>
          <cell r="C5617">
            <v>1</v>
          </cell>
          <cell r="D5617">
            <v>18</v>
          </cell>
        </row>
        <row r="5618">
          <cell r="A5618" t="str">
            <v>1TE1A603L3G8AAP-P1</v>
          </cell>
          <cell r="B5618" t="str">
            <v>SMT</v>
          </cell>
          <cell r="C5618">
            <v>1</v>
          </cell>
          <cell r="D5618">
            <v>3</v>
          </cell>
        </row>
        <row r="5619">
          <cell r="A5619" t="str">
            <v>1HT1A603L-3G9A-P1</v>
          </cell>
          <cell r="B5619" t="str">
            <v>SMT</v>
          </cell>
          <cell r="C5619">
            <v>1</v>
          </cell>
          <cell r="D5619">
            <v>19</v>
          </cell>
        </row>
        <row r="5620">
          <cell r="A5620" t="str">
            <v>1HT1A603L3G8AYP-P1</v>
          </cell>
          <cell r="B5620" t="str">
            <v>SMT</v>
          </cell>
          <cell r="C5620">
            <v>1</v>
          </cell>
          <cell r="D5620">
            <v>19</v>
          </cell>
        </row>
        <row r="5621">
          <cell r="A5621" t="str">
            <v>1HT1A603L3G9AP1-P1</v>
          </cell>
          <cell r="B5621" t="str">
            <v>SMT</v>
          </cell>
          <cell r="C5621">
            <v>1</v>
          </cell>
          <cell r="D5621">
            <v>19</v>
          </cell>
        </row>
        <row r="5622">
          <cell r="A5622" t="str">
            <v>1TE1A603L-3G9A-P1</v>
          </cell>
          <cell r="B5622" t="str">
            <v>SMT</v>
          </cell>
          <cell r="C5622">
            <v>1</v>
          </cell>
          <cell r="D5622">
            <v>7</v>
          </cell>
        </row>
        <row r="5623">
          <cell r="A5623" t="str">
            <v>1TE1A603L3G8AYP-P1</v>
          </cell>
          <cell r="B5623" t="str">
            <v>SMT</v>
          </cell>
          <cell r="C5623">
            <v>1</v>
          </cell>
          <cell r="D5623">
            <v>7</v>
          </cell>
        </row>
        <row r="5624">
          <cell r="A5624" t="str">
            <v>1TE1A603L3G9AP1-P1</v>
          </cell>
          <cell r="B5624" t="str">
            <v>SMT</v>
          </cell>
          <cell r="C5624">
            <v>1</v>
          </cell>
          <cell r="D5624">
            <v>7</v>
          </cell>
        </row>
        <row r="5625">
          <cell r="A5625" t="str">
            <v>1RH1A603L3G8ABP-P1</v>
          </cell>
          <cell r="B5625" t="str">
            <v>SMT</v>
          </cell>
          <cell r="C5625">
            <v>1</v>
          </cell>
          <cell r="D5625">
            <v>15</v>
          </cell>
        </row>
        <row r="5626">
          <cell r="A5626" t="str">
            <v>1RH1A603L3G8AAP-P1</v>
          </cell>
          <cell r="B5626" t="str">
            <v>SMT</v>
          </cell>
          <cell r="C5626">
            <v>1</v>
          </cell>
          <cell r="D5626">
            <v>16</v>
          </cell>
        </row>
        <row r="5627">
          <cell r="A5627" t="str">
            <v>1RH1A603L-3G9A-P1</v>
          </cell>
          <cell r="B5627" t="str">
            <v>SMT</v>
          </cell>
          <cell r="C5627">
            <v>1</v>
          </cell>
          <cell r="D5627">
            <v>15</v>
          </cell>
        </row>
        <row r="5628">
          <cell r="A5628" t="str">
            <v>1RH1A603L3G8AYP-P1</v>
          </cell>
          <cell r="B5628" t="str">
            <v>SMT</v>
          </cell>
          <cell r="C5628">
            <v>1</v>
          </cell>
          <cell r="D5628">
            <v>15</v>
          </cell>
        </row>
        <row r="5629">
          <cell r="A5629" t="str">
            <v>1RH1A603L3G9AP1-P1</v>
          </cell>
          <cell r="B5629" t="str">
            <v>SMT</v>
          </cell>
          <cell r="C5629">
            <v>1</v>
          </cell>
          <cell r="D5629">
            <v>15</v>
          </cell>
        </row>
        <row r="5630">
          <cell r="A5630" t="str">
            <v>1VJ1A605Q3G8AAP-P1</v>
          </cell>
          <cell r="B5630" t="str">
            <v>SMT</v>
          </cell>
          <cell r="C5630">
            <v>1</v>
          </cell>
          <cell r="D5630" t="e">
            <v>#N/A</v>
          </cell>
        </row>
        <row r="5631">
          <cell r="A5631" t="str">
            <v>1VJ2A605Q3G8AAP-P1</v>
          </cell>
          <cell r="B5631" t="str">
            <v>SMT</v>
          </cell>
          <cell r="C5631">
            <v>1</v>
          </cell>
          <cell r="D5631" t="e">
            <v>#N/A</v>
          </cell>
        </row>
        <row r="5632">
          <cell r="A5632" t="str">
            <v>1VJ1A605Q-3G8A-P1</v>
          </cell>
          <cell r="B5632" t="str">
            <v>SMT</v>
          </cell>
          <cell r="C5632">
            <v>1</v>
          </cell>
          <cell r="D5632" t="e">
            <v>#N/A</v>
          </cell>
        </row>
        <row r="5633">
          <cell r="A5633" t="str">
            <v>1VJ2A605Q-3G8A-P1</v>
          </cell>
          <cell r="B5633" t="str">
            <v>SMT</v>
          </cell>
          <cell r="C5633">
            <v>1</v>
          </cell>
          <cell r="D5633" t="e">
            <v>#N/A</v>
          </cell>
        </row>
        <row r="5634">
          <cell r="A5634" t="str">
            <v>1VJ1A605Q-3G9A-P1</v>
          </cell>
          <cell r="B5634" t="str">
            <v>SMT</v>
          </cell>
          <cell r="C5634">
            <v>1</v>
          </cell>
          <cell r="D5634" t="e">
            <v>#N/A</v>
          </cell>
        </row>
        <row r="5635">
          <cell r="A5635" t="str">
            <v>1VJ2A605Q-3G9A-P1</v>
          </cell>
          <cell r="B5635" t="str">
            <v>SMT</v>
          </cell>
          <cell r="C5635">
            <v>1</v>
          </cell>
          <cell r="D5635" t="e">
            <v>#N/A</v>
          </cell>
        </row>
        <row r="5636">
          <cell r="A5636" t="str">
            <v>1VJ1A605Q3G8ABP-P1</v>
          </cell>
          <cell r="B5636" t="str">
            <v>SMT</v>
          </cell>
          <cell r="C5636">
            <v>1</v>
          </cell>
          <cell r="D5636" t="e">
            <v>#N/A</v>
          </cell>
        </row>
        <row r="5637">
          <cell r="A5637" t="str">
            <v>1VJ2A605Q3G8ABP-P1</v>
          </cell>
          <cell r="B5637" t="str">
            <v>SMT</v>
          </cell>
          <cell r="C5637">
            <v>1</v>
          </cell>
          <cell r="D5637" t="e">
            <v>#N/A</v>
          </cell>
        </row>
        <row r="5638">
          <cell r="A5638" t="str">
            <v>1CM1A603L3G8ABP-P1</v>
          </cell>
          <cell r="B5638" t="str">
            <v>SMT</v>
          </cell>
          <cell r="C5638">
            <v>1</v>
          </cell>
          <cell r="D5638">
            <v>391</v>
          </cell>
          <cell r="E5638">
            <v>6210</v>
          </cell>
          <cell r="F5638" t="str">
            <v>VG01</v>
          </cell>
          <cell r="G5638" t="str">
            <v>Auto</v>
          </cell>
          <cell r="H5638">
            <v>311</v>
          </cell>
          <cell r="I5638">
            <v>6210</v>
          </cell>
          <cell r="J5638">
            <v>6220</v>
          </cell>
          <cell r="K5638" t="str">
            <v>VG01</v>
          </cell>
        </row>
        <row r="5639">
          <cell r="A5639" t="str">
            <v>1CM1A603L3G8AAP-P1</v>
          </cell>
          <cell r="B5639" t="str">
            <v>SMT</v>
          </cell>
          <cell r="C5639">
            <v>1</v>
          </cell>
          <cell r="D5639">
            <v>328</v>
          </cell>
          <cell r="E5639">
            <v>6210</v>
          </cell>
          <cell r="F5639" t="str">
            <v>VG01</v>
          </cell>
          <cell r="G5639" t="str">
            <v>Auto</v>
          </cell>
          <cell r="H5639">
            <v>311</v>
          </cell>
          <cell r="I5639">
            <v>6210</v>
          </cell>
          <cell r="J5639">
            <v>6220</v>
          </cell>
          <cell r="K5639" t="str">
            <v>VG01</v>
          </cell>
        </row>
        <row r="5640">
          <cell r="A5640" t="str">
            <v>1CM1A603L-3G9A-P1</v>
          </cell>
          <cell r="B5640" t="str">
            <v>SMT</v>
          </cell>
          <cell r="C5640">
            <v>1</v>
          </cell>
          <cell r="D5640">
            <v>230</v>
          </cell>
          <cell r="E5640">
            <v>6210</v>
          </cell>
          <cell r="F5640" t="str">
            <v>VG01</v>
          </cell>
          <cell r="G5640" t="str">
            <v>Auto</v>
          </cell>
          <cell r="H5640">
            <v>311</v>
          </cell>
          <cell r="I5640">
            <v>6210</v>
          </cell>
          <cell r="J5640">
            <v>6220</v>
          </cell>
          <cell r="K5640" t="str">
            <v>VG01</v>
          </cell>
        </row>
        <row r="5641">
          <cell r="A5641" t="str">
            <v>1CM1A603L3G8AYP-P1</v>
          </cell>
          <cell r="B5641" t="str">
            <v>SMT</v>
          </cell>
          <cell r="C5641">
            <v>1</v>
          </cell>
          <cell r="D5641">
            <v>391</v>
          </cell>
          <cell r="E5641">
            <v>6210</v>
          </cell>
          <cell r="F5641" t="str">
            <v>VG01</v>
          </cell>
          <cell r="G5641" t="str">
            <v>Auto</v>
          </cell>
          <cell r="H5641">
            <v>311</v>
          </cell>
          <cell r="I5641">
            <v>6210</v>
          </cell>
          <cell r="J5641">
            <v>6220</v>
          </cell>
          <cell r="K5641" t="str">
            <v>VG01</v>
          </cell>
        </row>
        <row r="5642">
          <cell r="A5642" t="str">
            <v>1CM1A603L3G9AP1-P1</v>
          </cell>
          <cell r="B5642" t="str">
            <v>SMT</v>
          </cell>
          <cell r="C5642">
            <v>1</v>
          </cell>
          <cell r="D5642">
            <v>230</v>
          </cell>
          <cell r="E5642">
            <v>6210</v>
          </cell>
          <cell r="F5642" t="str">
            <v>VG01</v>
          </cell>
          <cell r="G5642" t="str">
            <v>Auto</v>
          </cell>
          <cell r="H5642">
            <v>311</v>
          </cell>
          <cell r="I5642">
            <v>6210</v>
          </cell>
          <cell r="J5642">
            <v>6220</v>
          </cell>
          <cell r="K5642" t="str">
            <v>VG01</v>
          </cell>
        </row>
        <row r="5643">
          <cell r="A5643" t="str">
            <v>1RE1A605Q3G8AAP-P1</v>
          </cell>
          <cell r="B5643" t="str">
            <v>SMT</v>
          </cell>
          <cell r="C5643">
            <v>1</v>
          </cell>
          <cell r="D5643">
            <v>79</v>
          </cell>
        </row>
        <row r="5644">
          <cell r="A5644" t="str">
            <v>1RE2A605Q3G8AAP-P1</v>
          </cell>
          <cell r="B5644" t="str">
            <v>SMT</v>
          </cell>
          <cell r="C5644">
            <v>1</v>
          </cell>
          <cell r="D5644">
            <v>132</v>
          </cell>
          <cell r="E5644">
            <v>6210</v>
          </cell>
          <cell r="F5644" t="str">
            <v>VG01</v>
          </cell>
          <cell r="G5644" t="str">
            <v>Auto</v>
          </cell>
          <cell r="H5644">
            <v>311</v>
          </cell>
          <cell r="I5644">
            <v>6210</v>
          </cell>
          <cell r="J5644">
            <v>6220</v>
          </cell>
          <cell r="K5644" t="str">
            <v>VG01</v>
          </cell>
        </row>
        <row r="5645">
          <cell r="A5645" t="str">
            <v>1RE1A608E3G8ABP-P1</v>
          </cell>
          <cell r="B5645" t="str">
            <v>SMT</v>
          </cell>
          <cell r="C5645">
            <v>1</v>
          </cell>
          <cell r="D5645">
            <v>72</v>
          </cell>
          <cell r="E5645">
            <v>6210</v>
          </cell>
          <cell r="F5645" t="str">
            <v>VG01</v>
          </cell>
          <cell r="G5645" t="str">
            <v>Auto</v>
          </cell>
          <cell r="H5645">
            <v>311</v>
          </cell>
          <cell r="I5645">
            <v>6210</v>
          </cell>
          <cell r="J5645">
            <v>6220</v>
          </cell>
          <cell r="K5645" t="str">
            <v>VG01</v>
          </cell>
        </row>
        <row r="5646">
          <cell r="A5646" t="str">
            <v>1RE1A608E-3G6A-P1</v>
          </cell>
          <cell r="B5646" t="str">
            <v>SMT</v>
          </cell>
          <cell r="C5646">
            <v>1</v>
          </cell>
          <cell r="D5646">
            <v>37</v>
          </cell>
          <cell r="E5646">
            <v>6210</v>
          </cell>
          <cell r="F5646" t="str">
            <v>VG01</v>
          </cell>
          <cell r="G5646" t="str">
            <v>Auto</v>
          </cell>
          <cell r="H5646">
            <v>311</v>
          </cell>
          <cell r="I5646">
            <v>6210</v>
          </cell>
          <cell r="J5646">
            <v>6220</v>
          </cell>
          <cell r="K5646" t="str">
            <v>VG01</v>
          </cell>
        </row>
        <row r="5647">
          <cell r="A5647" t="str">
            <v>1RE1A605Q-3G8A-P1</v>
          </cell>
          <cell r="B5647" t="str">
            <v>SMT</v>
          </cell>
          <cell r="C5647">
            <v>1</v>
          </cell>
          <cell r="D5647">
            <v>79</v>
          </cell>
        </row>
        <row r="5648">
          <cell r="A5648" t="str">
            <v>1RE2A605Q-3G8A-P1</v>
          </cell>
          <cell r="B5648" t="str">
            <v>SMT</v>
          </cell>
          <cell r="C5648">
            <v>1</v>
          </cell>
          <cell r="D5648">
            <v>132</v>
          </cell>
          <cell r="E5648">
            <v>6210</v>
          </cell>
          <cell r="F5648" t="str">
            <v>VG01</v>
          </cell>
          <cell r="G5648" t="str">
            <v>Auto</v>
          </cell>
          <cell r="H5648">
            <v>311</v>
          </cell>
          <cell r="I5648">
            <v>6210</v>
          </cell>
          <cell r="J5648">
            <v>6220</v>
          </cell>
          <cell r="K5648" t="str">
            <v>VG01</v>
          </cell>
        </row>
        <row r="5649">
          <cell r="A5649" t="str">
            <v>1RE1A608T-3G6A-P1</v>
          </cell>
          <cell r="B5649" t="str">
            <v>SMT</v>
          </cell>
          <cell r="C5649">
            <v>1</v>
          </cell>
          <cell r="D5649">
            <v>43</v>
          </cell>
          <cell r="E5649">
            <v>6210</v>
          </cell>
          <cell r="F5649" t="str">
            <v>VG01</v>
          </cell>
          <cell r="G5649" t="str">
            <v>Auto</v>
          </cell>
          <cell r="H5649">
            <v>311</v>
          </cell>
          <cell r="I5649">
            <v>6210</v>
          </cell>
          <cell r="J5649">
            <v>6220</v>
          </cell>
          <cell r="K5649" t="str">
            <v>VG01</v>
          </cell>
        </row>
        <row r="5650">
          <cell r="A5650" t="str">
            <v>1RE1A605Q-3G9A-P1</v>
          </cell>
          <cell r="B5650" t="str">
            <v>SMT</v>
          </cell>
          <cell r="C5650">
            <v>1</v>
          </cell>
          <cell r="D5650">
            <v>79</v>
          </cell>
        </row>
        <row r="5651">
          <cell r="A5651" t="str">
            <v>1RE2A605Q-3G9A-P1</v>
          </cell>
          <cell r="B5651" t="str">
            <v>SMT</v>
          </cell>
          <cell r="C5651">
            <v>1</v>
          </cell>
          <cell r="D5651">
            <v>132</v>
          </cell>
          <cell r="E5651">
            <v>6210</v>
          </cell>
          <cell r="F5651" t="str">
            <v>VG01</v>
          </cell>
          <cell r="G5651" t="str">
            <v>Auto</v>
          </cell>
          <cell r="H5651">
            <v>311</v>
          </cell>
          <cell r="I5651">
            <v>6210</v>
          </cell>
          <cell r="J5651">
            <v>6220</v>
          </cell>
          <cell r="K5651" t="str">
            <v>VG01</v>
          </cell>
        </row>
        <row r="5652">
          <cell r="A5652" t="str">
            <v>1RE1A605Q3G8ABP-P1</v>
          </cell>
          <cell r="B5652" t="str">
            <v>SMT</v>
          </cell>
          <cell r="C5652">
            <v>1</v>
          </cell>
          <cell r="D5652">
            <v>79</v>
          </cell>
        </row>
        <row r="5653">
          <cell r="A5653" t="str">
            <v>1RE2A605Q3G8ABP-P1</v>
          </cell>
          <cell r="B5653" t="str">
            <v>SMT</v>
          </cell>
          <cell r="C5653">
            <v>1</v>
          </cell>
          <cell r="D5653">
            <v>132</v>
          </cell>
          <cell r="E5653">
            <v>6210</v>
          </cell>
          <cell r="F5653" t="str">
            <v>VG01</v>
          </cell>
          <cell r="G5653" t="str">
            <v>Auto</v>
          </cell>
          <cell r="H5653">
            <v>311</v>
          </cell>
          <cell r="I5653">
            <v>6210</v>
          </cell>
          <cell r="J5653">
            <v>6220</v>
          </cell>
          <cell r="K5653" t="str">
            <v>VG01</v>
          </cell>
        </row>
        <row r="5654">
          <cell r="A5654" t="str">
            <v>PGLB2093ZA-XM</v>
          </cell>
          <cell r="B5654" t="str">
            <v>SMT</v>
          </cell>
          <cell r="C5654">
            <v>1</v>
          </cell>
          <cell r="D5654" t="e">
            <v>#N/A</v>
          </cell>
        </row>
        <row r="5655">
          <cell r="A5655" t="str">
            <v>1VJ1SE200P-V4</v>
          </cell>
          <cell r="B5655" t="str">
            <v>SMT</v>
          </cell>
          <cell r="C5655">
            <v>1</v>
          </cell>
          <cell r="D5655">
            <v>1</v>
          </cell>
        </row>
        <row r="5656">
          <cell r="A5656" t="str">
            <v>1AE1A603L3G8AAP-P2</v>
          </cell>
          <cell r="B5656" t="str">
            <v>SMT</v>
          </cell>
          <cell r="C5656">
            <v>1</v>
          </cell>
          <cell r="D5656">
            <v>133</v>
          </cell>
        </row>
        <row r="5657">
          <cell r="A5657" t="str">
            <v>1AE1A603L3G8ABP-P2</v>
          </cell>
          <cell r="B5657" t="str">
            <v>SMT</v>
          </cell>
          <cell r="C5657">
            <v>1</v>
          </cell>
          <cell r="D5657">
            <v>115</v>
          </cell>
        </row>
        <row r="5658">
          <cell r="A5658" t="str">
            <v>1AE1A603L3G8AYP-P2</v>
          </cell>
          <cell r="B5658" t="str">
            <v>SMT</v>
          </cell>
          <cell r="C5658">
            <v>1</v>
          </cell>
          <cell r="D5658">
            <v>115</v>
          </cell>
        </row>
        <row r="5659">
          <cell r="A5659" t="str">
            <v>1AE1A603L3G9AP1-P2</v>
          </cell>
          <cell r="B5659" t="str">
            <v>SMT</v>
          </cell>
          <cell r="C5659">
            <v>1</v>
          </cell>
          <cell r="D5659">
            <v>93</v>
          </cell>
        </row>
        <row r="5660">
          <cell r="A5660" t="str">
            <v>1AE1A603L-3G9A-P2</v>
          </cell>
          <cell r="B5660" t="str">
            <v>SMT</v>
          </cell>
          <cell r="C5660">
            <v>1</v>
          </cell>
          <cell r="D5660">
            <v>93</v>
          </cell>
        </row>
        <row r="5661">
          <cell r="A5661" t="str">
            <v>1AE1H603Y-3K20-P1</v>
          </cell>
          <cell r="B5661" t="str">
            <v>SMT</v>
          </cell>
          <cell r="C5661">
            <v>1</v>
          </cell>
          <cell r="D5661">
            <v>10</v>
          </cell>
        </row>
        <row r="5662">
          <cell r="A5662" t="str">
            <v>1AE1H683L-3K20-PP1</v>
          </cell>
          <cell r="B5662" t="str">
            <v>SMT</v>
          </cell>
          <cell r="C5662">
            <v>1</v>
          </cell>
          <cell r="D5662">
            <v>150</v>
          </cell>
        </row>
        <row r="5663">
          <cell r="A5663" t="str">
            <v>1CM1A603L3G8AAP-P2</v>
          </cell>
          <cell r="B5663" t="str">
            <v>SMT</v>
          </cell>
          <cell r="C5663">
            <v>1</v>
          </cell>
          <cell r="D5663">
            <v>328</v>
          </cell>
          <cell r="E5663">
            <v>6210</v>
          </cell>
          <cell r="F5663" t="str">
            <v>VG01</v>
          </cell>
          <cell r="G5663" t="str">
            <v>Auto</v>
          </cell>
          <cell r="H5663">
            <v>311</v>
          </cell>
          <cell r="I5663">
            <v>6210</v>
          </cell>
          <cell r="J5663">
            <v>6220</v>
          </cell>
          <cell r="K5663" t="str">
            <v>VG01</v>
          </cell>
        </row>
        <row r="5664">
          <cell r="A5664" t="str">
            <v>1CM1A603L3G8ABP-P2</v>
          </cell>
          <cell r="B5664" t="str">
            <v>SMT</v>
          </cell>
          <cell r="C5664">
            <v>1</v>
          </cell>
          <cell r="D5664">
            <v>391</v>
          </cell>
          <cell r="E5664">
            <v>6210</v>
          </cell>
          <cell r="F5664" t="str">
            <v>VG01</v>
          </cell>
          <cell r="G5664" t="str">
            <v>Auto</v>
          </cell>
          <cell r="H5664">
            <v>311</v>
          </cell>
          <cell r="I5664">
            <v>6210</v>
          </cell>
          <cell r="J5664">
            <v>6220</v>
          </cell>
          <cell r="K5664" t="str">
            <v>VG01</v>
          </cell>
        </row>
        <row r="5665">
          <cell r="A5665" t="str">
            <v>1CM1A603L3G8AYP-P2</v>
          </cell>
          <cell r="B5665" t="str">
            <v>SMT</v>
          </cell>
          <cell r="C5665">
            <v>1</v>
          </cell>
          <cell r="D5665">
            <v>391</v>
          </cell>
          <cell r="E5665">
            <v>6210</v>
          </cell>
          <cell r="F5665" t="str">
            <v>VG01</v>
          </cell>
          <cell r="G5665" t="str">
            <v>Auto</v>
          </cell>
          <cell r="H5665">
            <v>311</v>
          </cell>
          <cell r="I5665">
            <v>6210</v>
          </cell>
          <cell r="J5665">
            <v>6220</v>
          </cell>
          <cell r="K5665" t="str">
            <v>VG01</v>
          </cell>
        </row>
        <row r="5666">
          <cell r="A5666" t="str">
            <v>1CM1A603L3G9AP1-P2</v>
          </cell>
          <cell r="B5666" t="str">
            <v>SMT</v>
          </cell>
          <cell r="C5666">
            <v>1</v>
          </cell>
          <cell r="D5666">
            <v>230</v>
          </cell>
          <cell r="E5666">
            <v>6210</v>
          </cell>
          <cell r="F5666" t="str">
            <v>VG01</v>
          </cell>
          <cell r="G5666" t="str">
            <v>Auto</v>
          </cell>
          <cell r="H5666">
            <v>311</v>
          </cell>
          <cell r="I5666">
            <v>6210</v>
          </cell>
          <cell r="J5666">
            <v>6220</v>
          </cell>
          <cell r="K5666" t="str">
            <v>VG01</v>
          </cell>
        </row>
        <row r="5667">
          <cell r="A5667" t="str">
            <v>1CM1A603L-3G9A-P2</v>
          </cell>
          <cell r="B5667" t="str">
            <v>SMT</v>
          </cell>
          <cell r="C5667">
            <v>1</v>
          </cell>
          <cell r="D5667">
            <v>230</v>
          </cell>
          <cell r="E5667">
            <v>6210</v>
          </cell>
          <cell r="F5667" t="str">
            <v>VG01</v>
          </cell>
          <cell r="G5667" t="str">
            <v>Auto</v>
          </cell>
          <cell r="H5667">
            <v>311</v>
          </cell>
          <cell r="I5667">
            <v>6210</v>
          </cell>
          <cell r="J5667">
            <v>6220</v>
          </cell>
          <cell r="K5667" t="str">
            <v>VG01</v>
          </cell>
        </row>
        <row r="5668">
          <cell r="A5668" t="str">
            <v>1CM1H603Y-3K20-P1</v>
          </cell>
          <cell r="B5668" t="str">
            <v>SMT</v>
          </cell>
          <cell r="C5668">
            <v>1</v>
          </cell>
          <cell r="D5668">
            <v>6</v>
          </cell>
          <cell r="E5668">
            <v>6210</v>
          </cell>
          <cell r="F5668" t="str">
            <v>VG01</v>
          </cell>
          <cell r="G5668" t="str">
            <v>Auto</v>
          </cell>
          <cell r="H5668">
            <v>311</v>
          </cell>
          <cell r="I5668">
            <v>6210</v>
          </cell>
          <cell r="J5668">
            <v>6220</v>
          </cell>
          <cell r="K5668" t="str">
            <v>VG01</v>
          </cell>
        </row>
        <row r="5669">
          <cell r="A5669" t="str">
            <v>1CM1H683L-3K20-PP1</v>
          </cell>
          <cell r="B5669" t="str">
            <v>SMT</v>
          </cell>
          <cell r="C5669">
            <v>1</v>
          </cell>
          <cell r="D5669">
            <v>413</v>
          </cell>
          <cell r="E5669">
            <v>6210</v>
          </cell>
          <cell r="F5669" t="str">
            <v>VG01</v>
          </cell>
          <cell r="G5669" t="str">
            <v>Auto</v>
          </cell>
          <cell r="H5669">
            <v>311</v>
          </cell>
          <cell r="I5669">
            <v>6210</v>
          </cell>
          <cell r="J5669">
            <v>6220</v>
          </cell>
          <cell r="K5669" t="str">
            <v>VG01</v>
          </cell>
        </row>
        <row r="5670">
          <cell r="A5670" t="str">
            <v>1HT1A603L3G8AAP-P2</v>
          </cell>
          <cell r="B5670" t="str">
            <v>SMT</v>
          </cell>
          <cell r="C5670">
            <v>1</v>
          </cell>
          <cell r="D5670">
            <v>18</v>
          </cell>
        </row>
        <row r="5671">
          <cell r="A5671" t="str">
            <v>1HT1A603L3G8ABP-P2</v>
          </cell>
          <cell r="B5671" t="str">
            <v>SMT</v>
          </cell>
          <cell r="C5671">
            <v>1</v>
          </cell>
          <cell r="D5671">
            <v>19</v>
          </cell>
        </row>
        <row r="5672">
          <cell r="A5672" t="str">
            <v>1HT1A603L3G8AYP-P2</v>
          </cell>
          <cell r="B5672" t="str">
            <v>SMT</v>
          </cell>
          <cell r="C5672">
            <v>1</v>
          </cell>
          <cell r="D5672">
            <v>19</v>
          </cell>
        </row>
        <row r="5673">
          <cell r="A5673" t="str">
            <v>1HT1A603L3G9AP1-P2</v>
          </cell>
          <cell r="B5673" t="str">
            <v>SMT</v>
          </cell>
          <cell r="C5673">
            <v>1</v>
          </cell>
          <cell r="D5673">
            <v>19</v>
          </cell>
        </row>
        <row r="5674">
          <cell r="A5674" t="str">
            <v>1HT1A603L-3G9A-P2</v>
          </cell>
          <cell r="B5674" t="str">
            <v>SMT</v>
          </cell>
          <cell r="C5674">
            <v>1</v>
          </cell>
          <cell r="D5674">
            <v>19</v>
          </cell>
        </row>
        <row r="5675">
          <cell r="A5675" t="str">
            <v>1HT1H603Y-3K20-P1</v>
          </cell>
          <cell r="B5675" t="str">
            <v>SMT</v>
          </cell>
          <cell r="C5675">
            <v>1</v>
          </cell>
          <cell r="D5675">
            <v>10</v>
          </cell>
        </row>
        <row r="5676">
          <cell r="A5676" t="str">
            <v>1HT1H683L-3K20-PP1</v>
          </cell>
          <cell r="B5676" t="str">
            <v>SMT</v>
          </cell>
          <cell r="C5676">
            <v>1</v>
          </cell>
          <cell r="D5676">
            <v>18</v>
          </cell>
        </row>
        <row r="5677">
          <cell r="A5677" t="str">
            <v>1RE1A605Q3G8AAP-P2</v>
          </cell>
          <cell r="B5677" t="str">
            <v>SMT</v>
          </cell>
          <cell r="C5677">
            <v>1</v>
          </cell>
          <cell r="D5677">
            <v>79</v>
          </cell>
        </row>
        <row r="5678">
          <cell r="A5678" t="str">
            <v>1RE1A605Q3G8ABP-P2</v>
          </cell>
          <cell r="B5678" t="str">
            <v>SMT</v>
          </cell>
          <cell r="C5678">
            <v>1</v>
          </cell>
          <cell r="D5678">
            <v>79</v>
          </cell>
        </row>
        <row r="5679">
          <cell r="A5679" t="str">
            <v>1RE1A605Q-3G8A-P2</v>
          </cell>
          <cell r="B5679" t="str">
            <v>SMT</v>
          </cell>
          <cell r="C5679">
            <v>1</v>
          </cell>
          <cell r="D5679">
            <v>79</v>
          </cell>
        </row>
        <row r="5680">
          <cell r="A5680" t="str">
            <v>1RE1A605Q-3G9A-P2</v>
          </cell>
          <cell r="B5680" t="str">
            <v>SMT</v>
          </cell>
          <cell r="C5680">
            <v>1</v>
          </cell>
          <cell r="D5680">
            <v>79</v>
          </cell>
        </row>
        <row r="5681">
          <cell r="A5681" t="str">
            <v>1RE1A608E-3G6A-P2</v>
          </cell>
          <cell r="B5681" t="str">
            <v>SMT</v>
          </cell>
          <cell r="C5681">
            <v>1</v>
          </cell>
          <cell r="D5681">
            <v>37</v>
          </cell>
          <cell r="E5681">
            <v>6210</v>
          </cell>
          <cell r="F5681" t="str">
            <v>VG01</v>
          </cell>
          <cell r="G5681" t="str">
            <v>Auto</v>
          </cell>
          <cell r="H5681">
            <v>311</v>
          </cell>
          <cell r="I5681">
            <v>6210</v>
          </cell>
          <cell r="J5681">
            <v>6220</v>
          </cell>
          <cell r="K5681" t="str">
            <v>VG01</v>
          </cell>
        </row>
        <row r="5682">
          <cell r="A5682" t="str">
            <v>1RE1A608E3G8ABP-P2</v>
          </cell>
          <cell r="B5682" t="str">
            <v>SMT</v>
          </cell>
          <cell r="C5682">
            <v>1</v>
          </cell>
          <cell r="D5682">
            <v>72</v>
          </cell>
          <cell r="E5682">
            <v>6210</v>
          </cell>
          <cell r="F5682" t="str">
            <v>VG01</v>
          </cell>
          <cell r="G5682" t="str">
            <v>Auto</v>
          </cell>
          <cell r="H5682">
            <v>311</v>
          </cell>
          <cell r="I5682">
            <v>6210</v>
          </cell>
          <cell r="J5682">
            <v>6220</v>
          </cell>
          <cell r="K5682" t="str">
            <v>VG01</v>
          </cell>
        </row>
        <row r="5683">
          <cell r="A5683" t="str">
            <v>1RE1A608T-3G6A-P2</v>
          </cell>
          <cell r="B5683" t="str">
            <v>SMT</v>
          </cell>
          <cell r="C5683">
            <v>1</v>
          </cell>
          <cell r="D5683">
            <v>43</v>
          </cell>
          <cell r="E5683">
            <v>6210</v>
          </cell>
          <cell r="F5683" t="str">
            <v>VG01</v>
          </cell>
          <cell r="G5683" t="str">
            <v>Auto</v>
          </cell>
          <cell r="H5683">
            <v>311</v>
          </cell>
          <cell r="I5683">
            <v>6210</v>
          </cell>
          <cell r="J5683">
            <v>6220</v>
          </cell>
          <cell r="K5683" t="str">
            <v>VG01</v>
          </cell>
        </row>
        <row r="5684">
          <cell r="A5684" t="str">
            <v>1RE1H685Q-3K20-P1</v>
          </cell>
          <cell r="B5684" t="str">
            <v>SMT</v>
          </cell>
          <cell r="C5684">
            <v>1</v>
          </cell>
          <cell r="D5684">
            <v>142</v>
          </cell>
        </row>
        <row r="5685">
          <cell r="A5685" t="str">
            <v>1RE2A605Q3G8AAP-P2</v>
          </cell>
          <cell r="B5685" t="str">
            <v>SMT</v>
          </cell>
          <cell r="C5685">
            <v>1</v>
          </cell>
          <cell r="D5685">
            <v>132</v>
          </cell>
          <cell r="E5685">
            <v>6210</v>
          </cell>
          <cell r="F5685" t="str">
            <v>VG01</v>
          </cell>
          <cell r="G5685" t="str">
            <v>Auto</v>
          </cell>
          <cell r="H5685">
            <v>311</v>
          </cell>
          <cell r="I5685">
            <v>6210</v>
          </cell>
          <cell r="J5685">
            <v>6220</v>
          </cell>
          <cell r="K5685" t="str">
            <v>VG01</v>
          </cell>
        </row>
        <row r="5686">
          <cell r="A5686" t="str">
            <v>1RE2A605Q3G8ABP-P2</v>
          </cell>
          <cell r="B5686" t="str">
            <v>SMT</v>
          </cell>
          <cell r="C5686">
            <v>1</v>
          </cell>
          <cell r="D5686">
            <v>132</v>
          </cell>
          <cell r="E5686">
            <v>6210</v>
          </cell>
          <cell r="F5686" t="str">
            <v>VG01</v>
          </cell>
          <cell r="G5686" t="str">
            <v>Auto</v>
          </cell>
          <cell r="H5686">
            <v>311</v>
          </cell>
          <cell r="I5686">
            <v>6210</v>
          </cell>
          <cell r="J5686">
            <v>6220</v>
          </cell>
          <cell r="K5686" t="str">
            <v>VG01</v>
          </cell>
        </row>
        <row r="5687">
          <cell r="A5687" t="str">
            <v>1RE2A605Q-3G8A-P2</v>
          </cell>
          <cell r="B5687" t="str">
            <v>SMT</v>
          </cell>
          <cell r="C5687">
            <v>1</v>
          </cell>
          <cell r="D5687">
            <v>132</v>
          </cell>
          <cell r="E5687">
            <v>6210</v>
          </cell>
          <cell r="F5687" t="str">
            <v>VG01</v>
          </cell>
          <cell r="G5687" t="str">
            <v>Auto</v>
          </cell>
          <cell r="H5687">
            <v>311</v>
          </cell>
          <cell r="I5687">
            <v>6210</v>
          </cell>
          <cell r="J5687">
            <v>6220</v>
          </cell>
          <cell r="K5687" t="str">
            <v>VG01</v>
          </cell>
        </row>
        <row r="5688">
          <cell r="A5688" t="str">
            <v>1RE2A605Q-3G9A-P2</v>
          </cell>
          <cell r="B5688" t="str">
            <v>SMT</v>
          </cell>
          <cell r="C5688">
            <v>1</v>
          </cell>
          <cell r="D5688">
            <v>132</v>
          </cell>
          <cell r="E5688">
            <v>6210</v>
          </cell>
          <cell r="F5688" t="str">
            <v>VG01</v>
          </cell>
          <cell r="G5688" t="str">
            <v>Auto</v>
          </cell>
          <cell r="H5688">
            <v>311</v>
          </cell>
          <cell r="I5688">
            <v>6210</v>
          </cell>
          <cell r="J5688">
            <v>6220</v>
          </cell>
          <cell r="K5688" t="str">
            <v>VG01</v>
          </cell>
        </row>
        <row r="5689">
          <cell r="A5689" t="str">
            <v>1RE2H685Q-3K20-P1</v>
          </cell>
          <cell r="B5689" t="str">
            <v>SMT</v>
          </cell>
          <cell r="C5689">
            <v>1</v>
          </cell>
          <cell r="D5689">
            <v>308</v>
          </cell>
          <cell r="E5689">
            <v>6210</v>
          </cell>
          <cell r="F5689" t="str">
            <v>VG01</v>
          </cell>
          <cell r="G5689" t="str">
            <v>Auto</v>
          </cell>
          <cell r="H5689">
            <v>311</v>
          </cell>
          <cell r="I5689">
            <v>6210</v>
          </cell>
          <cell r="J5689">
            <v>6220</v>
          </cell>
          <cell r="K5689" t="str">
            <v>VG01</v>
          </cell>
        </row>
        <row r="5690">
          <cell r="A5690" t="str">
            <v>1RH1A603L3G8AAP-P2</v>
          </cell>
          <cell r="B5690" t="str">
            <v>SMT</v>
          </cell>
          <cell r="C5690">
            <v>1</v>
          </cell>
          <cell r="D5690">
            <v>15</v>
          </cell>
        </row>
        <row r="5691">
          <cell r="A5691" t="str">
            <v>1RH1A603L3G8ABP-P2</v>
          </cell>
          <cell r="B5691" t="str">
            <v>SMT</v>
          </cell>
          <cell r="C5691">
            <v>1</v>
          </cell>
          <cell r="D5691">
            <v>14</v>
          </cell>
        </row>
        <row r="5692">
          <cell r="A5692" t="str">
            <v>1RH1A603L3G8AYP-P2</v>
          </cell>
          <cell r="B5692" t="str">
            <v>SMT</v>
          </cell>
          <cell r="C5692">
            <v>1</v>
          </cell>
          <cell r="D5692">
            <v>14</v>
          </cell>
        </row>
        <row r="5693">
          <cell r="A5693" t="str">
            <v>1RH1A603L3G9AP1-P2</v>
          </cell>
          <cell r="B5693" t="str">
            <v>SMT</v>
          </cell>
          <cell r="C5693">
            <v>1</v>
          </cell>
          <cell r="D5693">
            <v>14</v>
          </cell>
        </row>
        <row r="5694">
          <cell r="A5694" t="str">
            <v>1RH1A603L-3G9A-P2</v>
          </cell>
          <cell r="B5694" t="str">
            <v>SMT</v>
          </cell>
          <cell r="C5694">
            <v>1</v>
          </cell>
          <cell r="D5694">
            <v>14</v>
          </cell>
        </row>
        <row r="5695">
          <cell r="A5695" t="str">
            <v>1RH1H603Y-3K20-P1</v>
          </cell>
          <cell r="B5695" t="str">
            <v>SMT</v>
          </cell>
          <cell r="C5695">
            <v>1</v>
          </cell>
          <cell r="D5695">
            <v>4</v>
          </cell>
        </row>
        <row r="5696">
          <cell r="A5696" t="str">
            <v>1RH1H683L-3K20-PP1</v>
          </cell>
          <cell r="B5696" t="str">
            <v>SMT</v>
          </cell>
          <cell r="C5696">
            <v>1</v>
          </cell>
          <cell r="D5696">
            <v>34</v>
          </cell>
        </row>
        <row r="5697">
          <cell r="A5697" t="str">
            <v>1TE1A603L3G8AAP-P2</v>
          </cell>
          <cell r="B5697" t="str">
            <v>SMT</v>
          </cell>
          <cell r="C5697">
            <v>1</v>
          </cell>
          <cell r="D5697">
            <v>3</v>
          </cell>
        </row>
        <row r="5698">
          <cell r="A5698" t="str">
            <v>1TE1A603L3G8ABP-P2</v>
          </cell>
          <cell r="B5698" t="str">
            <v>SMT</v>
          </cell>
          <cell r="C5698">
            <v>1</v>
          </cell>
          <cell r="D5698">
            <v>7</v>
          </cell>
        </row>
        <row r="5699">
          <cell r="A5699" t="str">
            <v>1TE1A603L3G8AYP-P2</v>
          </cell>
          <cell r="B5699" t="str">
            <v>SMT</v>
          </cell>
          <cell r="C5699">
            <v>1</v>
          </cell>
          <cell r="D5699">
            <v>7</v>
          </cell>
        </row>
        <row r="5700">
          <cell r="A5700" t="str">
            <v>1TE1A603L3G9AP1-P2</v>
          </cell>
          <cell r="B5700" t="str">
            <v>SMT</v>
          </cell>
          <cell r="C5700">
            <v>1</v>
          </cell>
          <cell r="D5700">
            <v>7</v>
          </cell>
        </row>
        <row r="5701">
          <cell r="A5701" t="str">
            <v>1TE1A603L-3G9A-P2</v>
          </cell>
          <cell r="B5701" t="str">
            <v>SMT</v>
          </cell>
          <cell r="C5701">
            <v>1</v>
          </cell>
          <cell r="D5701">
            <v>7</v>
          </cell>
        </row>
        <row r="5702">
          <cell r="A5702" t="str">
            <v>1TE1H603Y-3K20-P1</v>
          </cell>
          <cell r="B5702" t="str">
            <v>SMT</v>
          </cell>
          <cell r="C5702">
            <v>1</v>
          </cell>
          <cell r="D5702">
            <v>10</v>
          </cell>
        </row>
        <row r="5703">
          <cell r="A5703" t="str">
            <v>1TE1H683L-3K20-PP1</v>
          </cell>
          <cell r="B5703" t="str">
            <v>SMT</v>
          </cell>
          <cell r="C5703">
            <v>1</v>
          </cell>
          <cell r="D5703">
            <v>1</v>
          </cell>
        </row>
        <row r="5704">
          <cell r="A5704" t="str">
            <v>1AE1A603L3G80RP-P1</v>
          </cell>
          <cell r="B5704" t="str">
            <v>SMT</v>
          </cell>
          <cell r="C5704">
            <v>1</v>
          </cell>
          <cell r="D5704">
            <v>133</v>
          </cell>
          <cell r="E5704">
            <v>6210</v>
          </cell>
          <cell r="F5704" t="str">
            <v>VG01</v>
          </cell>
          <cell r="G5704" t="str">
            <v>Auto</v>
          </cell>
          <cell r="H5704">
            <v>311</v>
          </cell>
          <cell r="I5704">
            <v>6210</v>
          </cell>
          <cell r="J5704">
            <v>6220</v>
          </cell>
          <cell r="K5704" t="str">
            <v>VG01</v>
          </cell>
        </row>
        <row r="5705">
          <cell r="A5705" t="str">
            <v>1CM1A603L3G80RP-P1</v>
          </cell>
          <cell r="B5705" t="str">
            <v>SMT</v>
          </cell>
          <cell r="C5705">
            <v>1</v>
          </cell>
          <cell r="D5705">
            <v>328</v>
          </cell>
          <cell r="E5705">
            <v>6210</v>
          </cell>
          <cell r="F5705" t="str">
            <v>VG01</v>
          </cell>
          <cell r="G5705" t="str">
            <v>Auto</v>
          </cell>
          <cell r="H5705">
            <v>311</v>
          </cell>
          <cell r="I5705">
            <v>6210</v>
          </cell>
          <cell r="J5705">
            <v>6220</v>
          </cell>
          <cell r="K5705" t="str">
            <v>VG01</v>
          </cell>
        </row>
        <row r="5706">
          <cell r="A5706" t="str">
            <v>1HT1A603L3G80RP-P1</v>
          </cell>
          <cell r="B5706" t="str">
            <v>SMT</v>
          </cell>
          <cell r="C5706">
            <v>1</v>
          </cell>
          <cell r="D5706">
            <v>18</v>
          </cell>
        </row>
        <row r="5707">
          <cell r="A5707" t="str">
            <v>1RH1A603L3G80RP-P1</v>
          </cell>
          <cell r="B5707" t="str">
            <v>SMT</v>
          </cell>
          <cell r="C5707">
            <v>1</v>
          </cell>
          <cell r="D5707">
            <v>15</v>
          </cell>
        </row>
        <row r="5708">
          <cell r="A5708" t="str">
            <v>1TE1A603L3G80RP-P1</v>
          </cell>
          <cell r="B5708" t="str">
            <v>SMT</v>
          </cell>
          <cell r="C5708">
            <v>1</v>
          </cell>
          <cell r="D5708">
            <v>3</v>
          </cell>
        </row>
        <row r="5709">
          <cell r="A5709" t="str">
            <v>1VJ1PS200-V4</v>
          </cell>
          <cell r="B5709" t="str">
            <v>SMT</v>
          </cell>
          <cell r="C5709">
            <v>1</v>
          </cell>
          <cell r="D5709" t="e">
            <v>#N/A</v>
          </cell>
        </row>
        <row r="5710">
          <cell r="A5710" t="str">
            <v>2VJ1PS200YSZB-V4</v>
          </cell>
          <cell r="B5710" t="str">
            <v>SMT</v>
          </cell>
          <cell r="C5710">
            <v>1</v>
          </cell>
          <cell r="D5710" t="e">
            <v>#N/A</v>
          </cell>
        </row>
        <row r="5711">
          <cell r="A5711" t="str">
            <v>1RE1PS200YSZB-V4</v>
          </cell>
          <cell r="B5711" t="str">
            <v>SMT</v>
          </cell>
          <cell r="C5711">
            <v>1</v>
          </cell>
          <cell r="D5711">
            <v>77</v>
          </cell>
        </row>
        <row r="5712">
          <cell r="A5712" t="str">
            <v>1RE2PS200YSZB-V4</v>
          </cell>
          <cell r="B5712" t="str">
            <v>SMT</v>
          </cell>
          <cell r="C5712">
            <v>1</v>
          </cell>
          <cell r="D5712">
            <v>375</v>
          </cell>
          <cell r="E5712">
            <v>9210</v>
          </cell>
          <cell r="F5712" t="str">
            <v>VE01</v>
          </cell>
          <cell r="G5712" t="str">
            <v>Auto</v>
          </cell>
          <cell r="H5712">
            <v>311</v>
          </cell>
          <cell r="I5712">
            <v>9210</v>
          </cell>
          <cell r="J5712">
            <v>9340</v>
          </cell>
          <cell r="K5712" t="str">
            <v>VE01</v>
          </cell>
        </row>
        <row r="5713">
          <cell r="A5713" t="str">
            <v>PGLB2156YA-XM</v>
          </cell>
          <cell r="B5713" t="str">
            <v>SMT</v>
          </cell>
          <cell r="C5713">
            <v>1</v>
          </cell>
          <cell r="D5713">
            <v>1</v>
          </cell>
        </row>
        <row r="5714">
          <cell r="A5714" t="str">
            <v>1AE1A603L3G80RP</v>
          </cell>
          <cell r="B5714" t="str">
            <v>SMT</v>
          </cell>
          <cell r="C5714">
            <v>1</v>
          </cell>
          <cell r="D5714">
            <v>133</v>
          </cell>
        </row>
        <row r="5715">
          <cell r="A5715" t="str">
            <v>1AE1A603L-3G9A</v>
          </cell>
          <cell r="B5715" t="str">
            <v>SMT</v>
          </cell>
          <cell r="C5715">
            <v>1</v>
          </cell>
          <cell r="D5715">
            <v>93</v>
          </cell>
        </row>
        <row r="5716">
          <cell r="A5716" t="str">
            <v>1AE1A603L3G9AP1</v>
          </cell>
          <cell r="B5716" t="str">
            <v>SMT</v>
          </cell>
          <cell r="C5716">
            <v>1</v>
          </cell>
          <cell r="D5716">
            <v>93</v>
          </cell>
        </row>
        <row r="5717">
          <cell r="A5717" t="str">
            <v>1AE1H603Y-3K20P2</v>
          </cell>
          <cell r="B5717" t="str">
            <v>SMT</v>
          </cell>
          <cell r="C5717">
            <v>1</v>
          </cell>
          <cell r="D5717">
            <v>10</v>
          </cell>
        </row>
        <row r="5718">
          <cell r="A5718" t="str">
            <v>1AE1H683L-3K20-PP2</v>
          </cell>
          <cell r="B5718" t="str">
            <v>SMT</v>
          </cell>
          <cell r="C5718">
            <v>1</v>
          </cell>
          <cell r="D5718">
            <v>150</v>
          </cell>
        </row>
        <row r="5719">
          <cell r="A5719" t="str">
            <v>1CM1A603L3G80RP</v>
          </cell>
          <cell r="B5719" t="str">
            <v>SMT</v>
          </cell>
          <cell r="C5719">
            <v>1</v>
          </cell>
          <cell r="D5719">
            <v>328</v>
          </cell>
          <cell r="E5719">
            <v>6210</v>
          </cell>
          <cell r="F5719" t="str">
            <v>VG01</v>
          </cell>
          <cell r="G5719" t="str">
            <v>Auto</v>
          </cell>
          <cell r="H5719">
            <v>311</v>
          </cell>
          <cell r="I5719">
            <v>6210</v>
          </cell>
          <cell r="J5719">
            <v>6220</v>
          </cell>
          <cell r="K5719" t="str">
            <v>VG01</v>
          </cell>
        </row>
        <row r="5720">
          <cell r="A5720" t="str">
            <v>1CM1A603L-3G9A</v>
          </cell>
          <cell r="B5720" t="str">
            <v>SMT</v>
          </cell>
          <cell r="C5720">
            <v>1</v>
          </cell>
          <cell r="D5720">
            <v>230</v>
          </cell>
          <cell r="E5720">
            <v>6210</v>
          </cell>
          <cell r="F5720" t="str">
            <v>VG01</v>
          </cell>
          <cell r="G5720" t="str">
            <v>Auto</v>
          </cell>
          <cell r="H5720">
            <v>311</v>
          </cell>
          <cell r="I5720">
            <v>6210</v>
          </cell>
          <cell r="J5720">
            <v>6220</v>
          </cell>
          <cell r="K5720" t="str">
            <v>VG01</v>
          </cell>
        </row>
        <row r="5721">
          <cell r="A5721" t="str">
            <v>1CM1A603L3G9AP1</v>
          </cell>
          <cell r="B5721" t="str">
            <v>SMT</v>
          </cell>
          <cell r="C5721">
            <v>1</v>
          </cell>
          <cell r="D5721">
            <v>230</v>
          </cell>
          <cell r="E5721">
            <v>6210</v>
          </cell>
          <cell r="F5721" t="str">
            <v>VG01</v>
          </cell>
          <cell r="G5721" t="str">
            <v>Auto</v>
          </cell>
          <cell r="H5721">
            <v>311</v>
          </cell>
          <cell r="I5721">
            <v>6210</v>
          </cell>
          <cell r="J5721">
            <v>6220</v>
          </cell>
          <cell r="K5721" t="str">
            <v>VG01</v>
          </cell>
        </row>
        <row r="5722">
          <cell r="A5722" t="str">
            <v>1CM1H603Y-3K20P2</v>
          </cell>
          <cell r="B5722" t="str">
            <v>SMT</v>
          </cell>
          <cell r="C5722">
            <v>1</v>
          </cell>
          <cell r="D5722">
            <v>6</v>
          </cell>
          <cell r="E5722">
            <v>6210</v>
          </cell>
          <cell r="F5722" t="str">
            <v>VG01</v>
          </cell>
          <cell r="G5722" t="str">
            <v>Auto</v>
          </cell>
          <cell r="H5722">
            <v>311</v>
          </cell>
          <cell r="I5722">
            <v>6210</v>
          </cell>
          <cell r="J5722">
            <v>6220</v>
          </cell>
          <cell r="K5722" t="str">
            <v>VG01</v>
          </cell>
        </row>
        <row r="5723">
          <cell r="A5723" t="str">
            <v>1CM1H683L-3K20-PP2</v>
          </cell>
          <cell r="B5723" t="str">
            <v>SMT</v>
          </cell>
          <cell r="C5723">
            <v>1</v>
          </cell>
          <cell r="D5723">
            <v>413</v>
          </cell>
          <cell r="E5723">
            <v>6210</v>
          </cell>
          <cell r="F5723" t="str">
            <v>VG01</v>
          </cell>
          <cell r="G5723" t="str">
            <v>Auto</v>
          </cell>
          <cell r="H5723">
            <v>311</v>
          </cell>
          <cell r="I5723">
            <v>6210</v>
          </cell>
          <cell r="J5723">
            <v>6220</v>
          </cell>
          <cell r="K5723" t="str">
            <v>VG01</v>
          </cell>
        </row>
        <row r="5724">
          <cell r="A5724" t="str">
            <v>1HT1A603L3G80RP</v>
          </cell>
          <cell r="B5724" t="str">
            <v>SMT</v>
          </cell>
          <cell r="C5724">
            <v>1</v>
          </cell>
          <cell r="D5724">
            <v>18</v>
          </cell>
        </row>
        <row r="5725">
          <cell r="A5725" t="str">
            <v>1HT1A603L-3G9A</v>
          </cell>
          <cell r="B5725" t="str">
            <v>SMT</v>
          </cell>
          <cell r="C5725">
            <v>1</v>
          </cell>
          <cell r="D5725">
            <v>19</v>
          </cell>
        </row>
        <row r="5726">
          <cell r="A5726" t="str">
            <v>1HT1A603L3G9AP1</v>
          </cell>
          <cell r="B5726" t="str">
            <v>SMT</v>
          </cell>
          <cell r="C5726">
            <v>1</v>
          </cell>
          <cell r="D5726">
            <v>19</v>
          </cell>
        </row>
        <row r="5727">
          <cell r="A5727" t="str">
            <v>1HT1H603Y-3K20P2</v>
          </cell>
          <cell r="B5727" t="str">
            <v>SMT</v>
          </cell>
          <cell r="C5727">
            <v>1</v>
          </cell>
          <cell r="D5727">
            <v>10</v>
          </cell>
        </row>
        <row r="5728">
          <cell r="A5728" t="str">
            <v>1HT1H683L-3K20-PP2</v>
          </cell>
          <cell r="B5728" t="str">
            <v>SMT</v>
          </cell>
          <cell r="C5728">
            <v>1</v>
          </cell>
          <cell r="D5728">
            <v>18</v>
          </cell>
        </row>
        <row r="5729">
          <cell r="A5729" t="str">
            <v>1RE1A605Q-3G8A</v>
          </cell>
          <cell r="B5729" t="str">
            <v>SMT</v>
          </cell>
          <cell r="C5729">
            <v>1</v>
          </cell>
          <cell r="D5729">
            <v>79</v>
          </cell>
        </row>
        <row r="5730">
          <cell r="A5730" t="str">
            <v>1RE1A605Q3G8AAP</v>
          </cell>
          <cell r="B5730" t="str">
            <v>SMT</v>
          </cell>
          <cell r="C5730">
            <v>1</v>
          </cell>
          <cell r="D5730">
            <v>79</v>
          </cell>
        </row>
        <row r="5731">
          <cell r="A5731" t="str">
            <v>1RE1A605Q-3G9A</v>
          </cell>
          <cell r="B5731" t="str">
            <v>SMT</v>
          </cell>
          <cell r="C5731">
            <v>1</v>
          </cell>
          <cell r="D5731">
            <v>79</v>
          </cell>
        </row>
        <row r="5732">
          <cell r="A5732" t="str">
            <v>1RE1A608E-3G6A</v>
          </cell>
          <cell r="B5732" t="str">
            <v>SMT</v>
          </cell>
          <cell r="C5732">
            <v>1</v>
          </cell>
          <cell r="D5732">
            <v>37</v>
          </cell>
          <cell r="E5732">
            <v>6210</v>
          </cell>
          <cell r="F5732" t="str">
            <v>VG01</v>
          </cell>
          <cell r="G5732" t="str">
            <v>Auto</v>
          </cell>
          <cell r="H5732">
            <v>311</v>
          </cell>
          <cell r="I5732">
            <v>6210</v>
          </cell>
          <cell r="J5732">
            <v>6220</v>
          </cell>
          <cell r="K5732" t="str">
            <v>VG01</v>
          </cell>
        </row>
        <row r="5733">
          <cell r="A5733" t="str">
            <v>1RE1A608E3G8ABP</v>
          </cell>
          <cell r="B5733" t="str">
            <v>SMT</v>
          </cell>
          <cell r="C5733">
            <v>1</v>
          </cell>
          <cell r="D5733">
            <v>72</v>
          </cell>
          <cell r="E5733">
            <v>6210</v>
          </cell>
          <cell r="F5733" t="str">
            <v>VG01</v>
          </cell>
          <cell r="G5733" t="str">
            <v>Auto</v>
          </cell>
          <cell r="H5733">
            <v>311</v>
          </cell>
          <cell r="I5733">
            <v>6210</v>
          </cell>
          <cell r="J5733">
            <v>6220</v>
          </cell>
          <cell r="K5733" t="str">
            <v>VG01</v>
          </cell>
        </row>
        <row r="5734">
          <cell r="A5734" t="str">
            <v>1RE1A608T-3G6A</v>
          </cell>
          <cell r="B5734" t="str">
            <v>SMT</v>
          </cell>
          <cell r="C5734">
            <v>1</v>
          </cell>
          <cell r="D5734">
            <v>43</v>
          </cell>
          <cell r="E5734">
            <v>6210</v>
          </cell>
          <cell r="F5734" t="str">
            <v>VG01</v>
          </cell>
          <cell r="G5734" t="str">
            <v>Auto</v>
          </cell>
          <cell r="H5734">
            <v>311</v>
          </cell>
          <cell r="I5734">
            <v>6210</v>
          </cell>
          <cell r="J5734">
            <v>6310</v>
          </cell>
          <cell r="K5734" t="str">
            <v>VG01</v>
          </cell>
        </row>
        <row r="5735">
          <cell r="A5735" t="str">
            <v>1RE1H685Q-3K20P2</v>
          </cell>
          <cell r="B5735" t="str">
            <v>SMT</v>
          </cell>
          <cell r="C5735">
            <v>1</v>
          </cell>
          <cell r="D5735">
            <v>142</v>
          </cell>
        </row>
        <row r="5736">
          <cell r="A5736" t="str">
            <v>1RE2A605Q-3G8A</v>
          </cell>
          <cell r="B5736" t="str">
            <v>SMT</v>
          </cell>
          <cell r="C5736">
            <v>1</v>
          </cell>
          <cell r="D5736">
            <v>132</v>
          </cell>
          <cell r="E5736">
            <v>6210</v>
          </cell>
          <cell r="F5736" t="str">
            <v>VG01</v>
          </cell>
          <cell r="G5736" t="str">
            <v>Auto</v>
          </cell>
          <cell r="H5736">
            <v>311</v>
          </cell>
          <cell r="I5736">
            <v>6210</v>
          </cell>
          <cell r="J5736">
            <v>6310</v>
          </cell>
          <cell r="K5736" t="str">
            <v>VG01</v>
          </cell>
        </row>
        <row r="5737">
          <cell r="A5737" t="str">
            <v>1RE2A605Q3G8AAP</v>
          </cell>
          <cell r="B5737" t="str">
            <v>SMT</v>
          </cell>
          <cell r="C5737">
            <v>1</v>
          </cell>
          <cell r="D5737">
            <v>132</v>
          </cell>
          <cell r="E5737">
            <v>6210</v>
          </cell>
          <cell r="F5737" t="str">
            <v>VG01</v>
          </cell>
          <cell r="G5737" t="str">
            <v>Auto</v>
          </cell>
          <cell r="H5737">
            <v>311</v>
          </cell>
          <cell r="I5737">
            <v>6210</v>
          </cell>
          <cell r="J5737">
            <v>6310</v>
          </cell>
          <cell r="K5737" t="str">
            <v>VG01</v>
          </cell>
        </row>
        <row r="5738">
          <cell r="A5738" t="str">
            <v>1RE2A605Q-3G9A</v>
          </cell>
          <cell r="B5738" t="str">
            <v>SMT</v>
          </cell>
          <cell r="C5738">
            <v>1</v>
          </cell>
          <cell r="D5738">
            <v>132</v>
          </cell>
          <cell r="E5738">
            <v>6210</v>
          </cell>
          <cell r="F5738" t="str">
            <v>VG01</v>
          </cell>
          <cell r="G5738" t="str">
            <v>Auto</v>
          </cell>
          <cell r="H5738">
            <v>311</v>
          </cell>
          <cell r="I5738">
            <v>6210</v>
          </cell>
          <cell r="J5738">
            <v>6310</v>
          </cell>
          <cell r="K5738" t="str">
            <v>VG01</v>
          </cell>
        </row>
        <row r="5739">
          <cell r="A5739" t="str">
            <v>1RE2H685Q-3K20P2</v>
          </cell>
          <cell r="B5739" t="str">
            <v>SMT</v>
          </cell>
          <cell r="C5739">
            <v>1</v>
          </cell>
          <cell r="D5739">
            <v>308</v>
          </cell>
          <cell r="E5739">
            <v>6210</v>
          </cell>
          <cell r="F5739" t="str">
            <v>VG01</v>
          </cell>
          <cell r="G5739" t="str">
            <v>Auto</v>
          </cell>
          <cell r="H5739">
            <v>311</v>
          </cell>
          <cell r="I5739">
            <v>6210</v>
          </cell>
          <cell r="J5739">
            <v>6220</v>
          </cell>
          <cell r="K5739" t="str">
            <v>VG01</v>
          </cell>
        </row>
        <row r="5740">
          <cell r="A5740" t="str">
            <v>1RH1A603L3G80RP</v>
          </cell>
          <cell r="B5740" t="str">
            <v>SMT</v>
          </cell>
          <cell r="C5740">
            <v>1</v>
          </cell>
          <cell r="D5740">
            <v>15</v>
          </cell>
        </row>
        <row r="5741">
          <cell r="A5741" t="str">
            <v>1RH1A603L-3G9A</v>
          </cell>
          <cell r="B5741" t="str">
            <v>SMT</v>
          </cell>
          <cell r="C5741">
            <v>1</v>
          </cell>
          <cell r="D5741">
            <v>14</v>
          </cell>
        </row>
        <row r="5742">
          <cell r="A5742" t="str">
            <v>1RH1A603L3G9AP1</v>
          </cell>
          <cell r="B5742" t="str">
            <v>SMT</v>
          </cell>
          <cell r="C5742">
            <v>1</v>
          </cell>
          <cell r="D5742">
            <v>14</v>
          </cell>
        </row>
        <row r="5743">
          <cell r="A5743" t="str">
            <v>1RH1H603Y-3K20P2</v>
          </cell>
          <cell r="B5743" t="str">
            <v>SMT</v>
          </cell>
          <cell r="C5743">
            <v>1</v>
          </cell>
          <cell r="D5743">
            <v>4</v>
          </cell>
        </row>
        <row r="5744">
          <cell r="A5744" t="str">
            <v>1RH1H683L-3K20-PP2</v>
          </cell>
          <cell r="B5744" t="str">
            <v>SMT</v>
          </cell>
          <cell r="C5744">
            <v>1</v>
          </cell>
          <cell r="D5744">
            <v>34</v>
          </cell>
        </row>
        <row r="5745">
          <cell r="A5745" t="str">
            <v>1TE1A603L3G80RP</v>
          </cell>
          <cell r="B5745" t="str">
            <v>SMT</v>
          </cell>
          <cell r="C5745">
            <v>1</v>
          </cell>
          <cell r="D5745">
            <v>3</v>
          </cell>
        </row>
        <row r="5746">
          <cell r="A5746" t="str">
            <v>1TE1A603L-3G9A</v>
          </cell>
          <cell r="B5746" t="str">
            <v>SMT</v>
          </cell>
          <cell r="C5746">
            <v>1</v>
          </cell>
          <cell r="D5746">
            <v>7</v>
          </cell>
        </row>
        <row r="5747">
          <cell r="A5747" t="str">
            <v>1TE1A603L3G9AP1</v>
          </cell>
          <cell r="B5747" t="str">
            <v>SMT</v>
          </cell>
          <cell r="C5747">
            <v>1</v>
          </cell>
          <cell r="D5747">
            <v>7</v>
          </cell>
        </row>
        <row r="5748">
          <cell r="A5748" t="str">
            <v>1TE1H603Y-3K20P2</v>
          </cell>
          <cell r="B5748" t="str">
            <v>SMT</v>
          </cell>
          <cell r="C5748">
            <v>1</v>
          </cell>
          <cell r="D5748">
            <v>10</v>
          </cell>
        </row>
        <row r="5749">
          <cell r="A5749" t="str">
            <v>1TE1H683L-3K20-PP2</v>
          </cell>
          <cell r="B5749" t="str">
            <v>SMT</v>
          </cell>
          <cell r="C5749">
            <v>1</v>
          </cell>
          <cell r="D5749">
            <v>1</v>
          </cell>
        </row>
        <row r="5750">
          <cell r="A5750" t="str">
            <v>1AE1H603L3J81P1</v>
          </cell>
          <cell r="B5750" t="str">
            <v>SMT</v>
          </cell>
          <cell r="C5750">
            <v>1</v>
          </cell>
          <cell r="D5750">
            <v>12</v>
          </cell>
        </row>
        <row r="5751">
          <cell r="A5751" t="str">
            <v>1RH1H603L3J81P1</v>
          </cell>
          <cell r="B5751" t="str">
            <v>SMT</v>
          </cell>
          <cell r="C5751">
            <v>1</v>
          </cell>
          <cell r="D5751">
            <v>10</v>
          </cell>
        </row>
        <row r="5752">
          <cell r="A5752" t="str">
            <v>1RE1H603L3J81P1</v>
          </cell>
          <cell r="B5752" t="str">
            <v>SMT</v>
          </cell>
          <cell r="C5752">
            <v>1</v>
          </cell>
          <cell r="D5752">
            <v>120</v>
          </cell>
        </row>
        <row r="5753">
          <cell r="A5753" t="str">
            <v>1CM1H603L3J81P1</v>
          </cell>
          <cell r="B5753" t="str">
            <v>SMT</v>
          </cell>
          <cell r="C5753">
            <v>1</v>
          </cell>
          <cell r="D5753">
            <v>117</v>
          </cell>
          <cell r="E5753">
            <v>6210</v>
          </cell>
          <cell r="F5753" t="str">
            <v>VG01</v>
          </cell>
          <cell r="G5753" t="str">
            <v>Auto</v>
          </cell>
          <cell r="H5753">
            <v>311</v>
          </cell>
          <cell r="I5753">
            <v>6210</v>
          </cell>
          <cell r="J5753">
            <v>6220</v>
          </cell>
          <cell r="K5753" t="str">
            <v>VG01</v>
          </cell>
        </row>
        <row r="5754">
          <cell r="A5754" t="str">
            <v>1RE1A607B3J80P1</v>
          </cell>
          <cell r="B5754" t="str">
            <v>SMT</v>
          </cell>
          <cell r="C5754">
            <v>1</v>
          </cell>
          <cell r="D5754">
            <v>300</v>
          </cell>
        </row>
        <row r="5755">
          <cell r="A5755" t="str">
            <v>1RE2A607B3J80P1</v>
          </cell>
          <cell r="B5755" t="str">
            <v>SMT</v>
          </cell>
          <cell r="C5755">
            <v>1</v>
          </cell>
          <cell r="D5755">
            <v>180</v>
          </cell>
          <cell r="E5755">
            <v>6210</v>
          </cell>
          <cell r="F5755" t="str">
            <v>VG01</v>
          </cell>
          <cell r="G5755" t="str">
            <v>Auto</v>
          </cell>
          <cell r="H5755">
            <v>311</v>
          </cell>
          <cell r="I5755">
            <v>6210</v>
          </cell>
          <cell r="J5755">
            <v>6220</v>
          </cell>
          <cell r="K5755" t="str">
            <v>VG01</v>
          </cell>
        </row>
        <row r="5756">
          <cell r="A5756" t="str">
            <v>1RE1J605Q3J80P1</v>
          </cell>
          <cell r="B5756" t="str">
            <v>SMT</v>
          </cell>
          <cell r="C5756">
            <v>1</v>
          </cell>
          <cell r="D5756">
            <v>102</v>
          </cell>
        </row>
        <row r="5757">
          <cell r="A5757" t="str">
            <v>1RE2J605Q3J80P1</v>
          </cell>
          <cell r="B5757" t="str">
            <v>SMT</v>
          </cell>
          <cell r="C5757">
            <v>1</v>
          </cell>
          <cell r="D5757">
            <v>12</v>
          </cell>
          <cell r="E5757">
            <v>6210</v>
          </cell>
          <cell r="F5757" t="str">
            <v>VG01</v>
          </cell>
          <cell r="G5757" t="str">
            <v>Auto</v>
          </cell>
          <cell r="H5757">
            <v>311</v>
          </cell>
          <cell r="I5757">
            <v>6210</v>
          </cell>
          <cell r="J5757">
            <v>6220</v>
          </cell>
          <cell r="K5757" t="str">
            <v>VG01</v>
          </cell>
        </row>
        <row r="5758">
          <cell r="A5758" t="str">
            <v>A6575-3G60</v>
          </cell>
          <cell r="B5758" t="str">
            <v>SMT</v>
          </cell>
          <cell r="C5758">
            <v>1</v>
          </cell>
          <cell r="D5758" t="e">
            <v>#N/A</v>
          </cell>
        </row>
        <row r="5759">
          <cell r="A5759" t="str">
            <v>1VJ1A605Q-3G9A</v>
          </cell>
          <cell r="B5759" t="str">
            <v>SMT</v>
          </cell>
          <cell r="C5759">
            <v>1</v>
          </cell>
          <cell r="D5759" t="e">
            <v>#N/A</v>
          </cell>
        </row>
        <row r="5760">
          <cell r="A5760" t="str">
            <v>1VJ2A605Q-3G9A</v>
          </cell>
          <cell r="B5760" t="str">
            <v>SMT</v>
          </cell>
          <cell r="C5760">
            <v>1</v>
          </cell>
          <cell r="D5760" t="e">
            <v>#N/A</v>
          </cell>
        </row>
        <row r="5761">
          <cell r="A5761" t="str">
            <v>1RE2A605Q3G8ABP</v>
          </cell>
          <cell r="B5761" t="str">
            <v>SMT</v>
          </cell>
          <cell r="C5761">
            <v>1</v>
          </cell>
          <cell r="D5761">
            <v>132</v>
          </cell>
          <cell r="E5761">
            <v>6210</v>
          </cell>
          <cell r="F5761" t="str">
            <v>VG01</v>
          </cell>
          <cell r="G5761" t="str">
            <v>Auto</v>
          </cell>
          <cell r="H5761">
            <v>311</v>
          </cell>
          <cell r="I5761">
            <v>6210</v>
          </cell>
          <cell r="J5761">
            <v>6310</v>
          </cell>
          <cell r="K5761" t="str">
            <v>VG01</v>
          </cell>
        </row>
        <row r="5762">
          <cell r="A5762" t="str">
            <v>1VJ1A605Q3G8ABP</v>
          </cell>
          <cell r="B5762" t="str">
            <v>SMT</v>
          </cell>
          <cell r="C5762">
            <v>1</v>
          </cell>
          <cell r="D5762" t="e">
            <v>#N/A</v>
          </cell>
        </row>
        <row r="5763">
          <cell r="A5763" t="str">
            <v>1VJ2A605Q3G8ABP</v>
          </cell>
          <cell r="B5763" t="str">
            <v>SMT</v>
          </cell>
          <cell r="C5763">
            <v>1</v>
          </cell>
          <cell r="D5763" t="e">
            <v>#N/A</v>
          </cell>
        </row>
        <row r="5764">
          <cell r="A5764" t="str">
            <v>1RE1A605Q3G8ABP</v>
          </cell>
          <cell r="B5764" t="str">
            <v>SMT</v>
          </cell>
          <cell r="C5764">
            <v>1</v>
          </cell>
          <cell r="D5764">
            <v>79</v>
          </cell>
        </row>
        <row r="5765">
          <cell r="A5765" t="str">
            <v>1RE2607B3J80P1</v>
          </cell>
          <cell r="B5765" t="str">
            <v>SMT</v>
          </cell>
          <cell r="C5765">
            <v>1</v>
          </cell>
          <cell r="D5765">
            <v>300</v>
          </cell>
          <cell r="E5765">
            <v>6210</v>
          </cell>
          <cell r="F5765" t="str">
            <v>VG01</v>
          </cell>
          <cell r="G5765" t="str">
            <v>Auto</v>
          </cell>
          <cell r="H5765">
            <v>311</v>
          </cell>
          <cell r="I5765">
            <v>6210</v>
          </cell>
          <cell r="J5765">
            <v>6220</v>
          </cell>
          <cell r="K5765" t="str">
            <v>VG01</v>
          </cell>
        </row>
        <row r="5766">
          <cell r="A5766" t="str">
            <v>1RE1607B3J80P1</v>
          </cell>
          <cell r="B5766" t="str">
            <v>SMT</v>
          </cell>
          <cell r="C5766">
            <v>1</v>
          </cell>
          <cell r="D5766">
            <v>181</v>
          </cell>
        </row>
        <row r="5767">
          <cell r="A5767" t="str">
            <v>1CM1H603L6P10AP1</v>
          </cell>
          <cell r="B5767" t="str">
            <v>SMT</v>
          </cell>
          <cell r="C5767">
            <v>1</v>
          </cell>
          <cell r="D5767">
            <v>67</v>
          </cell>
          <cell r="E5767">
            <v>6210</v>
          </cell>
          <cell r="F5767" t="str">
            <v>VG01</v>
          </cell>
          <cell r="G5767" t="str">
            <v>Auto</v>
          </cell>
          <cell r="H5767">
            <v>311</v>
          </cell>
          <cell r="I5767">
            <v>6210</v>
          </cell>
          <cell r="J5767">
            <v>6220</v>
          </cell>
          <cell r="K5767" t="str">
            <v>VG01</v>
          </cell>
        </row>
        <row r="5768">
          <cell r="A5768" t="str">
            <v>1RH1H603L6P10AP1</v>
          </cell>
          <cell r="B5768" t="str">
            <v>SMT</v>
          </cell>
          <cell r="C5768">
            <v>1</v>
          </cell>
          <cell r="D5768">
            <v>2</v>
          </cell>
        </row>
        <row r="5769">
          <cell r="A5769" t="str">
            <v>1AE1H603L6P10AP1</v>
          </cell>
          <cell r="B5769" t="str">
            <v>SMT</v>
          </cell>
          <cell r="C5769">
            <v>1</v>
          </cell>
          <cell r="D5769">
            <v>24</v>
          </cell>
        </row>
        <row r="5770">
          <cell r="A5770" t="str">
            <v>1HT1H603L6P10AP1</v>
          </cell>
          <cell r="B5770" t="str">
            <v>SMT</v>
          </cell>
          <cell r="C5770">
            <v>1</v>
          </cell>
          <cell r="D5770">
            <v>6</v>
          </cell>
        </row>
        <row r="5771">
          <cell r="A5771" t="str">
            <v>1CM1H603Y-3K20</v>
          </cell>
          <cell r="B5771" t="str">
            <v>SMT</v>
          </cell>
          <cell r="C5771">
            <v>1</v>
          </cell>
          <cell r="D5771">
            <v>6</v>
          </cell>
          <cell r="E5771">
            <v>6210</v>
          </cell>
          <cell r="F5771" t="str">
            <v>VG01</v>
          </cell>
          <cell r="G5771" t="str">
            <v>Auto</v>
          </cell>
          <cell r="H5771">
            <v>311</v>
          </cell>
          <cell r="I5771">
            <v>6210</v>
          </cell>
          <cell r="J5771">
            <v>6220</v>
          </cell>
          <cell r="K5771" t="str">
            <v>VG01</v>
          </cell>
        </row>
        <row r="5772">
          <cell r="A5772" t="str">
            <v>1RH1H603Y-3K20</v>
          </cell>
          <cell r="B5772" t="str">
            <v>SMT</v>
          </cell>
          <cell r="C5772">
            <v>1</v>
          </cell>
          <cell r="D5772">
            <v>4</v>
          </cell>
        </row>
        <row r="5773">
          <cell r="A5773" t="str">
            <v>1TE1H603Y-3K20</v>
          </cell>
          <cell r="B5773" t="str">
            <v>SMT</v>
          </cell>
          <cell r="C5773">
            <v>1</v>
          </cell>
          <cell r="D5773">
            <v>10</v>
          </cell>
        </row>
        <row r="5774">
          <cell r="A5774" t="str">
            <v>1AE1H603Y-3K20</v>
          </cell>
          <cell r="B5774" t="str">
            <v>SMT</v>
          </cell>
          <cell r="C5774">
            <v>1</v>
          </cell>
          <cell r="D5774">
            <v>10</v>
          </cell>
        </row>
        <row r="5775">
          <cell r="A5775" t="str">
            <v>1HT1H603Y-3K20</v>
          </cell>
          <cell r="B5775" t="str">
            <v>SMT</v>
          </cell>
          <cell r="C5775">
            <v>1</v>
          </cell>
          <cell r="D5775">
            <v>10</v>
          </cell>
        </row>
        <row r="5776">
          <cell r="A5776" t="str">
            <v>1CM1H683L-3K20</v>
          </cell>
          <cell r="B5776" t="str">
            <v>SMT</v>
          </cell>
          <cell r="C5776">
            <v>1</v>
          </cell>
          <cell r="D5776">
            <v>413</v>
          </cell>
          <cell r="E5776">
            <v>6210</v>
          </cell>
          <cell r="F5776" t="str">
            <v>VG01</v>
          </cell>
          <cell r="G5776" t="str">
            <v>Auto</v>
          </cell>
          <cell r="H5776">
            <v>311</v>
          </cell>
          <cell r="I5776">
            <v>6210</v>
          </cell>
          <cell r="J5776">
            <v>6220</v>
          </cell>
          <cell r="K5776" t="str">
            <v>VG01</v>
          </cell>
        </row>
        <row r="5777">
          <cell r="A5777" t="str">
            <v>1RH1H683L-3K20</v>
          </cell>
          <cell r="B5777" t="str">
            <v>SMT</v>
          </cell>
          <cell r="C5777">
            <v>1</v>
          </cell>
          <cell r="D5777">
            <v>33</v>
          </cell>
        </row>
        <row r="5778">
          <cell r="A5778" t="str">
            <v>1TE1H683L-3K20</v>
          </cell>
          <cell r="B5778" t="str">
            <v>SMT</v>
          </cell>
          <cell r="C5778">
            <v>1</v>
          </cell>
          <cell r="D5778">
            <v>1</v>
          </cell>
        </row>
        <row r="5779">
          <cell r="A5779" t="str">
            <v>1AE1H683L-3K20</v>
          </cell>
          <cell r="B5779" t="str">
            <v>SMT</v>
          </cell>
          <cell r="C5779">
            <v>1</v>
          </cell>
          <cell r="D5779">
            <v>150</v>
          </cell>
        </row>
        <row r="5780">
          <cell r="A5780" t="str">
            <v>1HT1H683L-3K20</v>
          </cell>
          <cell r="B5780" t="str">
            <v>SMT</v>
          </cell>
          <cell r="C5780">
            <v>1</v>
          </cell>
          <cell r="D5780">
            <v>18</v>
          </cell>
        </row>
        <row r="5781">
          <cell r="A5781" t="str">
            <v>1RE2H685Q-3K20</v>
          </cell>
          <cell r="B5781" t="str">
            <v>SMT</v>
          </cell>
          <cell r="C5781">
            <v>1</v>
          </cell>
          <cell r="D5781">
            <v>308</v>
          </cell>
          <cell r="E5781">
            <v>6210</v>
          </cell>
          <cell r="F5781" t="str">
            <v>VG01</v>
          </cell>
          <cell r="G5781" t="str">
            <v>Auto</v>
          </cell>
          <cell r="H5781">
            <v>311</v>
          </cell>
          <cell r="I5781">
            <v>6210</v>
          </cell>
          <cell r="J5781">
            <v>6220</v>
          </cell>
          <cell r="K5781" t="str">
            <v>VG01</v>
          </cell>
        </row>
        <row r="5782">
          <cell r="A5782" t="str">
            <v>1RE1H685Q-3K20</v>
          </cell>
          <cell r="B5782" t="str">
            <v>SMT</v>
          </cell>
          <cell r="C5782">
            <v>1</v>
          </cell>
          <cell r="D5782">
            <v>142</v>
          </cell>
        </row>
        <row r="5783">
          <cell r="A5783" t="str">
            <v>1VJ1H685Q-3K20</v>
          </cell>
          <cell r="B5783" t="str">
            <v>SMT</v>
          </cell>
          <cell r="C5783">
            <v>1</v>
          </cell>
          <cell r="D5783" t="e">
            <v>#N/A</v>
          </cell>
        </row>
        <row r="5784">
          <cell r="A5784" t="str">
            <v>1VJ2H685Q-3K20</v>
          </cell>
          <cell r="B5784" t="str">
            <v>SMT</v>
          </cell>
          <cell r="C5784">
            <v>1</v>
          </cell>
          <cell r="D5784" t="e">
            <v>#N/A</v>
          </cell>
        </row>
        <row r="5785">
          <cell r="A5785" t="str">
            <v>1RE2CC411B</v>
          </cell>
          <cell r="B5785" t="str">
            <v>SMT</v>
          </cell>
          <cell r="C5785">
            <v>1</v>
          </cell>
          <cell r="D5785">
            <v>469</v>
          </cell>
          <cell r="E5785">
            <v>9210</v>
          </cell>
          <cell r="F5785" t="str">
            <v>VE01</v>
          </cell>
          <cell r="G5785" t="str">
            <v>Auto</v>
          </cell>
          <cell r="H5785">
            <v>311</v>
          </cell>
          <cell r="I5785">
            <v>9210</v>
          </cell>
          <cell r="J5785">
            <v>9220</v>
          </cell>
          <cell r="K5785" t="str">
            <v>VE01</v>
          </cell>
        </row>
        <row r="5786">
          <cell r="A5786" t="str">
            <v>1RE1CC411B</v>
          </cell>
          <cell r="B5786" t="str">
            <v>SMT</v>
          </cell>
          <cell r="C5786">
            <v>1</v>
          </cell>
          <cell r="D5786">
            <v>598</v>
          </cell>
        </row>
        <row r="5787">
          <cell r="A5787" t="str">
            <v>1VJ1CC411BBB1</v>
          </cell>
          <cell r="B5787" t="str">
            <v>SMT</v>
          </cell>
          <cell r="C5787">
            <v>1</v>
          </cell>
          <cell r="D5787" t="e">
            <v>#N/A</v>
          </cell>
        </row>
        <row r="5788">
          <cell r="A5788" t="str">
            <v>3VJ1CC411BDSP1</v>
          </cell>
          <cell r="B5788" t="str">
            <v>SMT</v>
          </cell>
          <cell r="C5788">
            <v>1</v>
          </cell>
          <cell r="D5788" t="e">
            <v>#N/A</v>
          </cell>
        </row>
        <row r="5789">
          <cell r="A5789" t="str">
            <v>2RE2CC411B</v>
          </cell>
          <cell r="B5789" t="str">
            <v>SMT</v>
          </cell>
          <cell r="C5789">
            <v>1</v>
          </cell>
          <cell r="D5789">
            <v>111</v>
          </cell>
          <cell r="E5789">
            <v>9210</v>
          </cell>
          <cell r="F5789" t="str">
            <v>VE01</v>
          </cell>
          <cell r="G5789" t="str">
            <v>Auto</v>
          </cell>
          <cell r="H5789">
            <v>311</v>
          </cell>
          <cell r="I5789">
            <v>9210</v>
          </cell>
          <cell r="J5789">
            <v>9340</v>
          </cell>
          <cell r="K5789" t="str">
            <v>VE01</v>
          </cell>
        </row>
        <row r="5790">
          <cell r="A5790" t="str">
            <v>2RE1CC411B</v>
          </cell>
          <cell r="B5790" t="str">
            <v>SMT</v>
          </cell>
          <cell r="C5790">
            <v>1</v>
          </cell>
          <cell r="D5790">
            <v>121</v>
          </cell>
        </row>
        <row r="5791">
          <cell r="A5791" t="str">
            <v>2VJ1CC411BUNI1</v>
          </cell>
          <cell r="B5791" t="str">
            <v>SMT</v>
          </cell>
          <cell r="C5791">
            <v>1</v>
          </cell>
          <cell r="D5791" t="e">
            <v>#N/A</v>
          </cell>
        </row>
        <row r="5792">
          <cell r="A5792" t="str">
            <v>2VJ2CC411BUNI2</v>
          </cell>
          <cell r="B5792" t="str">
            <v>SMT</v>
          </cell>
          <cell r="C5792">
            <v>1</v>
          </cell>
          <cell r="D5792" t="e">
            <v>#N/A</v>
          </cell>
        </row>
        <row r="5793">
          <cell r="A5793" t="str">
            <v>PULB1064YA-GL</v>
          </cell>
          <cell r="B5793" t="str">
            <v>SMT</v>
          </cell>
          <cell r="C5793">
            <v>1</v>
          </cell>
          <cell r="D5793" t="e">
            <v>#N/A</v>
          </cell>
        </row>
        <row r="5794">
          <cell r="A5794" t="str">
            <v>PULB1056ZA-XM</v>
          </cell>
          <cell r="B5794" t="str">
            <v>SMT</v>
          </cell>
          <cell r="C5794">
            <v>1</v>
          </cell>
          <cell r="D5794" t="e">
            <v>#N/A</v>
          </cell>
          <cell r="E5794">
            <v>9210</v>
          </cell>
          <cell r="F5794" t="str">
            <v>VE01</v>
          </cell>
          <cell r="G5794" t="str">
            <v>Auto</v>
          </cell>
          <cell r="H5794">
            <v>311</v>
          </cell>
          <cell r="I5794">
            <v>9210</v>
          </cell>
          <cell r="J5794">
            <v>9220</v>
          </cell>
          <cell r="K5794" t="str">
            <v>VE01</v>
          </cell>
        </row>
        <row r="5795">
          <cell r="A5795" t="str">
            <v>1AE1ARBPC1A05301</v>
          </cell>
          <cell r="B5795" t="str">
            <v>SMT</v>
          </cell>
          <cell r="C5795">
            <v>2</v>
          </cell>
          <cell r="D5795">
            <v>56</v>
          </cell>
        </row>
        <row r="5796">
          <cell r="A5796" t="str">
            <v>1AE1ARBPC1A09142</v>
          </cell>
          <cell r="B5796" t="str">
            <v>SMT</v>
          </cell>
          <cell r="C5796">
            <v>1</v>
          </cell>
          <cell r="D5796">
            <v>6</v>
          </cell>
        </row>
        <row r="5797">
          <cell r="A5797" t="str">
            <v>1AE1ARBPC1A09972</v>
          </cell>
          <cell r="B5797" t="str">
            <v>SMT</v>
          </cell>
          <cell r="C5797">
            <v>2</v>
          </cell>
          <cell r="D5797">
            <v>5</v>
          </cell>
        </row>
        <row r="5798">
          <cell r="A5798" t="str">
            <v>1AE1ARBPC1A09982</v>
          </cell>
          <cell r="B5798" t="str">
            <v>SMT</v>
          </cell>
          <cell r="C5798">
            <v>1</v>
          </cell>
          <cell r="D5798">
            <v>5</v>
          </cell>
        </row>
        <row r="5799">
          <cell r="A5799" t="str">
            <v>1AE1ARBPC1A09992</v>
          </cell>
          <cell r="B5799" t="str">
            <v>SMT</v>
          </cell>
          <cell r="C5799">
            <v>1</v>
          </cell>
          <cell r="D5799">
            <v>4</v>
          </cell>
        </row>
        <row r="5800">
          <cell r="A5800" t="str">
            <v>1AE1ARBPC1A10012</v>
          </cell>
          <cell r="B5800" t="str">
            <v>SMT</v>
          </cell>
          <cell r="C5800">
            <v>1</v>
          </cell>
          <cell r="D5800">
            <v>7</v>
          </cell>
        </row>
        <row r="5801">
          <cell r="A5801" t="str">
            <v>1AE1ARBPC1A10670</v>
          </cell>
          <cell r="B5801" t="str">
            <v>SMT</v>
          </cell>
          <cell r="C5801">
            <v>1</v>
          </cell>
          <cell r="D5801">
            <v>6</v>
          </cell>
        </row>
        <row r="5802">
          <cell r="A5802" t="str">
            <v>1CM1ARBPC1A09972</v>
          </cell>
          <cell r="B5802" t="str">
            <v>SMT</v>
          </cell>
          <cell r="C5802">
            <v>2</v>
          </cell>
          <cell r="D5802">
            <v>23</v>
          </cell>
          <cell r="E5802">
            <v>8210</v>
          </cell>
          <cell r="F5802" t="str">
            <v>V501</v>
          </cell>
          <cell r="G5802" t="str">
            <v>Auto</v>
          </cell>
          <cell r="H5802">
            <v>311</v>
          </cell>
          <cell r="I5802">
            <v>8210</v>
          </cell>
          <cell r="J5802">
            <v>8220</v>
          </cell>
          <cell r="K5802" t="str">
            <v>V501</v>
          </cell>
        </row>
        <row r="5803">
          <cell r="A5803" t="str">
            <v>1CM1ARBPC1A09982</v>
          </cell>
          <cell r="B5803" t="str">
            <v>SMT</v>
          </cell>
          <cell r="C5803">
            <v>1</v>
          </cell>
          <cell r="D5803">
            <v>23</v>
          </cell>
        </row>
        <row r="5804">
          <cell r="A5804" t="str">
            <v>1CM1ARBPC1A09992</v>
          </cell>
          <cell r="B5804" t="str">
            <v>SMT</v>
          </cell>
          <cell r="C5804">
            <v>1</v>
          </cell>
          <cell r="D5804">
            <v>24</v>
          </cell>
        </row>
        <row r="5805">
          <cell r="A5805" t="str">
            <v>1RE1ARBPC1A09142</v>
          </cell>
          <cell r="B5805" t="str">
            <v>SMT</v>
          </cell>
          <cell r="C5805">
            <v>1</v>
          </cell>
          <cell r="D5805">
            <v>173</v>
          </cell>
        </row>
        <row r="5806">
          <cell r="A5806" t="str">
            <v>1RE1ARBPC1A09972</v>
          </cell>
          <cell r="B5806" t="str">
            <v>SMT</v>
          </cell>
          <cell r="C5806">
            <v>2</v>
          </cell>
          <cell r="D5806">
            <v>239</v>
          </cell>
        </row>
        <row r="5807">
          <cell r="A5807" t="str">
            <v>1RE1ARBPC1A09982</v>
          </cell>
          <cell r="B5807" t="str">
            <v>SMT</v>
          </cell>
          <cell r="C5807">
            <v>1</v>
          </cell>
          <cell r="D5807">
            <v>228</v>
          </cell>
        </row>
        <row r="5808">
          <cell r="A5808" t="str">
            <v>1RE1ARBPC1A09992</v>
          </cell>
          <cell r="B5808" t="str">
            <v>SMT</v>
          </cell>
          <cell r="C5808">
            <v>1</v>
          </cell>
          <cell r="D5808">
            <v>228</v>
          </cell>
        </row>
        <row r="5809">
          <cell r="A5809" t="str">
            <v>1RE1ARBPC1A10012</v>
          </cell>
          <cell r="B5809" t="str">
            <v>SMT</v>
          </cell>
          <cell r="C5809">
            <v>1</v>
          </cell>
          <cell r="D5809">
            <v>146</v>
          </cell>
        </row>
        <row r="5810">
          <cell r="A5810" t="str">
            <v>1RE1ARBPC1A10670</v>
          </cell>
          <cell r="B5810" t="str">
            <v>SMT</v>
          </cell>
          <cell r="C5810">
            <v>1</v>
          </cell>
          <cell r="D5810">
            <v>172</v>
          </cell>
        </row>
        <row r="5811">
          <cell r="A5811" t="str">
            <v>1RH1ARBPC1A06102</v>
          </cell>
          <cell r="B5811" t="str">
            <v>SMT</v>
          </cell>
          <cell r="C5811">
            <v>2</v>
          </cell>
          <cell r="D5811">
            <v>16</v>
          </cell>
        </row>
        <row r="5812">
          <cell r="A5812" t="str">
            <v>1RH1ARBPC1A09142</v>
          </cell>
          <cell r="B5812" t="str">
            <v>SMT</v>
          </cell>
          <cell r="C5812">
            <v>1</v>
          </cell>
          <cell r="D5812">
            <v>20</v>
          </cell>
        </row>
        <row r="5813">
          <cell r="A5813" t="str">
            <v>1RH1ARBPC1A09972</v>
          </cell>
          <cell r="B5813" t="str">
            <v>SMT</v>
          </cell>
          <cell r="C5813">
            <v>2</v>
          </cell>
          <cell r="D5813">
            <v>21</v>
          </cell>
        </row>
        <row r="5814">
          <cell r="A5814" t="str">
            <v>1RH1ARBPC1A09982</v>
          </cell>
          <cell r="B5814" t="str">
            <v>SMT</v>
          </cell>
          <cell r="C5814">
            <v>1</v>
          </cell>
          <cell r="D5814">
            <v>24</v>
          </cell>
        </row>
        <row r="5815">
          <cell r="A5815" t="str">
            <v>1RH1ARBPC1A09992</v>
          </cell>
          <cell r="B5815" t="str">
            <v>SMT</v>
          </cell>
          <cell r="C5815">
            <v>1</v>
          </cell>
          <cell r="D5815">
            <v>24</v>
          </cell>
        </row>
        <row r="5816">
          <cell r="A5816" t="str">
            <v>1RH1ARBPC1A10012</v>
          </cell>
          <cell r="B5816" t="str">
            <v>SMT</v>
          </cell>
          <cell r="C5816">
            <v>1</v>
          </cell>
          <cell r="D5816">
            <v>17</v>
          </cell>
        </row>
        <row r="5817">
          <cell r="A5817" t="str">
            <v>1RH1ARBPC1A10670</v>
          </cell>
          <cell r="B5817" t="str">
            <v>SMT</v>
          </cell>
          <cell r="C5817">
            <v>1</v>
          </cell>
          <cell r="D5817">
            <v>16</v>
          </cell>
        </row>
        <row r="5818">
          <cell r="A5818" t="str">
            <v>1CM1ARBPC1A10781</v>
          </cell>
          <cell r="B5818" t="str">
            <v>SMT</v>
          </cell>
          <cell r="C5818">
            <v>1</v>
          </cell>
          <cell r="D5818">
            <v>28</v>
          </cell>
        </row>
        <row r="5819">
          <cell r="A5819" t="str">
            <v>1RH1ARBPC1A10781</v>
          </cell>
          <cell r="B5819" t="str">
            <v>SMT</v>
          </cell>
          <cell r="C5819">
            <v>1</v>
          </cell>
          <cell r="D5819">
            <v>13</v>
          </cell>
        </row>
        <row r="5820">
          <cell r="A5820" t="str">
            <v>1AE1ARBPC1A10781</v>
          </cell>
          <cell r="B5820" t="str">
            <v>SMT</v>
          </cell>
          <cell r="C5820">
            <v>1</v>
          </cell>
          <cell r="D5820">
            <v>3</v>
          </cell>
        </row>
        <row r="5821">
          <cell r="A5821" t="str">
            <v>1RE1ARBPC1A10781</v>
          </cell>
          <cell r="B5821" t="str">
            <v>SMT</v>
          </cell>
          <cell r="C5821">
            <v>1</v>
          </cell>
          <cell r="D5821">
            <v>117</v>
          </cell>
        </row>
        <row r="5822">
          <cell r="A5822" t="str">
            <v>1CM1ARBPC1A11620</v>
          </cell>
          <cell r="B5822" t="str">
            <v>SMT</v>
          </cell>
          <cell r="C5822">
            <v>1</v>
          </cell>
          <cell r="D5822">
            <v>12</v>
          </cell>
        </row>
        <row r="5823">
          <cell r="A5823" t="str">
            <v>1RH1ARBPC1A11620</v>
          </cell>
          <cell r="B5823" t="str">
            <v>SMT</v>
          </cell>
          <cell r="C5823">
            <v>1</v>
          </cell>
          <cell r="D5823">
            <v>14</v>
          </cell>
        </row>
        <row r="5824">
          <cell r="A5824" t="str">
            <v>1AE1ARBPC1A11620</v>
          </cell>
          <cell r="B5824" t="str">
            <v>SMT</v>
          </cell>
          <cell r="C5824">
            <v>1</v>
          </cell>
          <cell r="D5824">
            <v>5</v>
          </cell>
        </row>
        <row r="5825">
          <cell r="A5825" t="str">
            <v>1RE1ARBPC1A11620</v>
          </cell>
          <cell r="B5825" t="str">
            <v>SMT</v>
          </cell>
          <cell r="C5825">
            <v>1</v>
          </cell>
          <cell r="D5825">
            <v>86</v>
          </cell>
        </row>
        <row r="5826">
          <cell r="A5826" t="str">
            <v>1VI1LPFG520RCMYA</v>
          </cell>
          <cell r="B5826" t="str">
            <v>SMT</v>
          </cell>
          <cell r="C5826">
            <v>1</v>
          </cell>
          <cell r="D5826" t="e">
            <v>#N/A</v>
          </cell>
        </row>
        <row r="5827">
          <cell r="A5827" t="str">
            <v>1RE1LPFG520RCMYA</v>
          </cell>
          <cell r="B5827" t="str">
            <v>SMT</v>
          </cell>
          <cell r="C5827">
            <v>1</v>
          </cell>
          <cell r="D5827">
            <v>174</v>
          </cell>
        </row>
        <row r="5828">
          <cell r="A5828" t="str">
            <v>1RE2LPFG520RCMYA</v>
          </cell>
          <cell r="B5828" t="str">
            <v>SMT</v>
          </cell>
          <cell r="C5828">
            <v>1</v>
          </cell>
          <cell r="D5828">
            <v>134</v>
          </cell>
          <cell r="E5828">
            <v>2210</v>
          </cell>
          <cell r="F5828" t="str">
            <v>VC01</v>
          </cell>
          <cell r="G5828" t="str">
            <v>Auto</v>
          </cell>
          <cell r="H5828">
            <v>311</v>
          </cell>
          <cell r="I5828">
            <v>2210</v>
          </cell>
          <cell r="J5828">
            <v>2280</v>
          </cell>
          <cell r="K5828" t="str">
            <v>VC01</v>
          </cell>
        </row>
        <row r="5829">
          <cell r="A5829" t="str">
            <v>1RE1ARBPC1A11461</v>
          </cell>
          <cell r="B5829" t="str">
            <v>SMT</v>
          </cell>
          <cell r="C5829">
            <v>1</v>
          </cell>
          <cell r="D5829">
            <v>178</v>
          </cell>
        </row>
        <row r="5830">
          <cell r="A5830" t="str">
            <v>1AP1LPFG520RCMYA</v>
          </cell>
          <cell r="B5830" t="str">
            <v>SMT</v>
          </cell>
          <cell r="C5830">
            <v>1</v>
          </cell>
          <cell r="D5830" t="e">
            <v>#N/A</v>
          </cell>
          <cell r="E5830">
            <v>2210</v>
          </cell>
          <cell r="F5830" t="str">
            <v>VC01</v>
          </cell>
          <cell r="G5830" t="str">
            <v>Auto</v>
          </cell>
          <cell r="H5830">
            <v>311</v>
          </cell>
          <cell r="I5830">
            <v>2210</v>
          </cell>
          <cell r="J5830">
            <v>2280</v>
          </cell>
          <cell r="K5830" t="str">
            <v>VC01</v>
          </cell>
        </row>
        <row r="5831">
          <cell r="A5831" t="str">
            <v>1AE1ARBPC1A11461</v>
          </cell>
          <cell r="B5831" t="str">
            <v>SMT</v>
          </cell>
          <cell r="C5831">
            <v>1</v>
          </cell>
          <cell r="D5831">
            <v>8</v>
          </cell>
        </row>
        <row r="5832">
          <cell r="A5832" t="str">
            <v>1RH1ARBPC1A11461</v>
          </cell>
          <cell r="B5832" t="str">
            <v>SMT</v>
          </cell>
          <cell r="C5832">
            <v>1</v>
          </cell>
          <cell r="D5832">
            <v>17</v>
          </cell>
        </row>
        <row r="5833">
          <cell r="A5833" t="str">
            <v>1AE1ARBPC1A09823</v>
          </cell>
          <cell r="B5833" t="str">
            <v>SMT</v>
          </cell>
          <cell r="C5833">
            <v>2</v>
          </cell>
          <cell r="D5833">
            <v>6</v>
          </cell>
        </row>
        <row r="5834">
          <cell r="A5834" t="str">
            <v>1RH1ARBPC1A09823</v>
          </cell>
          <cell r="B5834" t="str">
            <v>SMT</v>
          </cell>
          <cell r="C5834">
            <v>2</v>
          </cell>
          <cell r="D5834">
            <v>16</v>
          </cell>
          <cell r="E5834">
            <v>8210</v>
          </cell>
          <cell r="F5834" t="str">
            <v>V501</v>
          </cell>
          <cell r="G5834" t="str">
            <v>Auto</v>
          </cell>
          <cell r="H5834">
            <v>311</v>
          </cell>
          <cell r="I5834">
            <v>8210</v>
          </cell>
          <cell r="J5834">
            <v>8220</v>
          </cell>
          <cell r="K5834" t="str">
            <v>V501</v>
          </cell>
        </row>
        <row r="5835">
          <cell r="A5835" t="str">
            <v>1RE1ARBPC1A09823</v>
          </cell>
          <cell r="B5835" t="str">
            <v>SMT</v>
          </cell>
          <cell r="C5835">
            <v>2</v>
          </cell>
          <cell r="D5835">
            <v>170</v>
          </cell>
        </row>
        <row r="5836">
          <cell r="A5836" t="str">
            <v>1AE1ARBPC1A11810</v>
          </cell>
          <cell r="B5836" t="str">
            <v>SMT</v>
          </cell>
          <cell r="C5836">
            <v>1</v>
          </cell>
          <cell r="D5836">
            <v>4</v>
          </cell>
        </row>
        <row r="5837">
          <cell r="A5837" t="str">
            <v>1RH1ARBPC1A11810</v>
          </cell>
          <cell r="B5837" t="str">
            <v>SMT</v>
          </cell>
          <cell r="C5837">
            <v>1</v>
          </cell>
          <cell r="D5837">
            <v>23</v>
          </cell>
        </row>
        <row r="5838">
          <cell r="A5838" t="str">
            <v>1RE1ARBPC1A11810</v>
          </cell>
          <cell r="B5838" t="str">
            <v>SMT</v>
          </cell>
          <cell r="C5838">
            <v>1</v>
          </cell>
          <cell r="D5838">
            <v>199</v>
          </cell>
        </row>
        <row r="5839">
          <cell r="A5839" t="str">
            <v>1CM1ARBPC1A11810</v>
          </cell>
          <cell r="B5839" t="str">
            <v>SMT</v>
          </cell>
          <cell r="C5839">
            <v>1</v>
          </cell>
          <cell r="D5839">
            <v>22</v>
          </cell>
        </row>
        <row r="5840">
          <cell r="A5840" t="str">
            <v>1RH1A603L3G8ABP</v>
          </cell>
          <cell r="B5840" t="str">
            <v>SMT</v>
          </cell>
          <cell r="C5840">
            <v>1</v>
          </cell>
          <cell r="D5840">
            <v>14</v>
          </cell>
        </row>
        <row r="5841">
          <cell r="A5841" t="str">
            <v>1TE1A603L3G8ABP</v>
          </cell>
          <cell r="B5841" t="str">
            <v>SMT</v>
          </cell>
          <cell r="C5841">
            <v>1</v>
          </cell>
          <cell r="D5841">
            <v>7</v>
          </cell>
        </row>
        <row r="5842">
          <cell r="A5842" t="str">
            <v>1AE1A603L3G8ABP</v>
          </cell>
          <cell r="B5842" t="str">
            <v>SMT</v>
          </cell>
          <cell r="C5842">
            <v>1</v>
          </cell>
          <cell r="D5842">
            <v>115</v>
          </cell>
        </row>
        <row r="5843">
          <cell r="A5843" t="str">
            <v>1HT1A603L3G8ABP</v>
          </cell>
          <cell r="B5843" t="str">
            <v>SMT</v>
          </cell>
          <cell r="C5843">
            <v>1</v>
          </cell>
          <cell r="D5843">
            <v>19</v>
          </cell>
        </row>
        <row r="5844">
          <cell r="A5844" t="str">
            <v>1CM1A603L3G8ABP</v>
          </cell>
          <cell r="B5844" t="str">
            <v>SMT</v>
          </cell>
          <cell r="C5844">
            <v>1</v>
          </cell>
          <cell r="D5844">
            <v>391</v>
          </cell>
          <cell r="E5844">
            <v>6210</v>
          </cell>
          <cell r="F5844" t="str">
            <v>VG01</v>
          </cell>
          <cell r="G5844" t="str">
            <v>Auto</v>
          </cell>
          <cell r="H5844">
            <v>311</v>
          </cell>
          <cell r="I5844">
            <v>6210</v>
          </cell>
          <cell r="J5844">
            <v>6220</v>
          </cell>
          <cell r="K5844" t="str">
            <v>VG01</v>
          </cell>
        </row>
        <row r="5845">
          <cell r="A5845" t="str">
            <v>1AE1TP7NA7725DD</v>
          </cell>
          <cell r="B5845" t="str">
            <v>SMT</v>
          </cell>
          <cell r="C5845">
            <v>1</v>
          </cell>
          <cell r="D5845">
            <v>127</v>
          </cell>
        </row>
        <row r="5846">
          <cell r="A5846" t="str">
            <v>1AE1TP7NA7726DB</v>
          </cell>
          <cell r="B5846" t="str">
            <v>SMT</v>
          </cell>
          <cell r="C5846">
            <v>1</v>
          </cell>
          <cell r="D5846">
            <v>86</v>
          </cell>
        </row>
        <row r="5847">
          <cell r="A5847" t="str">
            <v>1AE1TP7NA7885DA</v>
          </cell>
          <cell r="B5847" t="str">
            <v>SMT</v>
          </cell>
          <cell r="C5847">
            <v>1</v>
          </cell>
          <cell r="D5847">
            <v>106</v>
          </cell>
        </row>
        <row r="5848">
          <cell r="A5848" t="str">
            <v>1AE1TP7NA7885DB</v>
          </cell>
          <cell r="B5848" t="str">
            <v>SMT</v>
          </cell>
          <cell r="C5848">
            <v>1</v>
          </cell>
          <cell r="D5848">
            <v>106</v>
          </cell>
        </row>
        <row r="5849">
          <cell r="A5849" t="str">
            <v>1AE1TP7NA7885DC</v>
          </cell>
          <cell r="B5849" t="str">
            <v>SMT</v>
          </cell>
          <cell r="C5849">
            <v>1</v>
          </cell>
          <cell r="D5849">
            <v>106</v>
          </cell>
        </row>
        <row r="5850">
          <cell r="A5850" t="str">
            <v>1AE1TP7NA7885DD</v>
          </cell>
          <cell r="B5850" t="str">
            <v>SMT</v>
          </cell>
          <cell r="C5850">
            <v>1</v>
          </cell>
          <cell r="D5850">
            <v>106</v>
          </cell>
        </row>
        <row r="5851">
          <cell r="A5851" t="str">
            <v>1CM1TP4NA7370AA</v>
          </cell>
          <cell r="B5851" t="str">
            <v>SMT</v>
          </cell>
          <cell r="C5851">
            <v>1</v>
          </cell>
          <cell r="D5851">
            <v>8</v>
          </cell>
          <cell r="E5851">
            <v>3210</v>
          </cell>
          <cell r="F5851" t="str">
            <v>VV01</v>
          </cell>
          <cell r="G5851" t="str">
            <v>Auto</v>
          </cell>
          <cell r="H5851">
            <v>311</v>
          </cell>
          <cell r="I5851">
            <v>3210</v>
          </cell>
          <cell r="J5851">
            <v>3220</v>
          </cell>
          <cell r="K5851" t="str">
            <v>VV01</v>
          </cell>
        </row>
        <row r="5852">
          <cell r="A5852" t="str">
            <v>1CM1TP4NA7725DD</v>
          </cell>
          <cell r="B5852" t="str">
            <v>SMT</v>
          </cell>
          <cell r="C5852">
            <v>1</v>
          </cell>
          <cell r="D5852">
            <v>316</v>
          </cell>
          <cell r="E5852">
            <v>3210</v>
          </cell>
          <cell r="F5852" t="str">
            <v>VV01</v>
          </cell>
          <cell r="G5852" t="str">
            <v>Auto</v>
          </cell>
          <cell r="H5852">
            <v>311</v>
          </cell>
          <cell r="I5852">
            <v>3210</v>
          </cell>
          <cell r="J5852">
            <v>3220</v>
          </cell>
          <cell r="K5852" t="str">
            <v>VV01</v>
          </cell>
        </row>
        <row r="5853">
          <cell r="A5853" t="str">
            <v>1CM1TP4NA7726DB</v>
          </cell>
          <cell r="B5853" t="str">
            <v>SMT</v>
          </cell>
          <cell r="C5853">
            <v>1</v>
          </cell>
          <cell r="D5853">
            <v>258</v>
          </cell>
          <cell r="E5853">
            <v>3210</v>
          </cell>
          <cell r="F5853" t="str">
            <v>VV01</v>
          </cell>
          <cell r="G5853" t="str">
            <v>Auto</v>
          </cell>
          <cell r="H5853">
            <v>311</v>
          </cell>
          <cell r="I5853">
            <v>3210</v>
          </cell>
          <cell r="J5853">
            <v>3220</v>
          </cell>
          <cell r="K5853" t="str">
            <v>VV01</v>
          </cell>
        </row>
        <row r="5854">
          <cell r="A5854" t="str">
            <v>1CM1TP4NA7885DA</v>
          </cell>
          <cell r="B5854" t="str">
            <v>SMT</v>
          </cell>
          <cell r="C5854">
            <v>1</v>
          </cell>
          <cell r="D5854">
            <v>265</v>
          </cell>
          <cell r="E5854">
            <v>3210</v>
          </cell>
          <cell r="F5854" t="str">
            <v>VV01</v>
          </cell>
          <cell r="G5854" t="str">
            <v>Auto</v>
          </cell>
          <cell r="H5854">
            <v>311</v>
          </cell>
          <cell r="I5854">
            <v>3210</v>
          </cell>
          <cell r="J5854">
            <v>3220</v>
          </cell>
          <cell r="K5854" t="str">
            <v>VV01</v>
          </cell>
        </row>
        <row r="5855">
          <cell r="A5855" t="str">
            <v>1CM1TP4NA7885DB</v>
          </cell>
          <cell r="B5855" t="str">
            <v>SMT</v>
          </cell>
          <cell r="C5855">
            <v>1</v>
          </cell>
          <cell r="D5855">
            <v>265</v>
          </cell>
          <cell r="E5855">
            <v>3210</v>
          </cell>
          <cell r="F5855" t="str">
            <v>VV01</v>
          </cell>
          <cell r="G5855" t="str">
            <v>Auto</v>
          </cell>
          <cell r="H5855">
            <v>311</v>
          </cell>
          <cell r="I5855">
            <v>3210</v>
          </cell>
          <cell r="J5855">
            <v>3220</v>
          </cell>
          <cell r="K5855" t="str">
            <v>VV01</v>
          </cell>
        </row>
        <row r="5856">
          <cell r="A5856" t="str">
            <v>1CM1TP4NA7885DC</v>
          </cell>
          <cell r="B5856" t="str">
            <v>SMT</v>
          </cell>
          <cell r="C5856">
            <v>1</v>
          </cell>
          <cell r="D5856">
            <v>265</v>
          </cell>
          <cell r="E5856">
            <v>3210</v>
          </cell>
          <cell r="F5856" t="str">
            <v>VV01</v>
          </cell>
          <cell r="G5856" t="str">
            <v>Auto</v>
          </cell>
          <cell r="H5856">
            <v>311</v>
          </cell>
          <cell r="I5856">
            <v>3210</v>
          </cell>
          <cell r="J5856">
            <v>3220</v>
          </cell>
          <cell r="K5856" t="str">
            <v>VV01</v>
          </cell>
        </row>
        <row r="5857">
          <cell r="A5857" t="str">
            <v>1CM1TP4NA7885DD</v>
          </cell>
          <cell r="B5857" t="str">
            <v>SMT</v>
          </cell>
          <cell r="C5857">
            <v>1</v>
          </cell>
          <cell r="D5857">
            <v>265</v>
          </cell>
          <cell r="E5857">
            <v>3210</v>
          </cell>
          <cell r="F5857" t="str">
            <v>VV01</v>
          </cell>
          <cell r="G5857" t="str">
            <v>Auto</v>
          </cell>
          <cell r="H5857">
            <v>311</v>
          </cell>
          <cell r="I5857">
            <v>3210</v>
          </cell>
          <cell r="J5857">
            <v>3220</v>
          </cell>
          <cell r="K5857" t="str">
            <v>VV01</v>
          </cell>
        </row>
        <row r="5858">
          <cell r="A5858" t="str">
            <v>1HT1TP6NA7725DD</v>
          </cell>
          <cell r="B5858" t="str">
            <v>SMT</v>
          </cell>
          <cell r="C5858">
            <v>1</v>
          </cell>
          <cell r="D5858">
            <v>88</v>
          </cell>
        </row>
        <row r="5859">
          <cell r="A5859" t="str">
            <v>1HT1TP6NA7726DB</v>
          </cell>
          <cell r="B5859" t="str">
            <v>SMT</v>
          </cell>
          <cell r="C5859">
            <v>1</v>
          </cell>
          <cell r="D5859">
            <v>39</v>
          </cell>
        </row>
        <row r="5860">
          <cell r="A5860" t="str">
            <v>1HT1TP6NA7885DA</v>
          </cell>
          <cell r="B5860" t="str">
            <v>SMT</v>
          </cell>
          <cell r="C5860">
            <v>1</v>
          </cell>
          <cell r="D5860">
            <v>98</v>
          </cell>
        </row>
        <row r="5861">
          <cell r="A5861" t="str">
            <v>1HT1TP6NA7885DB</v>
          </cell>
          <cell r="B5861" t="str">
            <v>SMT</v>
          </cell>
          <cell r="C5861">
            <v>1</v>
          </cell>
          <cell r="D5861">
            <v>98</v>
          </cell>
        </row>
        <row r="5862">
          <cell r="A5862" t="str">
            <v>1HT1TP6NA7885DC</v>
          </cell>
          <cell r="B5862" t="str">
            <v>SMT</v>
          </cell>
          <cell r="C5862">
            <v>1</v>
          </cell>
          <cell r="D5862">
            <v>92</v>
          </cell>
        </row>
        <row r="5863">
          <cell r="A5863" t="str">
            <v>1HT1TP6NA7885DD</v>
          </cell>
          <cell r="B5863" t="str">
            <v>SMT</v>
          </cell>
          <cell r="C5863">
            <v>1</v>
          </cell>
          <cell r="D5863">
            <v>92</v>
          </cell>
        </row>
        <row r="5864">
          <cell r="A5864" t="str">
            <v>1RE1TP8NA7746AA</v>
          </cell>
          <cell r="B5864" t="str">
            <v>SMT</v>
          </cell>
          <cell r="C5864">
            <v>1</v>
          </cell>
          <cell r="D5864">
            <v>4</v>
          </cell>
        </row>
        <row r="5865">
          <cell r="A5865" t="str">
            <v>1RE1TP8NH1250BN</v>
          </cell>
          <cell r="B5865" t="str">
            <v>SMT</v>
          </cell>
          <cell r="C5865">
            <v>1</v>
          </cell>
          <cell r="D5865">
            <v>590</v>
          </cell>
        </row>
        <row r="5866">
          <cell r="A5866" t="str">
            <v>1RE1TP8NH1250BP</v>
          </cell>
          <cell r="B5866" t="str">
            <v>SMT</v>
          </cell>
          <cell r="C5866">
            <v>1</v>
          </cell>
          <cell r="D5866">
            <v>567</v>
          </cell>
        </row>
        <row r="5867">
          <cell r="A5867" t="str">
            <v>1RE1TP8NH1250EN</v>
          </cell>
          <cell r="B5867" t="str">
            <v>SMT</v>
          </cell>
          <cell r="C5867">
            <v>1</v>
          </cell>
          <cell r="D5867">
            <v>675</v>
          </cell>
        </row>
        <row r="5868">
          <cell r="A5868" t="str">
            <v>1RE1TP8NH1250EP</v>
          </cell>
          <cell r="B5868" t="str">
            <v>SMT</v>
          </cell>
          <cell r="C5868">
            <v>1</v>
          </cell>
          <cell r="D5868">
            <v>652</v>
          </cell>
        </row>
        <row r="5869">
          <cell r="A5869" t="str">
            <v>1RE1TP8NH1258BX</v>
          </cell>
          <cell r="B5869" t="str">
            <v>SMT</v>
          </cell>
          <cell r="C5869">
            <v>1</v>
          </cell>
          <cell r="D5869">
            <v>586</v>
          </cell>
        </row>
        <row r="5870">
          <cell r="A5870" t="str">
            <v>1RE1TP8NH1258EX</v>
          </cell>
          <cell r="B5870" t="str">
            <v>SMT</v>
          </cell>
          <cell r="C5870">
            <v>1</v>
          </cell>
          <cell r="D5870">
            <v>662</v>
          </cell>
        </row>
        <row r="5871">
          <cell r="A5871" t="str">
            <v>1RE2TP4NA7745AA</v>
          </cell>
          <cell r="B5871" t="str">
            <v>SMT</v>
          </cell>
          <cell r="C5871">
            <v>1</v>
          </cell>
          <cell r="D5871">
            <v>15</v>
          </cell>
          <cell r="E5871">
            <v>3210</v>
          </cell>
          <cell r="F5871" t="str">
            <v>VV01</v>
          </cell>
          <cell r="G5871" t="str">
            <v>Auto</v>
          </cell>
          <cell r="H5871">
            <v>311</v>
          </cell>
          <cell r="I5871">
            <v>3210</v>
          </cell>
          <cell r="J5871">
            <v>3220</v>
          </cell>
          <cell r="K5871" t="str">
            <v>VV01</v>
          </cell>
        </row>
        <row r="5872">
          <cell r="A5872" t="str">
            <v>1RE2TP4NA7746AA</v>
          </cell>
          <cell r="B5872" t="str">
            <v>SMT</v>
          </cell>
          <cell r="C5872">
            <v>1</v>
          </cell>
          <cell r="D5872">
            <v>16</v>
          </cell>
          <cell r="E5872">
            <v>3210</v>
          </cell>
          <cell r="F5872" t="str">
            <v>VV01</v>
          </cell>
          <cell r="G5872" t="str">
            <v>Auto</v>
          </cell>
          <cell r="H5872">
            <v>311</v>
          </cell>
          <cell r="I5872">
            <v>3210</v>
          </cell>
          <cell r="J5872">
            <v>3220</v>
          </cell>
          <cell r="K5872" t="str">
            <v>VV01</v>
          </cell>
        </row>
        <row r="5873">
          <cell r="A5873" t="str">
            <v>1RE2TP4NH1250BN</v>
          </cell>
          <cell r="B5873" t="str">
            <v>SMT</v>
          </cell>
          <cell r="C5873">
            <v>1</v>
          </cell>
          <cell r="D5873">
            <v>726</v>
          </cell>
          <cell r="E5873">
            <v>3210</v>
          </cell>
          <cell r="F5873" t="str">
            <v>VV01</v>
          </cell>
          <cell r="G5873" t="str">
            <v>Auto</v>
          </cell>
          <cell r="H5873">
            <v>311</v>
          </cell>
          <cell r="I5873">
            <v>3210</v>
          </cell>
          <cell r="J5873">
            <v>3220</v>
          </cell>
          <cell r="K5873" t="str">
            <v>VV01</v>
          </cell>
        </row>
        <row r="5874">
          <cell r="A5874" t="str">
            <v>1RE2TP4NH1250BP</v>
          </cell>
          <cell r="B5874" t="str">
            <v>SMT</v>
          </cell>
          <cell r="C5874">
            <v>1</v>
          </cell>
          <cell r="D5874">
            <v>714</v>
          </cell>
          <cell r="E5874">
            <v>3210</v>
          </cell>
          <cell r="F5874" t="str">
            <v>VV01</v>
          </cell>
          <cell r="G5874" t="str">
            <v>Auto</v>
          </cell>
          <cell r="H5874">
            <v>311</v>
          </cell>
          <cell r="I5874">
            <v>3210</v>
          </cell>
          <cell r="J5874">
            <v>3220</v>
          </cell>
          <cell r="K5874" t="str">
            <v>VV01</v>
          </cell>
        </row>
        <row r="5875">
          <cell r="A5875" t="str">
            <v>1RE2TP4NH1250EN</v>
          </cell>
          <cell r="B5875" t="str">
            <v>SMT</v>
          </cell>
          <cell r="C5875">
            <v>1</v>
          </cell>
          <cell r="D5875">
            <v>752</v>
          </cell>
          <cell r="E5875">
            <v>3210</v>
          </cell>
          <cell r="F5875" t="str">
            <v>VV01</v>
          </cell>
          <cell r="G5875" t="str">
            <v>Auto</v>
          </cell>
          <cell r="H5875">
            <v>311</v>
          </cell>
          <cell r="I5875">
            <v>3210</v>
          </cell>
          <cell r="J5875">
            <v>3220</v>
          </cell>
          <cell r="K5875" t="str">
            <v>VV01</v>
          </cell>
        </row>
        <row r="5876">
          <cell r="A5876" t="str">
            <v>1RE2TP4NH1250EP</v>
          </cell>
          <cell r="B5876" t="str">
            <v>SMT</v>
          </cell>
          <cell r="C5876">
            <v>1</v>
          </cell>
          <cell r="D5876">
            <v>740</v>
          </cell>
          <cell r="E5876">
            <v>3210</v>
          </cell>
          <cell r="F5876" t="str">
            <v>VV01</v>
          </cell>
          <cell r="G5876" t="str">
            <v>Auto</v>
          </cell>
          <cell r="H5876">
            <v>311</v>
          </cell>
          <cell r="I5876">
            <v>3210</v>
          </cell>
          <cell r="J5876">
            <v>3220</v>
          </cell>
          <cell r="K5876" t="str">
            <v>VV01</v>
          </cell>
        </row>
        <row r="5877">
          <cell r="A5877" t="str">
            <v>1RE2TP4NH1258BX</v>
          </cell>
          <cell r="B5877" t="str">
            <v>SMT</v>
          </cell>
          <cell r="C5877">
            <v>1</v>
          </cell>
          <cell r="D5877">
            <v>700</v>
          </cell>
          <cell r="E5877">
            <v>3210</v>
          </cell>
          <cell r="F5877" t="str">
            <v>VV01</v>
          </cell>
          <cell r="G5877" t="str">
            <v>Auto</v>
          </cell>
          <cell r="H5877">
            <v>311</v>
          </cell>
          <cell r="I5877">
            <v>3210</v>
          </cell>
          <cell r="J5877">
            <v>3220</v>
          </cell>
          <cell r="K5877" t="str">
            <v>VV01</v>
          </cell>
        </row>
        <row r="5878">
          <cell r="A5878" t="str">
            <v>1RE2TP4NH1258EX</v>
          </cell>
          <cell r="B5878" t="str">
            <v>SMT</v>
          </cell>
          <cell r="C5878">
            <v>1</v>
          </cell>
          <cell r="D5878">
            <v>750</v>
          </cell>
          <cell r="E5878">
            <v>3210</v>
          </cell>
          <cell r="F5878" t="str">
            <v>VV01</v>
          </cell>
          <cell r="G5878" t="str">
            <v>Auto</v>
          </cell>
          <cell r="H5878">
            <v>311</v>
          </cell>
          <cell r="I5878">
            <v>3210</v>
          </cell>
          <cell r="J5878">
            <v>3220</v>
          </cell>
          <cell r="K5878" t="str">
            <v>VV01</v>
          </cell>
        </row>
        <row r="5879">
          <cell r="A5879" t="str">
            <v>1RH1TP5NA7370AA</v>
          </cell>
          <cell r="B5879" t="str">
            <v>SMT</v>
          </cell>
          <cell r="C5879">
            <v>1</v>
          </cell>
          <cell r="D5879">
            <v>7</v>
          </cell>
        </row>
        <row r="5880">
          <cell r="A5880" t="str">
            <v>1RH1TP5NA7725DD</v>
          </cell>
          <cell r="B5880" t="str">
            <v>SMT</v>
          </cell>
          <cell r="C5880">
            <v>1</v>
          </cell>
          <cell r="D5880">
            <v>17</v>
          </cell>
        </row>
        <row r="5881">
          <cell r="A5881" t="str">
            <v>1RH1TP5NA7726DB</v>
          </cell>
          <cell r="B5881" t="str">
            <v>SMT</v>
          </cell>
          <cell r="C5881">
            <v>1</v>
          </cell>
          <cell r="D5881">
            <v>16</v>
          </cell>
        </row>
        <row r="5882">
          <cell r="A5882" t="str">
            <v>1RH1TP5NA7885DA</v>
          </cell>
          <cell r="B5882" t="str">
            <v>SMT</v>
          </cell>
          <cell r="C5882">
            <v>1</v>
          </cell>
          <cell r="D5882">
            <v>17</v>
          </cell>
        </row>
        <row r="5883">
          <cell r="A5883" t="str">
            <v>1RH1TP5NA7885DB</v>
          </cell>
          <cell r="B5883" t="str">
            <v>SMT</v>
          </cell>
          <cell r="C5883">
            <v>1</v>
          </cell>
          <cell r="D5883">
            <v>17</v>
          </cell>
        </row>
        <row r="5884">
          <cell r="A5884" t="str">
            <v>1RH1TP5NA7885DC</v>
          </cell>
          <cell r="B5884" t="str">
            <v>SMT</v>
          </cell>
          <cell r="C5884">
            <v>1</v>
          </cell>
          <cell r="D5884">
            <v>17</v>
          </cell>
        </row>
        <row r="5885">
          <cell r="A5885" t="str">
            <v>1RH1TP5NA7885DD</v>
          </cell>
          <cell r="B5885" t="str">
            <v>SMT</v>
          </cell>
          <cell r="C5885">
            <v>1</v>
          </cell>
          <cell r="D5885">
            <v>17</v>
          </cell>
        </row>
        <row r="5886">
          <cell r="A5886" t="str">
            <v>1VI1TVRU455</v>
          </cell>
          <cell r="B5886" t="str">
            <v>SMT</v>
          </cell>
          <cell r="C5886">
            <v>1</v>
          </cell>
          <cell r="D5886" t="e">
            <v>#N/A</v>
          </cell>
        </row>
        <row r="5887">
          <cell r="A5887" t="str">
            <v>TNPA7370-1</v>
          </cell>
          <cell r="B5887" t="str">
            <v>SMT</v>
          </cell>
          <cell r="C5887">
            <v>1</v>
          </cell>
          <cell r="D5887" t="e">
            <v>#N/A</v>
          </cell>
        </row>
        <row r="5888">
          <cell r="A5888" t="str">
            <v>TNPA7725-1</v>
          </cell>
          <cell r="B5888" t="str">
            <v>SMT</v>
          </cell>
          <cell r="C5888">
            <v>1</v>
          </cell>
          <cell r="D5888" t="e">
            <v>#N/A</v>
          </cell>
        </row>
        <row r="5889">
          <cell r="A5889" t="str">
            <v>TNPA7726-1</v>
          </cell>
          <cell r="B5889" t="str">
            <v>SMT</v>
          </cell>
          <cell r="C5889">
            <v>1</v>
          </cell>
          <cell r="D5889" t="e">
            <v>#N/A</v>
          </cell>
        </row>
        <row r="5890">
          <cell r="A5890" t="str">
            <v>TNPA7745-1</v>
          </cell>
          <cell r="B5890" t="str">
            <v>SMT</v>
          </cell>
          <cell r="C5890">
            <v>1</v>
          </cell>
          <cell r="D5890" t="e">
            <v>#N/A</v>
          </cell>
        </row>
        <row r="5891">
          <cell r="A5891" t="str">
            <v>TNPA7746-1</v>
          </cell>
          <cell r="B5891" t="str">
            <v>SMT</v>
          </cell>
          <cell r="C5891">
            <v>1</v>
          </cell>
          <cell r="D5891" t="e">
            <v>#N/A</v>
          </cell>
        </row>
        <row r="5892">
          <cell r="A5892" t="str">
            <v>TNPA7885-1</v>
          </cell>
          <cell r="B5892" t="str">
            <v>SMT</v>
          </cell>
          <cell r="C5892">
            <v>1</v>
          </cell>
          <cell r="D5892" t="e">
            <v>#N/A</v>
          </cell>
        </row>
        <row r="5893">
          <cell r="A5893" t="str">
            <v>TNPH1250-1</v>
          </cell>
          <cell r="B5893" t="str">
            <v>SMT</v>
          </cell>
          <cell r="C5893">
            <v>1</v>
          </cell>
          <cell r="D5893" t="e">
            <v>#N/A</v>
          </cell>
        </row>
        <row r="5894">
          <cell r="A5894" t="str">
            <v>TNPH1258-1</v>
          </cell>
          <cell r="B5894" t="str">
            <v>SMT</v>
          </cell>
          <cell r="C5894">
            <v>1</v>
          </cell>
          <cell r="D5894" t="e">
            <v>#N/A</v>
          </cell>
        </row>
        <row r="5895">
          <cell r="A5895" t="str">
            <v>3AP1CC411BZA</v>
          </cell>
          <cell r="B5895" t="str">
            <v>SMT</v>
          </cell>
          <cell r="C5895">
            <v>1</v>
          </cell>
          <cell r="D5895" t="e">
            <v>#N/A</v>
          </cell>
        </row>
        <row r="5896">
          <cell r="A5896" t="str">
            <v>1RE1TP8NA7745AA</v>
          </cell>
          <cell r="B5896" t="str">
            <v>SMT</v>
          </cell>
          <cell r="C5896">
            <v>1</v>
          </cell>
          <cell r="D5896">
            <v>5</v>
          </cell>
          <cell r="E5896">
            <v>3210</v>
          </cell>
          <cell r="F5896" t="str">
            <v>VV01</v>
          </cell>
          <cell r="G5896" t="str">
            <v>Auto</v>
          </cell>
          <cell r="H5896">
            <v>311</v>
          </cell>
          <cell r="I5896">
            <v>3210</v>
          </cell>
          <cell r="J5896">
            <v>3220</v>
          </cell>
          <cell r="K5896" t="str">
            <v>VV01</v>
          </cell>
        </row>
        <row r="5897">
          <cell r="A5897" t="str">
            <v>1RE1TP8NA7872AC</v>
          </cell>
          <cell r="B5897" t="str">
            <v>SMT</v>
          </cell>
          <cell r="C5897">
            <v>1</v>
          </cell>
          <cell r="D5897">
            <v>353</v>
          </cell>
          <cell r="E5897">
            <v>3210</v>
          </cell>
          <cell r="F5897" t="str">
            <v>VV01</v>
          </cell>
          <cell r="G5897" t="str">
            <v>Auto</v>
          </cell>
          <cell r="H5897">
            <v>311</v>
          </cell>
          <cell r="I5897">
            <v>3210</v>
          </cell>
          <cell r="J5897">
            <v>3220</v>
          </cell>
          <cell r="K5897" t="str">
            <v>VV01</v>
          </cell>
        </row>
        <row r="5898">
          <cell r="A5898" t="str">
            <v>1RE1TP8NA7872AB</v>
          </cell>
          <cell r="B5898" t="str">
            <v>SMT</v>
          </cell>
          <cell r="C5898">
            <v>1</v>
          </cell>
          <cell r="D5898">
            <v>391</v>
          </cell>
          <cell r="E5898">
            <v>3210</v>
          </cell>
          <cell r="F5898" t="str">
            <v>VV01</v>
          </cell>
          <cell r="G5898" t="str">
            <v>Auto</v>
          </cell>
          <cell r="H5898">
            <v>311</v>
          </cell>
          <cell r="I5898">
            <v>3210</v>
          </cell>
          <cell r="J5898">
            <v>3220</v>
          </cell>
          <cell r="K5898" t="str">
            <v>VV01</v>
          </cell>
        </row>
        <row r="5899">
          <cell r="A5899" t="str">
            <v>TNPA7723-2</v>
          </cell>
          <cell r="B5899" t="str">
            <v>SMT</v>
          </cell>
          <cell r="C5899">
            <v>1</v>
          </cell>
          <cell r="D5899" t="e">
            <v>#N/A</v>
          </cell>
        </row>
        <row r="5900">
          <cell r="A5900" t="str">
            <v>TNPA7724-1</v>
          </cell>
          <cell r="B5900" t="str">
            <v>SMT</v>
          </cell>
          <cell r="C5900">
            <v>1</v>
          </cell>
          <cell r="D5900" t="e">
            <v>#N/A</v>
          </cell>
        </row>
        <row r="5901">
          <cell r="A5901" t="str">
            <v>TNPA7872-1</v>
          </cell>
          <cell r="B5901" t="str">
            <v>SMT</v>
          </cell>
          <cell r="C5901">
            <v>1</v>
          </cell>
          <cell r="D5901" t="e">
            <v>#N/A</v>
          </cell>
        </row>
        <row r="5902">
          <cell r="A5902" t="str">
            <v>1VI1TVRU469</v>
          </cell>
          <cell r="B5902" t="str">
            <v>SMT</v>
          </cell>
          <cell r="C5902">
            <v>1</v>
          </cell>
          <cell r="D5902" t="e">
            <v>#N/A</v>
          </cell>
        </row>
        <row r="5903">
          <cell r="A5903" t="str">
            <v>1RE1TP8NH1250BM</v>
          </cell>
          <cell r="B5903" t="str">
            <v>SMT</v>
          </cell>
          <cell r="C5903">
            <v>1</v>
          </cell>
          <cell r="D5903">
            <v>616</v>
          </cell>
        </row>
        <row r="5904">
          <cell r="A5904" t="str">
            <v>1RE1TP8NH1250EM</v>
          </cell>
          <cell r="B5904" t="str">
            <v>SMT</v>
          </cell>
          <cell r="C5904">
            <v>1</v>
          </cell>
          <cell r="D5904">
            <v>701</v>
          </cell>
        </row>
        <row r="5905">
          <cell r="A5905" t="str">
            <v>1RH1TP5NA7723DC</v>
          </cell>
          <cell r="B5905" t="str">
            <v>SMT</v>
          </cell>
          <cell r="C5905">
            <v>1</v>
          </cell>
          <cell r="D5905">
            <v>14</v>
          </cell>
        </row>
        <row r="5906">
          <cell r="A5906" t="str">
            <v>1RH1TP5NA7724AC</v>
          </cell>
          <cell r="B5906" t="str">
            <v>SMT</v>
          </cell>
          <cell r="C5906">
            <v>1</v>
          </cell>
          <cell r="D5906">
            <v>4</v>
          </cell>
        </row>
        <row r="5907">
          <cell r="A5907" t="str">
            <v>1RH1TP5NA7725DC</v>
          </cell>
          <cell r="B5907" t="str">
            <v>SMT</v>
          </cell>
          <cell r="C5907">
            <v>1</v>
          </cell>
          <cell r="D5907">
            <v>17</v>
          </cell>
        </row>
        <row r="5908">
          <cell r="A5908" t="str">
            <v>1RH1TP5NA7723DE</v>
          </cell>
          <cell r="B5908" t="str">
            <v>SMT</v>
          </cell>
          <cell r="C5908">
            <v>1</v>
          </cell>
          <cell r="D5908">
            <v>14</v>
          </cell>
        </row>
        <row r="5909">
          <cell r="A5909" t="str">
            <v>1RH1TP5NA7724AE</v>
          </cell>
          <cell r="B5909" t="str">
            <v>SMT</v>
          </cell>
          <cell r="C5909">
            <v>1</v>
          </cell>
          <cell r="D5909">
            <v>3</v>
          </cell>
        </row>
        <row r="5910">
          <cell r="A5910" t="str">
            <v>1HT1TP6NA7723DC</v>
          </cell>
          <cell r="B5910" t="str">
            <v>SMT</v>
          </cell>
          <cell r="C5910">
            <v>1</v>
          </cell>
          <cell r="D5910">
            <v>49</v>
          </cell>
        </row>
        <row r="5911">
          <cell r="A5911" t="str">
            <v>1HT1TP6NA7724AC</v>
          </cell>
          <cell r="B5911" t="str">
            <v>SMT</v>
          </cell>
          <cell r="C5911">
            <v>1</v>
          </cell>
          <cell r="D5911">
            <v>48</v>
          </cell>
        </row>
        <row r="5912">
          <cell r="A5912" t="str">
            <v>1RE1TP8NA7872AA</v>
          </cell>
          <cell r="B5912" t="str">
            <v>SMT</v>
          </cell>
          <cell r="C5912">
            <v>1</v>
          </cell>
          <cell r="D5912">
            <v>429</v>
          </cell>
          <cell r="E5912">
            <v>3210</v>
          </cell>
          <cell r="F5912" t="str">
            <v>VV01</v>
          </cell>
          <cell r="G5912" t="str">
            <v>Auto</v>
          </cell>
          <cell r="H5912">
            <v>311</v>
          </cell>
          <cell r="I5912">
            <v>3210</v>
          </cell>
          <cell r="J5912">
            <v>3220</v>
          </cell>
          <cell r="K5912" t="str">
            <v>VV01</v>
          </cell>
        </row>
        <row r="5913">
          <cell r="A5913" t="str">
            <v>1HT1TP6NA7725DC</v>
          </cell>
          <cell r="B5913" t="str">
            <v>SMT</v>
          </cell>
          <cell r="C5913">
            <v>1</v>
          </cell>
          <cell r="D5913">
            <v>92</v>
          </cell>
        </row>
        <row r="5914">
          <cell r="A5914" t="str">
            <v>1HT1TP6NA7723DE</v>
          </cell>
          <cell r="B5914" t="str">
            <v>SMT</v>
          </cell>
          <cell r="C5914">
            <v>1</v>
          </cell>
          <cell r="D5914">
            <v>49</v>
          </cell>
        </row>
        <row r="5915">
          <cell r="A5915" t="str">
            <v>1HT1TP6NA7724AE</v>
          </cell>
          <cell r="B5915" t="str">
            <v>SMT</v>
          </cell>
          <cell r="C5915">
            <v>1</v>
          </cell>
          <cell r="D5915">
            <v>46</v>
          </cell>
        </row>
        <row r="5916">
          <cell r="A5916" t="str">
            <v>1AE1TP7NA7723DC</v>
          </cell>
          <cell r="B5916" t="str">
            <v>SMT</v>
          </cell>
          <cell r="C5916">
            <v>1</v>
          </cell>
          <cell r="D5916">
            <v>111</v>
          </cell>
        </row>
        <row r="5917">
          <cell r="A5917" t="str">
            <v>1AE1TP7NA7724AC</v>
          </cell>
          <cell r="B5917" t="str">
            <v>SMT</v>
          </cell>
          <cell r="C5917">
            <v>1</v>
          </cell>
          <cell r="D5917">
            <v>48</v>
          </cell>
        </row>
        <row r="5918">
          <cell r="A5918" t="str">
            <v>1AE1TP7NA7725DC</v>
          </cell>
          <cell r="B5918" t="str">
            <v>SMT</v>
          </cell>
          <cell r="C5918">
            <v>1</v>
          </cell>
          <cell r="D5918">
            <v>123</v>
          </cell>
        </row>
        <row r="5919">
          <cell r="A5919" t="str">
            <v>1AE1TP7NA7723DE</v>
          </cell>
          <cell r="B5919" t="str">
            <v>SMT</v>
          </cell>
          <cell r="C5919">
            <v>1</v>
          </cell>
          <cell r="D5919">
            <v>114</v>
          </cell>
        </row>
        <row r="5920">
          <cell r="A5920" t="str">
            <v>1AE1TP7NA7724AE</v>
          </cell>
          <cell r="B5920" t="str">
            <v>SMT</v>
          </cell>
          <cell r="C5920">
            <v>1</v>
          </cell>
          <cell r="D5920">
            <v>47</v>
          </cell>
        </row>
        <row r="5921">
          <cell r="A5921" t="str">
            <v>1CM1TP4NA7723DC</v>
          </cell>
          <cell r="B5921" t="str">
            <v>SMT</v>
          </cell>
          <cell r="C5921">
            <v>1</v>
          </cell>
          <cell r="D5921">
            <v>182</v>
          </cell>
          <cell r="E5921">
            <v>3210</v>
          </cell>
          <cell r="F5921" t="str">
            <v>VV01</v>
          </cell>
          <cell r="G5921" t="str">
            <v>Auto</v>
          </cell>
          <cell r="H5921">
            <v>311</v>
          </cell>
          <cell r="I5921">
            <v>3210</v>
          </cell>
          <cell r="J5921">
            <v>3220</v>
          </cell>
          <cell r="K5921" t="str">
            <v>VV01</v>
          </cell>
        </row>
        <row r="5922">
          <cell r="A5922" t="str">
            <v>1CM1TP4NA7724AC</v>
          </cell>
          <cell r="B5922" t="str">
            <v>SMT</v>
          </cell>
          <cell r="C5922">
            <v>1</v>
          </cell>
          <cell r="D5922">
            <v>145</v>
          </cell>
          <cell r="E5922">
            <v>3210</v>
          </cell>
          <cell r="F5922" t="str">
            <v>VV01</v>
          </cell>
          <cell r="G5922" t="str">
            <v>Auto</v>
          </cell>
          <cell r="H5922">
            <v>311</v>
          </cell>
          <cell r="I5922">
            <v>3210</v>
          </cell>
          <cell r="J5922">
            <v>3220</v>
          </cell>
          <cell r="K5922" t="str">
            <v>VV01</v>
          </cell>
        </row>
        <row r="5923">
          <cell r="A5923" t="str">
            <v>1CM1TP4NA7725DC</v>
          </cell>
          <cell r="B5923" t="str">
            <v>SMT</v>
          </cell>
          <cell r="C5923">
            <v>1</v>
          </cell>
          <cell r="D5923">
            <v>282</v>
          </cell>
          <cell r="E5923">
            <v>3210</v>
          </cell>
          <cell r="F5923" t="str">
            <v>VV01</v>
          </cell>
          <cell r="G5923" t="str">
            <v>Auto</v>
          </cell>
          <cell r="H5923">
            <v>311</v>
          </cell>
          <cell r="I5923">
            <v>3210</v>
          </cell>
          <cell r="J5923">
            <v>3220</v>
          </cell>
          <cell r="K5923" t="str">
            <v>VV01</v>
          </cell>
        </row>
        <row r="5924">
          <cell r="A5924" t="str">
            <v>1CM1TP4NA7723DE</v>
          </cell>
          <cell r="B5924" t="str">
            <v>SMT</v>
          </cell>
          <cell r="C5924">
            <v>1</v>
          </cell>
          <cell r="D5924">
            <v>181</v>
          </cell>
          <cell r="E5924">
            <v>3210</v>
          </cell>
          <cell r="F5924" t="str">
            <v>VV01</v>
          </cell>
          <cell r="G5924" t="str">
            <v>Auto</v>
          </cell>
          <cell r="H5924">
            <v>311</v>
          </cell>
          <cell r="I5924">
            <v>3210</v>
          </cell>
          <cell r="J5924">
            <v>3220</v>
          </cell>
          <cell r="K5924" t="str">
            <v>VV01</v>
          </cell>
        </row>
        <row r="5925">
          <cell r="A5925" t="str">
            <v>1CM1TP4NA7724AE</v>
          </cell>
          <cell r="B5925" t="str">
            <v>SMT</v>
          </cell>
          <cell r="C5925">
            <v>1</v>
          </cell>
          <cell r="D5925">
            <v>145</v>
          </cell>
          <cell r="E5925">
            <v>3210</v>
          </cell>
          <cell r="F5925" t="str">
            <v>VV01</v>
          </cell>
          <cell r="G5925" t="str">
            <v>Auto</v>
          </cell>
          <cell r="H5925">
            <v>311</v>
          </cell>
          <cell r="I5925">
            <v>3210</v>
          </cell>
          <cell r="J5925">
            <v>3220</v>
          </cell>
          <cell r="K5925" t="str">
            <v>VV01</v>
          </cell>
        </row>
        <row r="5926">
          <cell r="A5926" t="str">
            <v>1RE2TP4NH1250BM</v>
          </cell>
          <cell r="B5926" t="str">
            <v>SMT</v>
          </cell>
          <cell r="C5926">
            <v>1</v>
          </cell>
          <cell r="D5926">
            <v>825</v>
          </cell>
          <cell r="E5926">
            <v>3210</v>
          </cell>
          <cell r="F5926" t="str">
            <v>VV01</v>
          </cell>
          <cell r="G5926" t="str">
            <v>Auto</v>
          </cell>
          <cell r="H5926">
            <v>311</v>
          </cell>
          <cell r="I5926">
            <v>3210</v>
          </cell>
          <cell r="J5926">
            <v>3220</v>
          </cell>
          <cell r="K5926" t="str">
            <v>VV01</v>
          </cell>
        </row>
        <row r="5927">
          <cell r="A5927" t="str">
            <v>1RE2TP4NH1250EM</v>
          </cell>
          <cell r="B5927" t="str">
            <v>SMT</v>
          </cell>
          <cell r="C5927">
            <v>1</v>
          </cell>
          <cell r="D5927">
            <v>851</v>
          </cell>
          <cell r="E5927">
            <v>3210</v>
          </cell>
          <cell r="F5927" t="str">
            <v>VV01</v>
          </cell>
          <cell r="G5927" t="str">
            <v>Auto</v>
          </cell>
          <cell r="H5927">
            <v>311</v>
          </cell>
          <cell r="I5927">
            <v>3210</v>
          </cell>
          <cell r="J5927">
            <v>3220</v>
          </cell>
          <cell r="K5927" t="str">
            <v>VV01</v>
          </cell>
        </row>
        <row r="5928">
          <cell r="A5928" t="str">
            <v>1RE1SR202P-V4</v>
          </cell>
          <cell r="B5928" t="str">
            <v>SMT</v>
          </cell>
          <cell r="C5928">
            <v>1</v>
          </cell>
          <cell r="D5928">
            <v>456</v>
          </cell>
        </row>
        <row r="5929">
          <cell r="A5929" t="str">
            <v>1RE2SR202P-V4</v>
          </cell>
          <cell r="B5929" t="str">
            <v>SMT</v>
          </cell>
          <cell r="C5929">
            <v>1</v>
          </cell>
          <cell r="D5929">
            <v>511</v>
          </cell>
          <cell r="E5929">
            <v>9210</v>
          </cell>
          <cell r="F5929" t="str">
            <v>VE01</v>
          </cell>
          <cell r="G5929" t="str">
            <v>Auto</v>
          </cell>
          <cell r="H5929">
            <v>311</v>
          </cell>
          <cell r="I5929">
            <v>9210</v>
          </cell>
          <cell r="J5929">
            <v>9220</v>
          </cell>
          <cell r="K5929" t="str">
            <v>VE01</v>
          </cell>
        </row>
        <row r="5930">
          <cell r="A5930" t="str">
            <v>1VJ1SR202P-V4</v>
          </cell>
          <cell r="B5930" t="str">
            <v>SMT</v>
          </cell>
          <cell r="C5930">
            <v>1</v>
          </cell>
          <cell r="D5930" t="e">
            <v>#N/A</v>
          </cell>
        </row>
        <row r="5931">
          <cell r="A5931" t="str">
            <v>2AE1SR202P-V4</v>
          </cell>
          <cell r="B5931" t="str">
            <v>SMT</v>
          </cell>
          <cell r="C5931">
            <v>1</v>
          </cell>
          <cell r="D5931">
            <v>0</v>
          </cell>
        </row>
        <row r="5932">
          <cell r="A5932" t="str">
            <v>2RE1SR202P-V4</v>
          </cell>
          <cell r="B5932" t="str">
            <v>SMT</v>
          </cell>
          <cell r="C5932">
            <v>1</v>
          </cell>
          <cell r="D5932">
            <v>126</v>
          </cell>
        </row>
        <row r="5933">
          <cell r="A5933" t="str">
            <v>2RH1SR202P-V4</v>
          </cell>
          <cell r="B5933" t="str">
            <v>SMT</v>
          </cell>
          <cell r="C5933">
            <v>1</v>
          </cell>
          <cell r="D5933">
            <v>2</v>
          </cell>
          <cell r="E5933">
            <v>9210</v>
          </cell>
          <cell r="F5933" t="str">
            <v>VE01</v>
          </cell>
          <cell r="G5933" t="str">
            <v>Auto</v>
          </cell>
          <cell r="H5933">
            <v>311</v>
          </cell>
          <cell r="I5933">
            <v>9210</v>
          </cell>
          <cell r="J5933">
            <v>9220</v>
          </cell>
          <cell r="K5933" t="str">
            <v>VE01</v>
          </cell>
        </row>
        <row r="5934">
          <cell r="A5934" t="str">
            <v>2VJ1SR202P-V4</v>
          </cell>
          <cell r="B5934" t="str">
            <v>SMT</v>
          </cell>
          <cell r="C5934">
            <v>1</v>
          </cell>
          <cell r="D5934" t="e">
            <v>#N/A</v>
          </cell>
        </row>
        <row r="5935">
          <cell r="A5935" t="str">
            <v>3RE1SR202PYSZB-V4</v>
          </cell>
          <cell r="B5935" t="str">
            <v>SMT</v>
          </cell>
          <cell r="C5935">
            <v>1</v>
          </cell>
          <cell r="D5935">
            <v>272</v>
          </cell>
          <cell r="E5935">
            <v>9210</v>
          </cell>
          <cell r="F5935" t="str">
            <v>VE01</v>
          </cell>
          <cell r="G5935" t="str">
            <v>Auto</v>
          </cell>
          <cell r="H5935">
            <v>311</v>
          </cell>
          <cell r="I5935">
            <v>9210</v>
          </cell>
          <cell r="J5935">
            <v>9220</v>
          </cell>
          <cell r="K5935" t="str">
            <v>VE01</v>
          </cell>
        </row>
        <row r="5936">
          <cell r="A5936" t="str">
            <v>4RE1SR202P-V4</v>
          </cell>
          <cell r="B5936" t="str">
            <v>SMT</v>
          </cell>
          <cell r="C5936">
            <v>1</v>
          </cell>
          <cell r="D5936">
            <v>135</v>
          </cell>
        </row>
        <row r="5937">
          <cell r="A5937" t="str">
            <v>4RE2SR202P-V4</v>
          </cell>
          <cell r="B5937" t="str">
            <v>SMT</v>
          </cell>
          <cell r="C5937">
            <v>1</v>
          </cell>
          <cell r="D5937">
            <v>32</v>
          </cell>
          <cell r="E5937">
            <v>9210</v>
          </cell>
          <cell r="F5937" t="str">
            <v>VE01</v>
          </cell>
          <cell r="G5937" t="str">
            <v>Auto</v>
          </cell>
          <cell r="H5937">
            <v>311</v>
          </cell>
          <cell r="I5937">
            <v>9210</v>
          </cell>
          <cell r="J5937">
            <v>9220</v>
          </cell>
          <cell r="K5937" t="str">
            <v>VE01</v>
          </cell>
        </row>
        <row r="5938">
          <cell r="A5938" t="str">
            <v>PGLB2131ZA-WK</v>
          </cell>
          <cell r="B5938" t="str">
            <v>SMT</v>
          </cell>
          <cell r="C5938">
            <v>1</v>
          </cell>
          <cell r="D5938" t="e">
            <v>#N/A</v>
          </cell>
        </row>
        <row r="5939">
          <cell r="A5939" t="str">
            <v>PGLB2133ZA-WK</v>
          </cell>
          <cell r="B5939" t="str">
            <v>SMT</v>
          </cell>
          <cell r="C5939">
            <v>1</v>
          </cell>
          <cell r="D5939" t="e">
            <v>#N/A</v>
          </cell>
        </row>
        <row r="5940">
          <cell r="A5940" t="str">
            <v>C3FBGY000019</v>
          </cell>
          <cell r="B5940" t="str">
            <v>SMT</v>
          </cell>
          <cell r="C5940">
            <v>1</v>
          </cell>
          <cell r="D5940" t="e">
            <v>#N/A</v>
          </cell>
        </row>
        <row r="5941">
          <cell r="A5941" t="str">
            <v>1VJ1A605Q3G8AAP</v>
          </cell>
          <cell r="B5941" t="str">
            <v>SMT</v>
          </cell>
          <cell r="C5941">
            <v>1</v>
          </cell>
          <cell r="D5941" t="e">
            <v>#N/A</v>
          </cell>
        </row>
        <row r="5942">
          <cell r="A5942" t="str">
            <v>1VJ2A605Q3G8AAP</v>
          </cell>
          <cell r="B5942" t="str">
            <v>SMT</v>
          </cell>
          <cell r="C5942">
            <v>1</v>
          </cell>
          <cell r="D5942" t="e">
            <v>#N/A</v>
          </cell>
        </row>
        <row r="5943">
          <cell r="A5943" t="str">
            <v>TNPA7715-1</v>
          </cell>
          <cell r="B5943" t="str">
            <v>SMT</v>
          </cell>
          <cell r="C5943">
            <v>1</v>
          </cell>
          <cell r="D5943" t="e">
            <v>#N/A</v>
          </cell>
        </row>
        <row r="5944">
          <cell r="A5944" t="str">
            <v>1VJ1A605Q-3G8A</v>
          </cell>
          <cell r="B5944" t="str">
            <v>SMT</v>
          </cell>
          <cell r="C5944">
            <v>1</v>
          </cell>
          <cell r="D5944" t="e">
            <v>#N/A</v>
          </cell>
        </row>
        <row r="5945">
          <cell r="A5945" t="str">
            <v>1VJ2A605Q-3G8A</v>
          </cell>
          <cell r="B5945" t="str">
            <v>SMT</v>
          </cell>
          <cell r="C5945">
            <v>1</v>
          </cell>
          <cell r="D5945" t="e">
            <v>#N/A</v>
          </cell>
        </row>
        <row r="5946">
          <cell r="A5946" t="str">
            <v>1RE1A608C-3J3B</v>
          </cell>
          <cell r="B5946" t="str">
            <v>SMT</v>
          </cell>
          <cell r="C5946">
            <v>1</v>
          </cell>
          <cell r="D5946">
            <v>83</v>
          </cell>
          <cell r="E5946">
            <v>6210</v>
          </cell>
          <cell r="F5946" t="str">
            <v>VG01</v>
          </cell>
          <cell r="G5946" t="str">
            <v>Auto</v>
          </cell>
          <cell r="H5946">
            <v>311</v>
          </cell>
          <cell r="I5946">
            <v>6210</v>
          </cell>
          <cell r="J5946">
            <v>6310</v>
          </cell>
          <cell r="K5946" t="str">
            <v>VG01</v>
          </cell>
        </row>
        <row r="5947">
          <cell r="A5947" t="str">
            <v>A6575-3G61</v>
          </cell>
          <cell r="B5947" t="str">
            <v>SMT</v>
          </cell>
          <cell r="C5947">
            <v>1</v>
          </cell>
          <cell r="D5947" t="e">
            <v>#N/A</v>
          </cell>
        </row>
        <row r="5948">
          <cell r="A5948" t="str">
            <v>PULB1062ZB-GL</v>
          </cell>
          <cell r="B5948" t="str">
            <v>SMT</v>
          </cell>
          <cell r="C5948">
            <v>1</v>
          </cell>
          <cell r="D5948" t="e">
            <v>#N/A</v>
          </cell>
        </row>
        <row r="5949">
          <cell r="A5949" t="str">
            <v>1AE1H683L3K20BP-FE</v>
          </cell>
          <cell r="B5949" t="str">
            <v>SMT</v>
          </cell>
          <cell r="C5949">
            <v>1</v>
          </cell>
          <cell r="D5949">
            <v>150</v>
          </cell>
        </row>
        <row r="5950">
          <cell r="A5950" t="str">
            <v>H62603K20BP</v>
          </cell>
          <cell r="B5950" t="str">
            <v>SMT</v>
          </cell>
          <cell r="C5950">
            <v>2</v>
          </cell>
          <cell r="D5950">
            <v>219</v>
          </cell>
        </row>
        <row r="5951">
          <cell r="A5951" t="str">
            <v>PULB1097ZA-GL-S2</v>
          </cell>
          <cell r="B5951" t="str">
            <v>SMT</v>
          </cell>
          <cell r="C5951">
            <v>1</v>
          </cell>
          <cell r="D5951" t="e">
            <v>#N/A</v>
          </cell>
        </row>
        <row r="5952">
          <cell r="A5952" t="str">
            <v>PULB1096ZA-GL-S2A</v>
          </cell>
          <cell r="B5952" t="str">
            <v>SMT</v>
          </cell>
          <cell r="C5952">
            <v>1</v>
          </cell>
          <cell r="D5952" t="e">
            <v>#N/A</v>
          </cell>
        </row>
        <row r="5953">
          <cell r="A5953" t="str">
            <v>1HT1H683L3K20BP-FE</v>
          </cell>
          <cell r="B5953" t="str">
            <v>SMT</v>
          </cell>
          <cell r="C5953">
            <v>1</v>
          </cell>
          <cell r="D5953">
            <v>18</v>
          </cell>
        </row>
        <row r="5954">
          <cell r="A5954" t="str">
            <v>1TE1H683L3K20BP-FE</v>
          </cell>
          <cell r="B5954" t="str">
            <v>SMT</v>
          </cell>
          <cell r="C5954">
            <v>1</v>
          </cell>
          <cell r="D5954">
            <v>1</v>
          </cell>
        </row>
        <row r="5955">
          <cell r="A5955" t="str">
            <v>1RH1H683L3K20BP-FE</v>
          </cell>
          <cell r="B5955" t="str">
            <v>SMT</v>
          </cell>
          <cell r="C5955">
            <v>1</v>
          </cell>
          <cell r="D5955">
            <v>36</v>
          </cell>
        </row>
        <row r="5956">
          <cell r="A5956" t="str">
            <v>1VJ1SHH23-S2</v>
          </cell>
          <cell r="B5956" t="str">
            <v>SMT</v>
          </cell>
          <cell r="C5956">
            <v>1</v>
          </cell>
          <cell r="D5956">
            <v>1</v>
          </cell>
        </row>
        <row r="5957">
          <cell r="A5957" t="str">
            <v>1VJ1STM23-S2</v>
          </cell>
          <cell r="B5957" t="str">
            <v>SMT</v>
          </cell>
          <cell r="C5957">
            <v>1</v>
          </cell>
          <cell r="D5957">
            <v>1</v>
          </cell>
        </row>
        <row r="5958">
          <cell r="A5958" t="str">
            <v>1RE1SHH23-S2</v>
          </cell>
          <cell r="B5958" t="str">
            <v>SMT</v>
          </cell>
          <cell r="C5958">
            <v>1</v>
          </cell>
          <cell r="D5958">
            <v>113</v>
          </cell>
        </row>
        <row r="5959">
          <cell r="A5959" t="str">
            <v>1RE2SHH23-S2</v>
          </cell>
          <cell r="B5959" t="str">
            <v>SMT</v>
          </cell>
          <cell r="C5959">
            <v>1</v>
          </cell>
          <cell r="D5959">
            <v>110</v>
          </cell>
          <cell r="E5959">
            <v>9210</v>
          </cell>
          <cell r="F5959" t="str">
            <v>VE01</v>
          </cell>
          <cell r="G5959" t="str">
            <v>Auto</v>
          </cell>
          <cell r="H5959">
            <v>311</v>
          </cell>
          <cell r="I5959">
            <v>9210</v>
          </cell>
          <cell r="J5959">
            <v>9340</v>
          </cell>
          <cell r="K5959" t="str">
            <v>VE01</v>
          </cell>
        </row>
        <row r="5960">
          <cell r="A5960" t="str">
            <v>1RE1STM23-S2</v>
          </cell>
          <cell r="B5960" t="str">
            <v>SMT</v>
          </cell>
          <cell r="C5960">
            <v>1</v>
          </cell>
          <cell r="D5960">
            <v>102</v>
          </cell>
        </row>
        <row r="5961">
          <cell r="A5961" t="str">
            <v>1RE2STM23-S2</v>
          </cell>
          <cell r="B5961" t="str">
            <v>SMT</v>
          </cell>
          <cell r="C5961">
            <v>1</v>
          </cell>
          <cell r="D5961">
            <v>155</v>
          </cell>
          <cell r="E5961">
            <v>9210</v>
          </cell>
          <cell r="F5961" t="str">
            <v>VE01</v>
          </cell>
          <cell r="G5961" t="str">
            <v>Auto</v>
          </cell>
          <cell r="H5961">
            <v>311</v>
          </cell>
          <cell r="I5961">
            <v>9210</v>
          </cell>
          <cell r="J5961">
            <v>9340</v>
          </cell>
          <cell r="K5961" t="str">
            <v>VE01</v>
          </cell>
        </row>
        <row r="5962">
          <cell r="A5962" t="str">
            <v>1CM1H683L3K20BP-FE</v>
          </cell>
          <cell r="B5962" t="str">
            <v>SMT</v>
          </cell>
          <cell r="C5962">
            <v>1</v>
          </cell>
          <cell r="D5962">
            <v>430</v>
          </cell>
          <cell r="E5962">
            <v>6210</v>
          </cell>
          <cell r="F5962" t="str">
            <v>VG01</v>
          </cell>
          <cell r="G5962" t="str">
            <v>Auto</v>
          </cell>
          <cell r="H5962">
            <v>311</v>
          </cell>
          <cell r="I5962">
            <v>6210</v>
          </cell>
          <cell r="J5962">
            <v>6220</v>
          </cell>
          <cell r="K5962" t="str">
            <v>VG01</v>
          </cell>
        </row>
        <row r="5963">
          <cell r="A5963" t="str">
            <v>1VI1TVRU455AA</v>
          </cell>
          <cell r="B5963" t="str">
            <v>SMT</v>
          </cell>
          <cell r="C5963">
            <v>1</v>
          </cell>
          <cell r="D5963" t="e">
            <v>#N/A</v>
          </cell>
        </row>
        <row r="5964">
          <cell r="A5964" t="str">
            <v>1VI1TVRU469AA</v>
          </cell>
          <cell r="B5964" t="str">
            <v>SMT</v>
          </cell>
          <cell r="C5964">
            <v>1</v>
          </cell>
          <cell r="D5964" t="e">
            <v>#N/A</v>
          </cell>
        </row>
        <row r="5965">
          <cell r="A5965" t="str">
            <v>1CM1A603L3G8AYP</v>
          </cell>
          <cell r="B5965" t="str">
            <v>SMT</v>
          </cell>
          <cell r="C5965">
            <v>1</v>
          </cell>
          <cell r="D5965">
            <v>391</v>
          </cell>
          <cell r="E5965">
            <v>6210</v>
          </cell>
          <cell r="F5965" t="str">
            <v>VG01</v>
          </cell>
          <cell r="G5965" t="str">
            <v>Auto</v>
          </cell>
          <cell r="H5965">
            <v>311</v>
          </cell>
          <cell r="I5965">
            <v>6210</v>
          </cell>
          <cell r="J5965">
            <v>6220</v>
          </cell>
          <cell r="K5965" t="str">
            <v>VG01</v>
          </cell>
        </row>
        <row r="5966">
          <cell r="A5966" t="str">
            <v>1RH1A603L3G8AYP</v>
          </cell>
          <cell r="B5966" t="str">
            <v>SMT</v>
          </cell>
          <cell r="C5966">
            <v>1</v>
          </cell>
          <cell r="D5966">
            <v>14</v>
          </cell>
        </row>
        <row r="5967">
          <cell r="A5967" t="str">
            <v>1TE1A603L3G8AYP</v>
          </cell>
          <cell r="B5967" t="str">
            <v>SMT</v>
          </cell>
          <cell r="C5967">
            <v>1</v>
          </cell>
          <cell r="D5967">
            <v>7</v>
          </cell>
        </row>
        <row r="5968">
          <cell r="A5968" t="str">
            <v>1AE1A603L3G8AYP</v>
          </cell>
          <cell r="B5968" t="str">
            <v>SMT</v>
          </cell>
          <cell r="C5968">
            <v>1</v>
          </cell>
          <cell r="D5968">
            <v>115</v>
          </cell>
        </row>
        <row r="5969">
          <cell r="A5969" t="str">
            <v>1HT1A603L3G8AYP</v>
          </cell>
          <cell r="B5969" t="str">
            <v>SMT</v>
          </cell>
          <cell r="C5969">
            <v>1</v>
          </cell>
          <cell r="D5969">
            <v>19</v>
          </cell>
        </row>
        <row r="5970">
          <cell r="A5970" t="str">
            <v>A62603G80BP</v>
          </cell>
          <cell r="B5970" t="str">
            <v>SMT</v>
          </cell>
          <cell r="C5970">
            <v>1</v>
          </cell>
          <cell r="D5970" t="e">
            <v>#N/A</v>
          </cell>
        </row>
        <row r="5971">
          <cell r="A5971" t="str">
            <v>A62603G8AAP</v>
          </cell>
          <cell r="B5971" t="str">
            <v>SMT</v>
          </cell>
          <cell r="C5971">
            <v>1</v>
          </cell>
          <cell r="D5971" t="e">
            <v>#N/A</v>
          </cell>
        </row>
        <row r="5972">
          <cell r="A5972" t="str">
            <v>Material</v>
          </cell>
          <cell r="B5972" t="str">
            <v>SMT</v>
          </cell>
          <cell r="C5972">
            <v>1</v>
          </cell>
          <cell r="D5972" t="e">
            <v>#N/A</v>
          </cell>
        </row>
        <row r="5973">
          <cell r="A5973" t="str">
            <v>1RH1A603L3G8AAP</v>
          </cell>
          <cell r="B5973" t="str">
            <v>SMT</v>
          </cell>
          <cell r="C5973">
            <v>1</v>
          </cell>
          <cell r="D5973">
            <v>15</v>
          </cell>
        </row>
        <row r="5974">
          <cell r="A5974" t="str">
            <v>1TE1A603L3G8AAP</v>
          </cell>
          <cell r="B5974" t="str">
            <v>SMT</v>
          </cell>
          <cell r="C5974">
            <v>1</v>
          </cell>
          <cell r="D5974">
            <v>3</v>
          </cell>
        </row>
        <row r="5975">
          <cell r="A5975" t="str">
            <v>1AE1A603L3G8AAP</v>
          </cell>
          <cell r="B5975" t="str">
            <v>SMT</v>
          </cell>
          <cell r="C5975">
            <v>1</v>
          </cell>
          <cell r="D5975">
            <v>133</v>
          </cell>
        </row>
        <row r="5976">
          <cell r="A5976" t="str">
            <v>1HT1A603L3G8AAP</v>
          </cell>
          <cell r="B5976" t="str">
            <v>SMT</v>
          </cell>
          <cell r="C5976">
            <v>1</v>
          </cell>
          <cell r="D5976">
            <v>18</v>
          </cell>
        </row>
        <row r="5977">
          <cell r="A5977" t="str">
            <v>1RH1H603Y-3J00</v>
          </cell>
          <cell r="B5977" t="str">
            <v>SMT</v>
          </cell>
          <cell r="C5977">
            <v>1</v>
          </cell>
          <cell r="D5977">
            <v>11</v>
          </cell>
        </row>
        <row r="5978">
          <cell r="A5978" t="str">
            <v>1TE1H603Y-3J00</v>
          </cell>
          <cell r="B5978" t="str">
            <v>SMT</v>
          </cell>
          <cell r="C5978">
            <v>1</v>
          </cell>
          <cell r="D5978">
            <v>5</v>
          </cell>
        </row>
        <row r="5979">
          <cell r="A5979" t="str">
            <v>1AE1H603Y-3J00</v>
          </cell>
          <cell r="B5979" t="str">
            <v>SMT</v>
          </cell>
          <cell r="C5979">
            <v>1</v>
          </cell>
          <cell r="D5979">
            <v>26</v>
          </cell>
        </row>
        <row r="5980">
          <cell r="A5980" t="str">
            <v>1HT1H603Y-3J00</v>
          </cell>
          <cell r="B5980" t="str">
            <v>SMT</v>
          </cell>
          <cell r="C5980">
            <v>1</v>
          </cell>
          <cell r="D5980">
            <v>28</v>
          </cell>
        </row>
        <row r="5981">
          <cell r="A5981" t="str">
            <v>H6555-3J00</v>
          </cell>
          <cell r="B5981" t="str">
            <v>SMT</v>
          </cell>
          <cell r="C5981">
            <v>1</v>
          </cell>
          <cell r="D5981" t="e">
            <v>#N/A</v>
          </cell>
        </row>
        <row r="5982">
          <cell r="A5982" t="str">
            <v>1CM1A603L3G8AAP</v>
          </cell>
          <cell r="B5982" t="str">
            <v>SMT</v>
          </cell>
          <cell r="C5982">
            <v>1</v>
          </cell>
          <cell r="D5982">
            <v>328</v>
          </cell>
          <cell r="E5982">
            <v>6210</v>
          </cell>
          <cell r="F5982" t="str">
            <v>VG01</v>
          </cell>
          <cell r="G5982" t="str">
            <v>Auto</v>
          </cell>
          <cell r="H5982">
            <v>311</v>
          </cell>
          <cell r="I5982">
            <v>6210</v>
          </cell>
          <cell r="J5982">
            <v>6220</v>
          </cell>
          <cell r="K5982" t="str">
            <v>VG01</v>
          </cell>
        </row>
        <row r="5983">
          <cell r="A5983" t="str">
            <v>1CM1H603Y-3J00</v>
          </cell>
          <cell r="B5983" t="str">
            <v>SMT</v>
          </cell>
          <cell r="C5983">
            <v>1</v>
          </cell>
          <cell r="D5983">
            <v>66</v>
          </cell>
          <cell r="E5983">
            <v>6210</v>
          </cell>
          <cell r="F5983" t="str">
            <v>VG01</v>
          </cell>
          <cell r="G5983" t="str">
            <v>Auto</v>
          </cell>
          <cell r="H5983">
            <v>311</v>
          </cell>
          <cell r="I5983">
            <v>6210</v>
          </cell>
          <cell r="J5983">
            <v>6220</v>
          </cell>
          <cell r="K5983" t="str">
            <v>VG01</v>
          </cell>
        </row>
        <row r="5984">
          <cell r="A5984" t="str">
            <v>1AE1H603L3K20BP-P1</v>
          </cell>
          <cell r="B5984" t="str">
            <v>SMT</v>
          </cell>
          <cell r="C5984">
            <v>1</v>
          </cell>
          <cell r="D5984">
            <v>150</v>
          </cell>
        </row>
        <row r="5985">
          <cell r="A5985" t="str">
            <v>1AE1H603Y3K20BP-P1</v>
          </cell>
          <cell r="B5985" t="str">
            <v>SMT</v>
          </cell>
          <cell r="C5985">
            <v>1</v>
          </cell>
          <cell r="D5985">
            <v>10</v>
          </cell>
        </row>
        <row r="5986">
          <cell r="A5986" t="str">
            <v>1CM1H603L3K20BP-P1</v>
          </cell>
          <cell r="B5986" t="str">
            <v>SMT</v>
          </cell>
          <cell r="C5986">
            <v>1</v>
          </cell>
          <cell r="D5986">
            <v>430</v>
          </cell>
          <cell r="E5986">
            <v>6210</v>
          </cell>
          <cell r="F5986" t="str">
            <v>VG01</v>
          </cell>
          <cell r="G5986" t="str">
            <v>Auto</v>
          </cell>
          <cell r="H5986">
            <v>311</v>
          </cell>
          <cell r="I5986">
            <v>6210</v>
          </cell>
          <cell r="J5986">
            <v>6220</v>
          </cell>
          <cell r="K5986" t="str">
            <v>VG01</v>
          </cell>
        </row>
        <row r="5987">
          <cell r="A5987" t="str">
            <v>1CM1H603Y3K20BP-P1</v>
          </cell>
          <cell r="B5987" t="str">
            <v>SMT</v>
          </cell>
          <cell r="C5987">
            <v>1</v>
          </cell>
          <cell r="D5987">
            <v>6</v>
          </cell>
          <cell r="E5987">
            <v>6210</v>
          </cell>
          <cell r="F5987" t="str">
            <v>VG01</v>
          </cell>
          <cell r="G5987" t="str">
            <v>Auto</v>
          </cell>
          <cell r="H5987">
            <v>311</v>
          </cell>
          <cell r="I5987">
            <v>6210</v>
          </cell>
          <cell r="J5987">
            <v>6220</v>
          </cell>
          <cell r="K5987" t="str">
            <v>VG01</v>
          </cell>
        </row>
        <row r="5988">
          <cell r="A5988" t="str">
            <v>1HT1H603L3K20BP-P1</v>
          </cell>
          <cell r="B5988" t="str">
            <v>SMT</v>
          </cell>
          <cell r="C5988">
            <v>1</v>
          </cell>
          <cell r="D5988">
            <v>19</v>
          </cell>
        </row>
        <row r="5989">
          <cell r="A5989" t="str">
            <v>1HT1H603Y3K20BP-P1</v>
          </cell>
          <cell r="B5989" t="str">
            <v>SMT</v>
          </cell>
          <cell r="C5989">
            <v>1</v>
          </cell>
          <cell r="D5989">
            <v>11</v>
          </cell>
        </row>
        <row r="5990">
          <cell r="A5990" t="str">
            <v>1RE1H685Q3K20BP-P1</v>
          </cell>
          <cell r="B5990" t="str">
            <v>SMT</v>
          </cell>
          <cell r="C5990">
            <v>1</v>
          </cell>
          <cell r="D5990">
            <v>143</v>
          </cell>
        </row>
        <row r="5991">
          <cell r="A5991" t="str">
            <v>1RE2H685Q3K20BP-P1</v>
          </cell>
          <cell r="B5991" t="str">
            <v>SMT</v>
          </cell>
          <cell r="C5991">
            <v>1</v>
          </cell>
          <cell r="D5991">
            <v>308</v>
          </cell>
          <cell r="E5991">
            <v>6210</v>
          </cell>
          <cell r="F5991" t="str">
            <v>VG01</v>
          </cell>
          <cell r="G5991" t="str">
            <v>Auto</v>
          </cell>
          <cell r="H5991">
            <v>311</v>
          </cell>
          <cell r="I5991">
            <v>6210</v>
          </cell>
          <cell r="J5991">
            <v>6220</v>
          </cell>
          <cell r="K5991" t="str">
            <v>VG01</v>
          </cell>
        </row>
        <row r="5992">
          <cell r="A5992" t="str">
            <v>1RH1H603L3K20BP-P1</v>
          </cell>
          <cell r="B5992" t="str">
            <v>SMT</v>
          </cell>
          <cell r="C5992">
            <v>1</v>
          </cell>
          <cell r="D5992">
            <v>36</v>
          </cell>
        </row>
        <row r="5993">
          <cell r="A5993" t="str">
            <v>1RH1H603Y3K20BP-P1</v>
          </cell>
          <cell r="B5993" t="str">
            <v>SMT</v>
          </cell>
          <cell r="C5993">
            <v>1</v>
          </cell>
          <cell r="D5993">
            <v>4</v>
          </cell>
        </row>
        <row r="5994">
          <cell r="A5994" t="str">
            <v>1TE1H603L3K20BP-P1</v>
          </cell>
          <cell r="B5994" t="str">
            <v>SMT</v>
          </cell>
          <cell r="C5994">
            <v>1</v>
          </cell>
          <cell r="D5994">
            <v>1</v>
          </cell>
        </row>
        <row r="5995">
          <cell r="A5995" t="str">
            <v>1TE1H603Y3K20BP-P1</v>
          </cell>
          <cell r="B5995" t="str">
            <v>SMT</v>
          </cell>
          <cell r="C5995">
            <v>1</v>
          </cell>
          <cell r="D5995">
            <v>10</v>
          </cell>
        </row>
        <row r="5996">
          <cell r="A5996" t="str">
            <v>1VJ1H685Q3K20BP-P1</v>
          </cell>
          <cell r="B5996" t="str">
            <v>SMT</v>
          </cell>
          <cell r="C5996">
            <v>1</v>
          </cell>
          <cell r="D5996">
            <v>1</v>
          </cell>
        </row>
        <row r="5997">
          <cell r="A5997" t="str">
            <v>1VJ2H685Q3K20BP-P1</v>
          </cell>
          <cell r="B5997" t="str">
            <v>SMT</v>
          </cell>
          <cell r="C5997">
            <v>1</v>
          </cell>
          <cell r="D5997">
            <v>1</v>
          </cell>
        </row>
        <row r="5998">
          <cell r="A5998" t="str">
            <v>PULB1080ZA-XM</v>
          </cell>
          <cell r="B5998" t="str">
            <v>SMT</v>
          </cell>
          <cell r="C5998">
            <v>1</v>
          </cell>
          <cell r="D5998">
            <v>0</v>
          </cell>
        </row>
        <row r="5999">
          <cell r="A5999" t="str">
            <v>PULB1082ZA-XM</v>
          </cell>
          <cell r="B5999" t="str">
            <v>SMT</v>
          </cell>
          <cell r="C5999">
            <v>1</v>
          </cell>
          <cell r="D5999">
            <v>0</v>
          </cell>
        </row>
        <row r="6000">
          <cell r="A6000" t="str">
            <v>PULB1081ZA-XM</v>
          </cell>
          <cell r="B6000" t="str">
            <v>SMT</v>
          </cell>
          <cell r="C6000">
            <v>1</v>
          </cell>
          <cell r="D6000">
            <v>0</v>
          </cell>
        </row>
        <row r="6001">
          <cell r="A6001" t="str">
            <v>1VJ1AM800CPU</v>
          </cell>
          <cell r="B6001" t="str">
            <v>SMT</v>
          </cell>
          <cell r="C6001">
            <v>1</v>
          </cell>
          <cell r="D6001" t="e">
            <v>#N/A</v>
          </cell>
        </row>
        <row r="6002">
          <cell r="A6002" t="str">
            <v>2VJ1AM800SSL</v>
          </cell>
          <cell r="B6002" t="str">
            <v>SMT</v>
          </cell>
          <cell r="C6002">
            <v>1</v>
          </cell>
          <cell r="D6002" t="e">
            <v>#N/A</v>
          </cell>
        </row>
        <row r="6003">
          <cell r="A6003" t="str">
            <v>3VJ1AM800DSP1</v>
          </cell>
          <cell r="B6003" t="str">
            <v>SMT</v>
          </cell>
          <cell r="C6003">
            <v>1</v>
          </cell>
          <cell r="D6003" t="e">
            <v>#N/A</v>
          </cell>
        </row>
        <row r="6004">
          <cell r="A6004" t="str">
            <v>4VJ1AM800DSP2</v>
          </cell>
          <cell r="B6004" t="str">
            <v>SMT</v>
          </cell>
          <cell r="C6004">
            <v>1</v>
          </cell>
          <cell r="D6004" t="e">
            <v>#N/A</v>
          </cell>
        </row>
        <row r="6005">
          <cell r="A6005" t="str">
            <v>1VJ1AU202P</v>
          </cell>
          <cell r="B6005" t="str">
            <v>SMT</v>
          </cell>
          <cell r="C6005">
            <v>1</v>
          </cell>
          <cell r="D6005" t="e">
            <v>#N/A</v>
          </cell>
        </row>
        <row r="6006">
          <cell r="A6006" t="str">
            <v>2VJ1AU202P</v>
          </cell>
          <cell r="B6006" t="str">
            <v>SMT</v>
          </cell>
          <cell r="C6006">
            <v>1</v>
          </cell>
          <cell r="D6006" t="e">
            <v>#N/A</v>
          </cell>
        </row>
        <row r="6007">
          <cell r="A6007" t="str">
            <v>1VJ2AU202P</v>
          </cell>
          <cell r="B6007" t="str">
            <v>SMT</v>
          </cell>
          <cell r="C6007">
            <v>1</v>
          </cell>
          <cell r="D6007" t="e">
            <v>#N/A</v>
          </cell>
        </row>
        <row r="6008">
          <cell r="A6008" t="str">
            <v>2VJ2AU202P</v>
          </cell>
          <cell r="B6008" t="str">
            <v>SMT</v>
          </cell>
          <cell r="C6008">
            <v>1</v>
          </cell>
          <cell r="D6008" t="e">
            <v>#N/A</v>
          </cell>
        </row>
        <row r="6009">
          <cell r="A6009" t="str">
            <v>3VJ2AU202P</v>
          </cell>
          <cell r="B6009" t="str">
            <v>SMT</v>
          </cell>
          <cell r="C6009">
            <v>1</v>
          </cell>
          <cell r="D6009" t="e">
            <v>#N/A</v>
          </cell>
        </row>
        <row r="6010">
          <cell r="A6010" t="str">
            <v>1RE1AM800</v>
          </cell>
          <cell r="B6010" t="str">
            <v>SMT</v>
          </cell>
          <cell r="C6010">
            <v>1</v>
          </cell>
          <cell r="D6010">
            <v>928</v>
          </cell>
        </row>
        <row r="6011">
          <cell r="A6011" t="str">
            <v>1RE2AM800</v>
          </cell>
          <cell r="B6011" t="str">
            <v>SMT</v>
          </cell>
          <cell r="C6011">
            <v>1</v>
          </cell>
          <cell r="D6011">
            <v>925</v>
          </cell>
          <cell r="E6011">
            <v>9210</v>
          </cell>
          <cell r="F6011" t="str">
            <v>VE01</v>
          </cell>
          <cell r="G6011" t="str">
            <v>Auto</v>
          </cell>
          <cell r="H6011">
            <v>311</v>
          </cell>
          <cell r="I6011">
            <v>9210</v>
          </cell>
          <cell r="J6011">
            <v>9220</v>
          </cell>
          <cell r="K6011" t="str">
            <v>VE01</v>
          </cell>
        </row>
        <row r="6012">
          <cell r="A6012" t="str">
            <v>1RE1AU202P</v>
          </cell>
          <cell r="B6012" t="str">
            <v>SMT</v>
          </cell>
          <cell r="C6012">
            <v>1</v>
          </cell>
          <cell r="D6012">
            <v>393</v>
          </cell>
        </row>
        <row r="6013">
          <cell r="A6013" t="str">
            <v>3RE1AM800</v>
          </cell>
          <cell r="B6013" t="str">
            <v>SMT</v>
          </cell>
          <cell r="C6013">
            <v>1</v>
          </cell>
          <cell r="D6013">
            <v>30</v>
          </cell>
          <cell r="E6013">
            <v>9210</v>
          </cell>
          <cell r="F6013" t="str">
            <v>VE01</v>
          </cell>
          <cell r="G6013" t="str">
            <v>Auto</v>
          </cell>
          <cell r="H6013">
            <v>311</v>
          </cell>
          <cell r="I6013">
            <v>9210</v>
          </cell>
          <cell r="J6013">
            <v>9340</v>
          </cell>
          <cell r="K6013" t="str">
            <v>VE01</v>
          </cell>
        </row>
        <row r="6014">
          <cell r="A6014" t="str">
            <v>1RE2AU202P</v>
          </cell>
          <cell r="B6014" t="str">
            <v>SMT</v>
          </cell>
          <cell r="C6014">
            <v>1</v>
          </cell>
          <cell r="D6014">
            <v>739</v>
          </cell>
          <cell r="E6014">
            <v>9210</v>
          </cell>
          <cell r="F6014" t="str">
            <v>VE01</v>
          </cell>
          <cell r="G6014" t="str">
            <v>Auto</v>
          </cell>
          <cell r="H6014">
            <v>311</v>
          </cell>
          <cell r="I6014">
            <v>9210</v>
          </cell>
          <cell r="J6014">
            <v>9340</v>
          </cell>
          <cell r="K6014" t="str">
            <v>VE01</v>
          </cell>
        </row>
        <row r="6015">
          <cell r="A6015" t="str">
            <v>2RE1AM800</v>
          </cell>
          <cell r="B6015" t="str">
            <v>SMT</v>
          </cell>
          <cell r="C6015">
            <v>1</v>
          </cell>
          <cell r="D6015">
            <v>19</v>
          </cell>
        </row>
        <row r="6016">
          <cell r="A6016" t="str">
            <v>2RE2AM800</v>
          </cell>
          <cell r="B6016" t="str">
            <v>SMT</v>
          </cell>
          <cell r="C6016">
            <v>1</v>
          </cell>
          <cell r="D6016">
            <v>400</v>
          </cell>
          <cell r="E6016">
            <v>9210</v>
          </cell>
          <cell r="F6016" t="str">
            <v>VE01</v>
          </cell>
          <cell r="G6016" t="str">
            <v>Auto</v>
          </cell>
          <cell r="H6016">
            <v>311</v>
          </cell>
          <cell r="I6016">
            <v>9210</v>
          </cell>
          <cell r="J6016">
            <v>9340</v>
          </cell>
          <cell r="K6016" t="str">
            <v>VE01</v>
          </cell>
        </row>
        <row r="6017">
          <cell r="A6017" t="str">
            <v>1AE1A603L3G90P3-P1</v>
          </cell>
          <cell r="B6017" t="str">
            <v>SMT</v>
          </cell>
          <cell r="C6017">
            <v>1</v>
          </cell>
          <cell r="D6017">
            <v>33</v>
          </cell>
        </row>
        <row r="6018">
          <cell r="A6018" t="str">
            <v>A6260-3G61</v>
          </cell>
          <cell r="B6018" t="str">
            <v>SMT</v>
          </cell>
          <cell r="C6018">
            <v>1</v>
          </cell>
          <cell r="D6018" t="e">
            <v>#N/A</v>
          </cell>
        </row>
        <row r="6019">
          <cell r="A6019" t="str">
            <v>1HT1A603L3G90P3-P1</v>
          </cell>
          <cell r="B6019" t="str">
            <v>SMT</v>
          </cell>
          <cell r="C6019">
            <v>1</v>
          </cell>
          <cell r="D6019">
            <v>19</v>
          </cell>
        </row>
        <row r="6020">
          <cell r="A6020" t="str">
            <v>1TE1A603L3G90P3-P1</v>
          </cell>
          <cell r="B6020" t="str">
            <v>SMT</v>
          </cell>
          <cell r="C6020">
            <v>1</v>
          </cell>
          <cell r="D6020">
            <v>1</v>
          </cell>
        </row>
        <row r="6021">
          <cell r="A6021" t="str">
            <v>1RH1A603L3G90P3-P1</v>
          </cell>
          <cell r="B6021" t="str">
            <v>SMT</v>
          </cell>
          <cell r="C6021">
            <v>1</v>
          </cell>
          <cell r="D6021">
            <v>15</v>
          </cell>
        </row>
        <row r="6022">
          <cell r="A6022" t="str">
            <v>1CM1A603L3G90P3-P1</v>
          </cell>
          <cell r="B6022" t="str">
            <v>SMT</v>
          </cell>
          <cell r="C6022">
            <v>1</v>
          </cell>
          <cell r="D6022">
            <v>155</v>
          </cell>
          <cell r="E6022">
            <v>6210</v>
          </cell>
          <cell r="F6022" t="str">
            <v>VG01</v>
          </cell>
          <cell r="G6022" t="str">
            <v>Auto</v>
          </cell>
          <cell r="H6022">
            <v>311</v>
          </cell>
          <cell r="I6022">
            <v>6210</v>
          </cell>
          <cell r="J6022">
            <v>6220</v>
          </cell>
          <cell r="K6022" t="str">
            <v>VG01</v>
          </cell>
        </row>
        <row r="6023">
          <cell r="A6023" t="str">
            <v>1VI1TVRU455AB</v>
          </cell>
          <cell r="B6023" t="str">
            <v>SMT</v>
          </cell>
          <cell r="C6023">
            <v>1</v>
          </cell>
          <cell r="D6023" t="e">
            <v>#N/A</v>
          </cell>
        </row>
        <row r="6024">
          <cell r="A6024" t="str">
            <v>1VI1TVRU469AB</v>
          </cell>
          <cell r="B6024" t="str">
            <v>SMT</v>
          </cell>
          <cell r="C6024">
            <v>1</v>
          </cell>
          <cell r="D6024" t="e">
            <v>#N/A</v>
          </cell>
        </row>
        <row r="6025">
          <cell r="A6025" t="str">
            <v>PULB1096ZA-GL</v>
          </cell>
          <cell r="B6025" t="str">
            <v>SMT</v>
          </cell>
          <cell r="C6025">
            <v>1</v>
          </cell>
          <cell r="D6025" t="e">
            <v>#N/A</v>
          </cell>
        </row>
        <row r="6026">
          <cell r="A6026" t="str">
            <v>PULB1097ZA-GL</v>
          </cell>
          <cell r="B6026" t="str">
            <v>SMT</v>
          </cell>
          <cell r="C6026">
            <v>1</v>
          </cell>
          <cell r="D6026" t="e">
            <v>#N/A</v>
          </cell>
        </row>
        <row r="6027">
          <cell r="A6027" t="str">
            <v>1VJ1STM24</v>
          </cell>
          <cell r="B6027" t="str">
            <v>SMT</v>
          </cell>
          <cell r="C6027">
            <v>1</v>
          </cell>
          <cell r="D6027" t="e">
            <v>#N/A</v>
          </cell>
        </row>
        <row r="6028">
          <cell r="A6028" t="str">
            <v>1VJ1SHH24</v>
          </cell>
          <cell r="B6028" t="str">
            <v>SMT</v>
          </cell>
          <cell r="C6028">
            <v>1</v>
          </cell>
          <cell r="D6028" t="e">
            <v>#N/A</v>
          </cell>
        </row>
        <row r="6029">
          <cell r="A6029" t="str">
            <v>1RE1STM24</v>
          </cell>
          <cell r="B6029" t="str">
            <v>SMT</v>
          </cell>
          <cell r="C6029">
            <v>1</v>
          </cell>
          <cell r="D6029">
            <v>102</v>
          </cell>
        </row>
        <row r="6030">
          <cell r="A6030" t="str">
            <v>1RE1SHH24</v>
          </cell>
          <cell r="B6030" t="str">
            <v>SMT</v>
          </cell>
          <cell r="C6030">
            <v>1</v>
          </cell>
          <cell r="D6030">
            <v>115</v>
          </cell>
        </row>
        <row r="6031">
          <cell r="A6031" t="str">
            <v>1RE2SHH24</v>
          </cell>
          <cell r="B6031" t="str">
            <v>SMT</v>
          </cell>
          <cell r="C6031">
            <v>1</v>
          </cell>
          <cell r="D6031">
            <v>110</v>
          </cell>
          <cell r="E6031">
            <v>9210</v>
          </cell>
          <cell r="F6031" t="str">
            <v>VE01</v>
          </cell>
          <cell r="G6031" t="str">
            <v>Auto</v>
          </cell>
          <cell r="H6031">
            <v>311</v>
          </cell>
          <cell r="I6031">
            <v>9210</v>
          </cell>
          <cell r="J6031">
            <v>9340</v>
          </cell>
          <cell r="K6031" t="str">
            <v>VE01</v>
          </cell>
        </row>
        <row r="6032">
          <cell r="A6032" t="str">
            <v>1RE2STM24</v>
          </cell>
          <cell r="B6032" t="str">
            <v>SMT</v>
          </cell>
          <cell r="C6032">
            <v>1</v>
          </cell>
          <cell r="D6032">
            <v>155</v>
          </cell>
          <cell r="E6032">
            <v>9210</v>
          </cell>
          <cell r="F6032" t="str">
            <v>VE01</v>
          </cell>
          <cell r="G6032" t="str">
            <v>Auto</v>
          </cell>
          <cell r="H6032">
            <v>311</v>
          </cell>
          <cell r="I6032">
            <v>9210</v>
          </cell>
          <cell r="J6032">
            <v>9340</v>
          </cell>
          <cell r="K6032" t="str">
            <v>VE01</v>
          </cell>
        </row>
        <row r="6033">
          <cell r="A6033" t="str">
            <v>1AE1A603L3G90P3</v>
          </cell>
          <cell r="B6033" t="str">
            <v>SMT</v>
          </cell>
          <cell r="C6033">
            <v>1</v>
          </cell>
          <cell r="D6033">
            <v>93</v>
          </cell>
        </row>
        <row r="6034">
          <cell r="A6034" t="str">
            <v>1CM1A603L3G90P3</v>
          </cell>
          <cell r="B6034" t="str">
            <v>SMT</v>
          </cell>
          <cell r="C6034">
            <v>1</v>
          </cell>
          <cell r="D6034">
            <v>230</v>
          </cell>
          <cell r="E6034">
            <v>6210</v>
          </cell>
          <cell r="F6034" t="str">
            <v>VG01</v>
          </cell>
          <cell r="G6034" t="str">
            <v>Auto</v>
          </cell>
          <cell r="H6034">
            <v>311</v>
          </cell>
          <cell r="I6034">
            <v>6210</v>
          </cell>
          <cell r="J6034">
            <v>6220</v>
          </cell>
          <cell r="K6034" t="str">
            <v>VG01</v>
          </cell>
        </row>
        <row r="6035">
          <cell r="A6035" t="str">
            <v>1HT1A603L3G90P3</v>
          </cell>
          <cell r="B6035" t="str">
            <v>SMT</v>
          </cell>
          <cell r="C6035">
            <v>1</v>
          </cell>
          <cell r="D6035">
            <v>19</v>
          </cell>
        </row>
        <row r="6036">
          <cell r="A6036" t="str">
            <v>1RH1A603L3G90P3</v>
          </cell>
          <cell r="B6036" t="str">
            <v>SMT</v>
          </cell>
          <cell r="C6036">
            <v>1</v>
          </cell>
          <cell r="D6036">
            <v>13</v>
          </cell>
        </row>
        <row r="6037">
          <cell r="A6037" t="str">
            <v>1TE1A603L3G90P3</v>
          </cell>
          <cell r="B6037" t="str">
            <v>SMT</v>
          </cell>
          <cell r="C6037">
            <v>1</v>
          </cell>
          <cell r="D6037">
            <v>7</v>
          </cell>
        </row>
        <row r="6038">
          <cell r="A6038" t="str">
            <v>1CM1H603L3K20BP</v>
          </cell>
          <cell r="B6038" t="str">
            <v>SMT</v>
          </cell>
          <cell r="C6038">
            <v>1</v>
          </cell>
          <cell r="D6038">
            <v>430</v>
          </cell>
          <cell r="E6038">
            <v>6210</v>
          </cell>
          <cell r="F6038" t="str">
            <v>VG01</v>
          </cell>
          <cell r="G6038" t="str">
            <v>Auto</v>
          </cell>
          <cell r="H6038">
            <v>311</v>
          </cell>
          <cell r="I6038">
            <v>6210</v>
          </cell>
          <cell r="J6038">
            <v>6220</v>
          </cell>
          <cell r="K6038" t="str">
            <v>VG01</v>
          </cell>
        </row>
        <row r="6039">
          <cell r="A6039" t="str">
            <v>1RH1H603L3K20BP</v>
          </cell>
          <cell r="B6039" t="str">
            <v>SMT</v>
          </cell>
          <cell r="C6039">
            <v>1</v>
          </cell>
          <cell r="D6039">
            <v>36</v>
          </cell>
        </row>
        <row r="6040">
          <cell r="A6040" t="str">
            <v>1TE1H603L3K20BP</v>
          </cell>
          <cell r="B6040" t="str">
            <v>SMT</v>
          </cell>
          <cell r="C6040">
            <v>1</v>
          </cell>
          <cell r="D6040">
            <v>1</v>
          </cell>
        </row>
        <row r="6041">
          <cell r="A6041" t="str">
            <v>1AE1H603L3K20BP</v>
          </cell>
          <cell r="B6041" t="str">
            <v>SMT</v>
          </cell>
          <cell r="C6041">
            <v>1</v>
          </cell>
          <cell r="D6041">
            <v>150</v>
          </cell>
        </row>
        <row r="6042">
          <cell r="A6042" t="str">
            <v>1HT1H603L3K20BP</v>
          </cell>
          <cell r="B6042" t="str">
            <v>SMT</v>
          </cell>
          <cell r="C6042">
            <v>1</v>
          </cell>
          <cell r="D6042">
            <v>18</v>
          </cell>
        </row>
        <row r="6043">
          <cell r="A6043" t="str">
            <v>1CM1H603Y3K20BP</v>
          </cell>
          <cell r="B6043" t="str">
            <v>SMT</v>
          </cell>
          <cell r="C6043">
            <v>1</v>
          </cell>
          <cell r="D6043">
            <v>6</v>
          </cell>
          <cell r="E6043">
            <v>6210</v>
          </cell>
          <cell r="F6043" t="str">
            <v>VG01</v>
          </cell>
          <cell r="G6043" t="str">
            <v>Auto</v>
          </cell>
          <cell r="H6043">
            <v>311</v>
          </cell>
          <cell r="I6043">
            <v>6210</v>
          </cell>
          <cell r="J6043">
            <v>6220</v>
          </cell>
          <cell r="K6043" t="str">
            <v>VG01</v>
          </cell>
        </row>
        <row r="6044">
          <cell r="A6044" t="str">
            <v>1RH1H603Y3K20BP</v>
          </cell>
          <cell r="B6044" t="str">
            <v>SMT</v>
          </cell>
          <cell r="C6044">
            <v>1</v>
          </cell>
          <cell r="D6044">
            <v>4</v>
          </cell>
        </row>
        <row r="6045">
          <cell r="A6045" t="str">
            <v>1TE1H603Y3K20BP</v>
          </cell>
          <cell r="B6045" t="str">
            <v>SMT</v>
          </cell>
          <cell r="C6045">
            <v>1</v>
          </cell>
          <cell r="D6045">
            <v>10</v>
          </cell>
        </row>
        <row r="6046">
          <cell r="A6046" t="str">
            <v>1AE1H603Y3K20BP</v>
          </cell>
          <cell r="B6046" t="str">
            <v>SMT</v>
          </cell>
          <cell r="C6046">
            <v>1</v>
          </cell>
          <cell r="D6046">
            <v>10</v>
          </cell>
        </row>
        <row r="6047">
          <cell r="A6047" t="str">
            <v>1HT1H603Y3K20BP</v>
          </cell>
          <cell r="B6047" t="str">
            <v>SMT</v>
          </cell>
          <cell r="C6047">
            <v>1</v>
          </cell>
          <cell r="D6047">
            <v>10</v>
          </cell>
        </row>
        <row r="6048">
          <cell r="A6048" t="str">
            <v>1RE2H685Q3K20BP</v>
          </cell>
          <cell r="B6048" t="str">
            <v>SMT</v>
          </cell>
          <cell r="C6048">
            <v>1</v>
          </cell>
          <cell r="D6048">
            <v>308</v>
          </cell>
          <cell r="E6048">
            <v>6210</v>
          </cell>
          <cell r="F6048" t="str">
            <v>VG01</v>
          </cell>
          <cell r="G6048" t="str">
            <v>Auto</v>
          </cell>
          <cell r="H6048">
            <v>311</v>
          </cell>
          <cell r="I6048">
            <v>6210</v>
          </cell>
          <cell r="J6048">
            <v>6220</v>
          </cell>
          <cell r="K6048" t="str">
            <v>VG01</v>
          </cell>
        </row>
        <row r="6049">
          <cell r="A6049" t="str">
            <v>1RE1H685Q3K20BP</v>
          </cell>
          <cell r="B6049" t="str">
            <v>SMT</v>
          </cell>
          <cell r="C6049">
            <v>1</v>
          </cell>
          <cell r="D6049">
            <v>142</v>
          </cell>
        </row>
        <row r="6050">
          <cell r="A6050" t="str">
            <v>1VJ1H685Q3K20BP</v>
          </cell>
          <cell r="B6050" t="str">
            <v>SMT</v>
          </cell>
          <cell r="C6050">
            <v>1</v>
          </cell>
          <cell r="D6050">
            <v>1</v>
          </cell>
        </row>
        <row r="6051">
          <cell r="A6051" t="str">
            <v>1VJ3H685Q3K20BP</v>
          </cell>
          <cell r="B6051" t="str">
            <v>SMT</v>
          </cell>
          <cell r="C6051">
            <v>1</v>
          </cell>
          <cell r="D6051">
            <v>1</v>
          </cell>
        </row>
        <row r="6052">
          <cell r="A6052" t="str">
            <v>1VJ2H685Q3K20BP</v>
          </cell>
          <cell r="B6052" t="str">
            <v>SMT</v>
          </cell>
          <cell r="C6052">
            <v>1</v>
          </cell>
          <cell r="D6052">
            <v>1</v>
          </cell>
        </row>
        <row r="6053">
          <cell r="A6053" t="str">
            <v>PULB1025ZB-GL</v>
          </cell>
          <cell r="B6053" t="str">
            <v>SMT</v>
          </cell>
          <cell r="C6053">
            <v>2</v>
          </cell>
          <cell r="D6053" t="e">
            <v>#N/A</v>
          </cell>
        </row>
        <row r="6054">
          <cell r="A6054" t="str">
            <v>1VJ1AU202</v>
          </cell>
          <cell r="B6054" t="str">
            <v>SMT</v>
          </cell>
          <cell r="C6054">
            <v>1</v>
          </cell>
          <cell r="D6054" t="e">
            <v>#N/A</v>
          </cell>
        </row>
        <row r="6055">
          <cell r="A6055" t="str">
            <v>2VJ1AU202</v>
          </cell>
          <cell r="B6055" t="str">
            <v>SMT</v>
          </cell>
          <cell r="C6055">
            <v>1</v>
          </cell>
          <cell r="D6055" t="e">
            <v>#N/A</v>
          </cell>
        </row>
        <row r="6056">
          <cell r="A6056" t="str">
            <v>1VJ2AU202</v>
          </cell>
          <cell r="B6056" t="str">
            <v>SMT</v>
          </cell>
          <cell r="C6056">
            <v>1</v>
          </cell>
          <cell r="D6056" t="e">
            <v>#N/A</v>
          </cell>
        </row>
        <row r="6057">
          <cell r="A6057" t="str">
            <v>2VJ2AU202</v>
          </cell>
          <cell r="B6057" t="str">
            <v>SMT</v>
          </cell>
          <cell r="C6057">
            <v>1</v>
          </cell>
          <cell r="D6057" t="e">
            <v>#N/A</v>
          </cell>
        </row>
        <row r="6058">
          <cell r="A6058" t="str">
            <v>3VJ2AU202</v>
          </cell>
          <cell r="B6058" t="str">
            <v>SMT</v>
          </cell>
          <cell r="C6058">
            <v>1</v>
          </cell>
          <cell r="D6058" t="e">
            <v>#N/A</v>
          </cell>
        </row>
        <row r="6059">
          <cell r="A6059" t="str">
            <v>1RE1AU202</v>
          </cell>
          <cell r="B6059" t="str">
            <v>SMT</v>
          </cell>
          <cell r="C6059">
            <v>1</v>
          </cell>
          <cell r="D6059">
            <v>382</v>
          </cell>
        </row>
        <row r="6060">
          <cell r="A6060" t="str">
            <v>1RE2AU202</v>
          </cell>
          <cell r="B6060" t="str">
            <v>SMT</v>
          </cell>
          <cell r="C6060">
            <v>1</v>
          </cell>
          <cell r="D6060">
            <v>739</v>
          </cell>
          <cell r="E6060">
            <v>9210</v>
          </cell>
          <cell r="F6060" t="str">
            <v>VE01</v>
          </cell>
          <cell r="G6060" t="str">
            <v>Auto</v>
          </cell>
          <cell r="H6060">
            <v>311</v>
          </cell>
          <cell r="I6060">
            <v>9210</v>
          </cell>
          <cell r="J6060">
            <v>9340</v>
          </cell>
          <cell r="K6060" t="str">
            <v>VE01</v>
          </cell>
        </row>
        <row r="6061">
          <cell r="A6061" t="str">
            <v>1CM1F603L9J90BZS</v>
          </cell>
          <cell r="B6061" t="str">
            <v>SMT</v>
          </cell>
          <cell r="C6061">
            <v>1</v>
          </cell>
          <cell r="D6061">
            <v>84</v>
          </cell>
          <cell r="E6061">
            <v>6210</v>
          </cell>
          <cell r="F6061" t="str">
            <v>VG01</v>
          </cell>
          <cell r="G6061" t="str">
            <v>Auto</v>
          </cell>
          <cell r="H6061">
            <v>311</v>
          </cell>
          <cell r="I6061">
            <v>6210</v>
          </cell>
          <cell r="J6061">
            <v>6220</v>
          </cell>
          <cell r="K6061" t="str">
            <v>VG01</v>
          </cell>
        </row>
        <row r="6062">
          <cell r="A6062" t="str">
            <v>1RH1F603L9J90BZS</v>
          </cell>
          <cell r="B6062" t="str">
            <v>SMT</v>
          </cell>
          <cell r="C6062">
            <v>1</v>
          </cell>
          <cell r="D6062">
            <v>5</v>
          </cell>
        </row>
        <row r="6063">
          <cell r="A6063" t="str">
            <v>1AE1F603L9J90BZS</v>
          </cell>
          <cell r="B6063" t="str">
            <v>SMT</v>
          </cell>
          <cell r="C6063">
            <v>1</v>
          </cell>
          <cell r="D6063">
            <v>70</v>
          </cell>
        </row>
        <row r="6064">
          <cell r="A6064" t="str">
            <v>1HT1F603L9J90BZS</v>
          </cell>
          <cell r="B6064" t="str">
            <v>SMT</v>
          </cell>
          <cell r="C6064">
            <v>1</v>
          </cell>
          <cell r="D6064">
            <v>12</v>
          </cell>
        </row>
        <row r="6065">
          <cell r="A6065" t="str">
            <v>PGLB2133YB-WK</v>
          </cell>
          <cell r="B6065" t="str">
            <v>SMT</v>
          </cell>
          <cell r="C6065">
            <v>1</v>
          </cell>
          <cell r="D6065" t="e">
            <v>#N/A</v>
          </cell>
        </row>
        <row r="6066">
          <cell r="A6066" t="str">
            <v>1RE1TP8NA7715AC</v>
          </cell>
          <cell r="B6066" t="str">
            <v>SMT</v>
          </cell>
          <cell r="C6066">
            <v>1</v>
          </cell>
          <cell r="D6066">
            <v>335</v>
          </cell>
          <cell r="E6066">
            <v>3210</v>
          </cell>
          <cell r="F6066" t="str">
            <v>VV01</v>
          </cell>
          <cell r="G6066" t="str">
            <v>Auto</v>
          </cell>
          <cell r="H6066">
            <v>311</v>
          </cell>
          <cell r="I6066">
            <v>3210</v>
          </cell>
          <cell r="J6066">
            <v>3220</v>
          </cell>
          <cell r="K6066" t="str">
            <v>VV01</v>
          </cell>
        </row>
        <row r="6067">
          <cell r="A6067" t="str">
            <v>1RE1TP8NA7715AB</v>
          </cell>
          <cell r="B6067" t="str">
            <v>SMT</v>
          </cell>
          <cell r="C6067">
            <v>1</v>
          </cell>
          <cell r="D6067">
            <v>371</v>
          </cell>
          <cell r="E6067">
            <v>3210</v>
          </cell>
          <cell r="F6067" t="str">
            <v>VV01</v>
          </cell>
          <cell r="G6067" t="str">
            <v>Auto</v>
          </cell>
          <cell r="H6067">
            <v>311</v>
          </cell>
          <cell r="I6067">
            <v>3210</v>
          </cell>
          <cell r="J6067">
            <v>3220</v>
          </cell>
          <cell r="K6067" t="str">
            <v>VV01</v>
          </cell>
        </row>
        <row r="6068">
          <cell r="A6068" t="str">
            <v>1RE1TP8NA7715AA</v>
          </cell>
          <cell r="B6068" t="str">
            <v>SMT</v>
          </cell>
          <cell r="C6068">
            <v>1</v>
          </cell>
          <cell r="D6068">
            <v>407</v>
          </cell>
          <cell r="E6068">
            <v>3210</v>
          </cell>
          <cell r="F6068" t="str">
            <v>VV01</v>
          </cell>
          <cell r="G6068" t="str">
            <v>Auto</v>
          </cell>
          <cell r="H6068">
            <v>311</v>
          </cell>
          <cell r="I6068">
            <v>3210</v>
          </cell>
          <cell r="J6068">
            <v>3220</v>
          </cell>
          <cell r="K6068" t="str">
            <v>VV01</v>
          </cell>
        </row>
        <row r="6069">
          <cell r="A6069" t="str">
            <v>1AE1ARBP01A00430</v>
          </cell>
          <cell r="B6069" t="str">
            <v>SMT</v>
          </cell>
          <cell r="C6069">
            <v>1</v>
          </cell>
          <cell r="D6069">
            <v>1</v>
          </cell>
          <cell r="E6069">
            <v>8210</v>
          </cell>
          <cell r="F6069" t="str">
            <v>V501</v>
          </cell>
          <cell r="G6069" t="str">
            <v>Auto</v>
          </cell>
          <cell r="H6069">
            <v>311</v>
          </cell>
          <cell r="I6069">
            <v>8210</v>
          </cell>
          <cell r="J6069">
            <v>8220</v>
          </cell>
          <cell r="K6069" t="str">
            <v>V501</v>
          </cell>
        </row>
        <row r="6070">
          <cell r="A6070" t="str">
            <v>1CM1ARBP01A00382</v>
          </cell>
          <cell r="B6070" t="str">
            <v>SMT</v>
          </cell>
          <cell r="C6070">
            <v>1</v>
          </cell>
          <cell r="D6070">
            <v>45</v>
          </cell>
          <cell r="E6070">
            <v>8210</v>
          </cell>
          <cell r="F6070" t="str">
            <v>V501</v>
          </cell>
          <cell r="G6070" t="str">
            <v>Auto</v>
          </cell>
          <cell r="H6070">
            <v>311</v>
          </cell>
          <cell r="I6070">
            <v>8210</v>
          </cell>
          <cell r="J6070">
            <v>8220</v>
          </cell>
          <cell r="K6070" t="str">
            <v>V501</v>
          </cell>
        </row>
        <row r="6071">
          <cell r="A6071" t="str">
            <v>1RH1ARBP01A00382</v>
          </cell>
          <cell r="B6071" t="str">
            <v>SMT</v>
          </cell>
          <cell r="C6071">
            <v>1</v>
          </cell>
          <cell r="D6071">
            <v>9</v>
          </cell>
        </row>
        <row r="6072">
          <cell r="A6072" t="str">
            <v>1AE1ARBP01A00382</v>
          </cell>
          <cell r="B6072" t="str">
            <v>SMT</v>
          </cell>
          <cell r="C6072">
            <v>1</v>
          </cell>
          <cell r="D6072">
            <v>5</v>
          </cell>
        </row>
        <row r="6073">
          <cell r="A6073" t="str">
            <v>1CM1ARBP01A00420</v>
          </cell>
          <cell r="B6073" t="str">
            <v>SMT</v>
          </cell>
          <cell r="C6073">
            <v>1</v>
          </cell>
          <cell r="D6073">
            <v>54</v>
          </cell>
          <cell r="E6073">
            <v>8210</v>
          </cell>
          <cell r="F6073" t="str">
            <v>V501</v>
          </cell>
          <cell r="G6073" t="str">
            <v>Auto</v>
          </cell>
          <cell r="H6073">
            <v>311</v>
          </cell>
          <cell r="I6073">
            <v>8210</v>
          </cell>
          <cell r="J6073">
            <v>8220</v>
          </cell>
          <cell r="K6073" t="str">
            <v>V501</v>
          </cell>
        </row>
        <row r="6074">
          <cell r="A6074" t="str">
            <v>1RH1ARBP01A00420</v>
          </cell>
          <cell r="B6074" t="str">
            <v>SMT</v>
          </cell>
          <cell r="C6074">
            <v>1</v>
          </cell>
          <cell r="D6074">
            <v>10</v>
          </cell>
        </row>
        <row r="6075">
          <cell r="A6075" t="str">
            <v>1AE1ARBP01A00420</v>
          </cell>
          <cell r="B6075" t="str">
            <v>SMT</v>
          </cell>
          <cell r="C6075">
            <v>1</v>
          </cell>
          <cell r="D6075">
            <v>13</v>
          </cell>
        </row>
        <row r="6076">
          <cell r="A6076" t="str">
            <v>1CM1ARBP01A00850</v>
          </cell>
          <cell r="B6076" t="str">
            <v>SMT</v>
          </cell>
          <cell r="C6076">
            <v>1</v>
          </cell>
          <cell r="D6076">
            <v>54</v>
          </cell>
          <cell r="E6076">
            <v>8210</v>
          </cell>
          <cell r="F6076" t="str">
            <v>V501</v>
          </cell>
          <cell r="G6076" t="str">
            <v>Auto</v>
          </cell>
          <cell r="H6076">
            <v>311</v>
          </cell>
          <cell r="I6076">
            <v>8210</v>
          </cell>
          <cell r="J6076">
            <v>8220</v>
          </cell>
          <cell r="K6076" t="str">
            <v>V501</v>
          </cell>
        </row>
        <row r="6077">
          <cell r="A6077" t="str">
            <v>1RH1ARBP01A00850</v>
          </cell>
          <cell r="B6077" t="str">
            <v>SMT</v>
          </cell>
          <cell r="C6077">
            <v>1</v>
          </cell>
          <cell r="D6077">
            <v>10</v>
          </cell>
        </row>
        <row r="6078">
          <cell r="A6078" t="str">
            <v>1AE1ARBP01A00850</v>
          </cell>
          <cell r="B6078" t="str">
            <v>SMT</v>
          </cell>
          <cell r="C6078">
            <v>1</v>
          </cell>
          <cell r="D6078">
            <v>13</v>
          </cell>
        </row>
        <row r="6079">
          <cell r="A6079" t="str">
            <v>1CM1ARBP0DA01470</v>
          </cell>
          <cell r="B6079" t="str">
            <v>SMT</v>
          </cell>
          <cell r="C6079">
            <v>1</v>
          </cell>
          <cell r="D6079">
            <v>62</v>
          </cell>
          <cell r="E6079">
            <v>8210</v>
          </cell>
          <cell r="F6079" t="str">
            <v>V501</v>
          </cell>
          <cell r="G6079" t="str">
            <v>Auto</v>
          </cell>
          <cell r="H6079">
            <v>311</v>
          </cell>
          <cell r="I6079">
            <v>8210</v>
          </cell>
          <cell r="J6079">
            <v>8220</v>
          </cell>
          <cell r="K6079" t="str">
            <v>V501</v>
          </cell>
        </row>
        <row r="6080">
          <cell r="A6080" t="str">
            <v>1RH1ARBP0DA01470</v>
          </cell>
          <cell r="B6080" t="str">
            <v>SMT</v>
          </cell>
          <cell r="C6080">
            <v>1</v>
          </cell>
          <cell r="D6080">
            <v>11</v>
          </cell>
        </row>
        <row r="6081">
          <cell r="A6081" t="str">
            <v>1RE1ARBP0DA01470</v>
          </cell>
          <cell r="B6081" t="str">
            <v>SMT</v>
          </cell>
          <cell r="C6081">
            <v>1</v>
          </cell>
          <cell r="D6081">
            <v>17</v>
          </cell>
        </row>
        <row r="6082">
          <cell r="A6082" t="str">
            <v>1CM1ARBP0DA01940</v>
          </cell>
          <cell r="B6082" t="str">
            <v>SMT</v>
          </cell>
          <cell r="C6082">
            <v>1</v>
          </cell>
          <cell r="D6082">
            <v>62</v>
          </cell>
          <cell r="E6082">
            <v>8210</v>
          </cell>
          <cell r="F6082" t="str">
            <v>V501</v>
          </cell>
          <cell r="G6082" t="str">
            <v>Auto</v>
          </cell>
          <cell r="H6082">
            <v>311</v>
          </cell>
          <cell r="I6082">
            <v>8210</v>
          </cell>
          <cell r="J6082">
            <v>8220</v>
          </cell>
          <cell r="K6082" t="str">
            <v>V501</v>
          </cell>
        </row>
        <row r="6083">
          <cell r="A6083" t="str">
            <v>1RH1ARBP0DA01940</v>
          </cell>
          <cell r="B6083" t="str">
            <v>SMT</v>
          </cell>
          <cell r="C6083">
            <v>1</v>
          </cell>
          <cell r="D6083">
            <v>10</v>
          </cell>
        </row>
        <row r="6084">
          <cell r="A6084" t="str">
            <v>1RE1ARBP0DA01940</v>
          </cell>
          <cell r="B6084" t="str">
            <v>SMT</v>
          </cell>
          <cell r="C6084">
            <v>1</v>
          </cell>
          <cell r="D6084">
            <v>17</v>
          </cell>
        </row>
        <row r="6085">
          <cell r="A6085" t="str">
            <v>1CM1ARBP0DA01950</v>
          </cell>
          <cell r="B6085" t="str">
            <v>SMT</v>
          </cell>
          <cell r="C6085">
            <v>1</v>
          </cell>
          <cell r="D6085">
            <v>62</v>
          </cell>
          <cell r="E6085">
            <v>8210</v>
          </cell>
          <cell r="F6085" t="str">
            <v>V501</v>
          </cell>
          <cell r="G6085" t="str">
            <v>Auto</v>
          </cell>
          <cell r="H6085">
            <v>311</v>
          </cell>
          <cell r="I6085">
            <v>8210</v>
          </cell>
          <cell r="J6085">
            <v>8220</v>
          </cell>
          <cell r="K6085" t="str">
            <v>V501</v>
          </cell>
        </row>
        <row r="6086">
          <cell r="A6086" t="str">
            <v>1RH1ARBP0DA01950</v>
          </cell>
          <cell r="B6086" t="str">
            <v>SMT</v>
          </cell>
          <cell r="C6086">
            <v>1</v>
          </cell>
          <cell r="D6086">
            <v>10</v>
          </cell>
        </row>
        <row r="6087">
          <cell r="A6087" t="str">
            <v>1RE1ARBP0DA01950</v>
          </cell>
          <cell r="B6087" t="str">
            <v>SMT</v>
          </cell>
          <cell r="C6087">
            <v>1</v>
          </cell>
          <cell r="D6087">
            <v>17</v>
          </cell>
        </row>
        <row r="6088">
          <cell r="A6088" t="str">
            <v>1CM1ARBP0DA02071</v>
          </cell>
          <cell r="B6088" t="str">
            <v>SMT</v>
          </cell>
          <cell r="C6088">
            <v>1</v>
          </cell>
          <cell r="D6088">
            <v>72</v>
          </cell>
          <cell r="E6088">
            <v>8210</v>
          </cell>
          <cell r="F6088" t="str">
            <v>V501</v>
          </cell>
          <cell r="G6088" t="str">
            <v>Auto</v>
          </cell>
          <cell r="H6088">
            <v>311</v>
          </cell>
          <cell r="I6088">
            <v>8210</v>
          </cell>
          <cell r="J6088">
            <v>8220</v>
          </cell>
          <cell r="K6088" t="str">
            <v>V501</v>
          </cell>
        </row>
        <row r="6089">
          <cell r="A6089" t="str">
            <v>1RH1ARBP0DA02071</v>
          </cell>
          <cell r="B6089" t="str">
            <v>SMT</v>
          </cell>
          <cell r="C6089">
            <v>1</v>
          </cell>
          <cell r="D6089">
            <v>13</v>
          </cell>
        </row>
        <row r="6090">
          <cell r="A6090" t="str">
            <v>1RE1ARBP0DA02071</v>
          </cell>
          <cell r="B6090" t="str">
            <v>SMT</v>
          </cell>
          <cell r="C6090">
            <v>1</v>
          </cell>
          <cell r="D6090">
            <v>16</v>
          </cell>
        </row>
        <row r="6091">
          <cell r="A6091" t="str">
            <v>1CM1ARBP0DA02260</v>
          </cell>
          <cell r="B6091" t="str">
            <v>SMT</v>
          </cell>
          <cell r="C6091">
            <v>1</v>
          </cell>
          <cell r="D6091">
            <v>72</v>
          </cell>
          <cell r="E6091">
            <v>8210</v>
          </cell>
          <cell r="F6091" t="str">
            <v>V501</v>
          </cell>
          <cell r="G6091" t="str">
            <v>Auto</v>
          </cell>
          <cell r="H6091">
            <v>311</v>
          </cell>
          <cell r="I6091">
            <v>8210</v>
          </cell>
          <cell r="J6091">
            <v>8220</v>
          </cell>
          <cell r="K6091" t="str">
            <v>V501</v>
          </cell>
        </row>
        <row r="6092">
          <cell r="A6092" t="str">
            <v>1RH1ARBP0DA02260</v>
          </cell>
          <cell r="B6092" t="str">
            <v>SMT</v>
          </cell>
          <cell r="C6092">
            <v>1</v>
          </cell>
          <cell r="D6092">
            <v>13</v>
          </cell>
        </row>
        <row r="6093">
          <cell r="A6093" t="str">
            <v>1RE1ARBP0DA02260</v>
          </cell>
          <cell r="B6093" t="str">
            <v>SMT</v>
          </cell>
          <cell r="C6093">
            <v>1</v>
          </cell>
          <cell r="D6093">
            <v>16</v>
          </cell>
        </row>
        <row r="6094">
          <cell r="A6094" t="str">
            <v>1CM1ARBP0DA02270</v>
          </cell>
          <cell r="B6094" t="str">
            <v>SMT</v>
          </cell>
          <cell r="C6094">
            <v>1</v>
          </cell>
          <cell r="D6094">
            <v>59</v>
          </cell>
          <cell r="E6094">
            <v>8210</v>
          </cell>
          <cell r="F6094" t="str">
            <v>V501</v>
          </cell>
          <cell r="G6094" t="str">
            <v>Auto</v>
          </cell>
          <cell r="H6094">
            <v>311</v>
          </cell>
          <cell r="I6094">
            <v>8210</v>
          </cell>
          <cell r="J6094">
            <v>8220</v>
          </cell>
          <cell r="K6094" t="str">
            <v>V501</v>
          </cell>
        </row>
        <row r="6095">
          <cell r="A6095" t="str">
            <v>1RH1ARBP0DA02270</v>
          </cell>
          <cell r="B6095" t="str">
            <v>SMT</v>
          </cell>
          <cell r="C6095">
            <v>1</v>
          </cell>
          <cell r="D6095">
            <v>10</v>
          </cell>
        </row>
        <row r="6096">
          <cell r="A6096" t="str">
            <v>1RE1ARBP0DA02270</v>
          </cell>
          <cell r="B6096" t="str">
            <v>SMT</v>
          </cell>
          <cell r="C6096">
            <v>1</v>
          </cell>
          <cell r="D6096">
            <v>17</v>
          </cell>
        </row>
        <row r="6097">
          <cell r="A6097" t="str">
            <v>1CM1ARBPC1A07102</v>
          </cell>
          <cell r="B6097" t="str">
            <v>SMT</v>
          </cell>
          <cell r="C6097">
            <v>1</v>
          </cell>
          <cell r="D6097">
            <v>269</v>
          </cell>
          <cell r="E6097">
            <v>8210</v>
          </cell>
          <cell r="F6097" t="str">
            <v>V501</v>
          </cell>
          <cell r="G6097" t="str">
            <v>Auto</v>
          </cell>
          <cell r="H6097">
            <v>311</v>
          </cell>
          <cell r="I6097">
            <v>8210</v>
          </cell>
          <cell r="J6097">
            <v>8220</v>
          </cell>
          <cell r="K6097" t="str">
            <v>V501</v>
          </cell>
        </row>
        <row r="6098">
          <cell r="A6098" t="str">
            <v>1RH1ARBPC1A07102</v>
          </cell>
          <cell r="B6098" t="str">
            <v>SMT</v>
          </cell>
          <cell r="C6098">
            <v>1</v>
          </cell>
          <cell r="D6098">
            <v>16</v>
          </cell>
        </row>
        <row r="6099">
          <cell r="A6099" t="str">
            <v>1AE1ARBPC1A07102</v>
          </cell>
          <cell r="B6099" t="str">
            <v>SMT</v>
          </cell>
          <cell r="C6099">
            <v>1</v>
          </cell>
          <cell r="D6099">
            <v>56</v>
          </cell>
        </row>
        <row r="6100">
          <cell r="A6100" t="str">
            <v>1CM1ARBPC1A07121</v>
          </cell>
          <cell r="B6100" t="str">
            <v>SMT</v>
          </cell>
          <cell r="C6100">
            <v>1</v>
          </cell>
          <cell r="D6100">
            <v>269</v>
          </cell>
          <cell r="E6100">
            <v>8210</v>
          </cell>
          <cell r="F6100" t="str">
            <v>V501</v>
          </cell>
          <cell r="G6100" t="str">
            <v>Auto</v>
          </cell>
          <cell r="H6100">
            <v>311</v>
          </cell>
          <cell r="I6100">
            <v>8210</v>
          </cell>
          <cell r="J6100">
            <v>8220</v>
          </cell>
          <cell r="K6100" t="str">
            <v>V501</v>
          </cell>
        </row>
        <row r="6101">
          <cell r="A6101" t="str">
            <v>1RH1ARBPC1A07121</v>
          </cell>
          <cell r="B6101" t="str">
            <v>SMT</v>
          </cell>
          <cell r="C6101">
            <v>1</v>
          </cell>
          <cell r="D6101">
            <v>16</v>
          </cell>
        </row>
        <row r="6102">
          <cell r="A6102" t="str">
            <v>1AE1ARBPC1A07121</v>
          </cell>
          <cell r="B6102" t="str">
            <v>SMT</v>
          </cell>
          <cell r="C6102">
            <v>1</v>
          </cell>
          <cell r="D6102">
            <v>56</v>
          </cell>
        </row>
        <row r="6103">
          <cell r="A6103" t="str">
            <v>1CM1ARBPC1A07511</v>
          </cell>
          <cell r="B6103" t="str">
            <v>SMT</v>
          </cell>
          <cell r="C6103">
            <v>1</v>
          </cell>
          <cell r="D6103">
            <v>90</v>
          </cell>
          <cell r="E6103">
            <v>8210</v>
          </cell>
          <cell r="F6103" t="str">
            <v>V501</v>
          </cell>
          <cell r="G6103" t="str">
            <v>Auto</v>
          </cell>
          <cell r="H6103">
            <v>311</v>
          </cell>
          <cell r="I6103">
            <v>8210</v>
          </cell>
          <cell r="J6103">
            <v>8220</v>
          </cell>
          <cell r="K6103" t="str">
            <v>V501</v>
          </cell>
        </row>
        <row r="6104">
          <cell r="A6104" t="str">
            <v>1RH1ARBPC1A07511</v>
          </cell>
          <cell r="B6104" t="str">
            <v>SMT</v>
          </cell>
          <cell r="C6104">
            <v>1</v>
          </cell>
          <cell r="D6104">
            <v>17</v>
          </cell>
        </row>
        <row r="6105">
          <cell r="A6105" t="str">
            <v>1AE1ARBPC1A07511</v>
          </cell>
          <cell r="B6105" t="str">
            <v>SMT</v>
          </cell>
          <cell r="C6105">
            <v>1</v>
          </cell>
          <cell r="D6105">
            <v>3</v>
          </cell>
        </row>
        <row r="6106">
          <cell r="A6106" t="str">
            <v>1RE1ARBPC1A07511</v>
          </cell>
          <cell r="B6106" t="str">
            <v>SMT</v>
          </cell>
          <cell r="C6106">
            <v>1</v>
          </cell>
          <cell r="D6106">
            <v>229</v>
          </cell>
        </row>
        <row r="6107">
          <cell r="A6107" t="str">
            <v>1CM1ARBPC1A07521</v>
          </cell>
          <cell r="B6107" t="str">
            <v>SMT</v>
          </cell>
          <cell r="C6107">
            <v>1</v>
          </cell>
          <cell r="D6107">
            <v>92</v>
          </cell>
          <cell r="E6107">
            <v>8210</v>
          </cell>
          <cell r="F6107" t="str">
            <v>V501</v>
          </cell>
          <cell r="G6107" t="str">
            <v>Auto</v>
          </cell>
          <cell r="H6107">
            <v>311</v>
          </cell>
          <cell r="I6107">
            <v>8210</v>
          </cell>
          <cell r="J6107">
            <v>8220</v>
          </cell>
          <cell r="K6107" t="str">
            <v>V501</v>
          </cell>
        </row>
        <row r="6108">
          <cell r="A6108" t="str">
            <v>1RH1ARBPC1A07521</v>
          </cell>
          <cell r="B6108" t="str">
            <v>SMT</v>
          </cell>
          <cell r="C6108">
            <v>1</v>
          </cell>
          <cell r="D6108">
            <v>17</v>
          </cell>
        </row>
        <row r="6109">
          <cell r="A6109" t="str">
            <v>1AE1ARBPC1A07521</v>
          </cell>
          <cell r="B6109" t="str">
            <v>SMT</v>
          </cell>
          <cell r="C6109">
            <v>1</v>
          </cell>
          <cell r="D6109">
            <v>3</v>
          </cell>
        </row>
        <row r="6110">
          <cell r="A6110" t="str">
            <v>1RE1ARBPC1A07521</v>
          </cell>
          <cell r="B6110" t="str">
            <v>SMT</v>
          </cell>
          <cell r="C6110">
            <v>1</v>
          </cell>
          <cell r="D6110">
            <v>258</v>
          </cell>
        </row>
        <row r="6111">
          <cell r="A6111" t="str">
            <v>1CM1ARBPC1A07541</v>
          </cell>
          <cell r="B6111" t="str">
            <v>SMT</v>
          </cell>
          <cell r="C6111">
            <v>1</v>
          </cell>
          <cell r="D6111">
            <v>80</v>
          </cell>
          <cell r="E6111">
            <v>8210</v>
          </cell>
          <cell r="F6111" t="str">
            <v>V501</v>
          </cell>
          <cell r="G6111" t="str">
            <v>Auto</v>
          </cell>
          <cell r="H6111">
            <v>311</v>
          </cell>
          <cell r="I6111">
            <v>8210</v>
          </cell>
          <cell r="J6111">
            <v>8220</v>
          </cell>
          <cell r="K6111" t="str">
            <v>V501</v>
          </cell>
        </row>
        <row r="6112">
          <cell r="A6112" t="str">
            <v>1RH1ARBPC1A07541</v>
          </cell>
          <cell r="B6112" t="str">
            <v>SMT</v>
          </cell>
          <cell r="C6112">
            <v>1</v>
          </cell>
          <cell r="D6112">
            <v>16</v>
          </cell>
        </row>
        <row r="6113">
          <cell r="A6113" t="str">
            <v>1AE1ARBPC1A07541</v>
          </cell>
          <cell r="B6113" t="str">
            <v>SMT</v>
          </cell>
          <cell r="C6113">
            <v>1</v>
          </cell>
          <cell r="D6113">
            <v>3</v>
          </cell>
        </row>
        <row r="6114">
          <cell r="A6114" t="str">
            <v>1RE1ARBPC1A07541</v>
          </cell>
          <cell r="B6114" t="str">
            <v>SMT</v>
          </cell>
          <cell r="C6114">
            <v>1</v>
          </cell>
          <cell r="D6114">
            <v>238</v>
          </cell>
        </row>
        <row r="6115">
          <cell r="A6115" t="str">
            <v>1CM1ARBPC1A08234</v>
          </cell>
          <cell r="B6115" t="str">
            <v>SMT</v>
          </cell>
          <cell r="C6115">
            <v>1</v>
          </cell>
          <cell r="D6115">
            <v>23</v>
          </cell>
          <cell r="E6115">
            <v>8210</v>
          </cell>
          <cell r="F6115" t="str">
            <v>V501</v>
          </cell>
          <cell r="G6115" t="str">
            <v>Auto</v>
          </cell>
          <cell r="H6115">
            <v>311</v>
          </cell>
          <cell r="I6115">
            <v>8210</v>
          </cell>
          <cell r="J6115">
            <v>8220</v>
          </cell>
          <cell r="K6115" t="str">
            <v>V501</v>
          </cell>
        </row>
        <row r="6116">
          <cell r="A6116" t="str">
            <v>1RH1ARBPC1A08234</v>
          </cell>
          <cell r="B6116" t="str">
            <v>SMT</v>
          </cell>
          <cell r="C6116">
            <v>1</v>
          </cell>
          <cell r="D6116">
            <v>19</v>
          </cell>
        </row>
        <row r="6117">
          <cell r="A6117" t="str">
            <v>1AE1ARBPC1A08234</v>
          </cell>
          <cell r="B6117" t="str">
            <v>SMT</v>
          </cell>
          <cell r="C6117">
            <v>1</v>
          </cell>
          <cell r="D6117">
            <v>5</v>
          </cell>
        </row>
        <row r="6118">
          <cell r="A6118" t="str">
            <v>1RE1ARBPC1A08234</v>
          </cell>
          <cell r="B6118" t="str">
            <v>SMT</v>
          </cell>
          <cell r="C6118">
            <v>1</v>
          </cell>
          <cell r="D6118">
            <v>277</v>
          </cell>
        </row>
        <row r="6119">
          <cell r="A6119" t="str">
            <v>1CM1ARBPC1A08410</v>
          </cell>
          <cell r="B6119" t="str">
            <v>SMT</v>
          </cell>
          <cell r="C6119">
            <v>1</v>
          </cell>
          <cell r="D6119">
            <v>84</v>
          </cell>
          <cell r="E6119">
            <v>8210</v>
          </cell>
          <cell r="F6119" t="str">
            <v>V501</v>
          </cell>
          <cell r="G6119" t="str">
            <v>Auto</v>
          </cell>
          <cell r="H6119">
            <v>311</v>
          </cell>
          <cell r="I6119">
            <v>8210</v>
          </cell>
          <cell r="J6119">
            <v>8220</v>
          </cell>
          <cell r="K6119" t="str">
            <v>V501</v>
          </cell>
        </row>
        <row r="6120">
          <cell r="A6120" t="str">
            <v>1RH1ARBPC1A08410</v>
          </cell>
          <cell r="B6120" t="str">
            <v>SMT</v>
          </cell>
          <cell r="C6120">
            <v>1</v>
          </cell>
          <cell r="D6120">
            <v>16</v>
          </cell>
        </row>
        <row r="6121">
          <cell r="A6121" t="str">
            <v>1AE1ARBPC1A08410</v>
          </cell>
          <cell r="B6121" t="str">
            <v>SMT</v>
          </cell>
          <cell r="C6121">
            <v>1</v>
          </cell>
          <cell r="D6121">
            <v>3</v>
          </cell>
        </row>
        <row r="6122">
          <cell r="A6122" t="str">
            <v>1RE1ARBPC1A08410</v>
          </cell>
          <cell r="B6122" t="str">
            <v>SMT</v>
          </cell>
          <cell r="C6122">
            <v>1</v>
          </cell>
          <cell r="D6122">
            <v>277</v>
          </cell>
        </row>
        <row r="6123">
          <cell r="A6123" t="str">
            <v>1CM1ARBPC1A08563</v>
          </cell>
          <cell r="B6123" t="str">
            <v>SMT</v>
          </cell>
          <cell r="C6123">
            <v>1</v>
          </cell>
          <cell r="D6123">
            <v>23</v>
          </cell>
          <cell r="E6123">
            <v>8210</v>
          </cell>
          <cell r="F6123" t="str">
            <v>V501</v>
          </cell>
          <cell r="G6123" t="str">
            <v>Auto</v>
          </cell>
          <cell r="H6123">
            <v>311</v>
          </cell>
          <cell r="I6123">
            <v>8210</v>
          </cell>
          <cell r="J6123">
            <v>8220</v>
          </cell>
          <cell r="K6123" t="str">
            <v>V501</v>
          </cell>
        </row>
        <row r="6124">
          <cell r="A6124" t="str">
            <v>1RH1ARBPC1A08563</v>
          </cell>
          <cell r="B6124" t="str">
            <v>SMT</v>
          </cell>
          <cell r="C6124">
            <v>1</v>
          </cell>
          <cell r="D6124">
            <v>24</v>
          </cell>
        </row>
        <row r="6125">
          <cell r="A6125" t="str">
            <v>1AE1ARBPC1A08563</v>
          </cell>
          <cell r="B6125" t="str">
            <v>SMT</v>
          </cell>
          <cell r="C6125">
            <v>1</v>
          </cell>
          <cell r="D6125">
            <v>5</v>
          </cell>
        </row>
        <row r="6126">
          <cell r="A6126" t="str">
            <v>1RE1ARBPC1A08563</v>
          </cell>
          <cell r="B6126" t="str">
            <v>SMT</v>
          </cell>
          <cell r="C6126">
            <v>1</v>
          </cell>
          <cell r="D6126">
            <v>281</v>
          </cell>
        </row>
        <row r="6127">
          <cell r="A6127" t="str">
            <v>1CM1ARBPC1A08802</v>
          </cell>
          <cell r="B6127" t="str">
            <v>SMT</v>
          </cell>
          <cell r="C6127">
            <v>1</v>
          </cell>
          <cell r="D6127">
            <v>23</v>
          </cell>
          <cell r="E6127">
            <v>8210</v>
          </cell>
          <cell r="F6127" t="str">
            <v>V501</v>
          </cell>
          <cell r="G6127" t="str">
            <v>Auto</v>
          </cell>
          <cell r="H6127">
            <v>311</v>
          </cell>
          <cell r="I6127">
            <v>8210</v>
          </cell>
          <cell r="J6127">
            <v>8220</v>
          </cell>
          <cell r="K6127" t="str">
            <v>V501</v>
          </cell>
        </row>
        <row r="6128">
          <cell r="A6128" t="str">
            <v>1RH1ARBPC1A08802</v>
          </cell>
          <cell r="B6128" t="str">
            <v>SMT</v>
          </cell>
          <cell r="C6128">
            <v>1</v>
          </cell>
          <cell r="D6128">
            <v>21</v>
          </cell>
        </row>
        <row r="6129">
          <cell r="A6129" t="str">
            <v>1AE1ARBPC1A08802</v>
          </cell>
          <cell r="B6129" t="str">
            <v>SMT</v>
          </cell>
          <cell r="C6129">
            <v>1</v>
          </cell>
          <cell r="D6129">
            <v>4</v>
          </cell>
        </row>
        <row r="6130">
          <cell r="A6130" t="str">
            <v>1RE1ARBPC1A08802</v>
          </cell>
          <cell r="B6130" t="str">
            <v>SMT</v>
          </cell>
          <cell r="C6130">
            <v>1</v>
          </cell>
          <cell r="D6130">
            <v>275</v>
          </cell>
        </row>
        <row r="6131">
          <cell r="A6131" t="str">
            <v>1CM1ARBPC1A09263</v>
          </cell>
          <cell r="B6131" t="str">
            <v>SMT</v>
          </cell>
          <cell r="C6131">
            <v>1</v>
          </cell>
          <cell r="D6131">
            <v>23</v>
          </cell>
          <cell r="E6131">
            <v>8210</v>
          </cell>
          <cell r="F6131" t="str">
            <v>V501</v>
          </cell>
          <cell r="G6131" t="str">
            <v>Auto</v>
          </cell>
          <cell r="H6131">
            <v>311</v>
          </cell>
          <cell r="I6131">
            <v>8210</v>
          </cell>
          <cell r="J6131">
            <v>8220</v>
          </cell>
          <cell r="K6131" t="str">
            <v>V501</v>
          </cell>
        </row>
        <row r="6132">
          <cell r="A6132" t="str">
            <v>1RH1ARBPC1A09263</v>
          </cell>
          <cell r="B6132" t="str">
            <v>SMT</v>
          </cell>
          <cell r="C6132">
            <v>1</v>
          </cell>
          <cell r="D6132">
            <v>24</v>
          </cell>
        </row>
        <row r="6133">
          <cell r="A6133" t="str">
            <v>1AE1ARBPC1A09263</v>
          </cell>
          <cell r="B6133" t="str">
            <v>SMT</v>
          </cell>
          <cell r="C6133">
            <v>1</v>
          </cell>
          <cell r="D6133">
            <v>4</v>
          </cell>
        </row>
        <row r="6134">
          <cell r="A6134" t="str">
            <v>1RE1ARBPC1A09263</v>
          </cell>
          <cell r="B6134" t="str">
            <v>SMT</v>
          </cell>
          <cell r="C6134">
            <v>1</v>
          </cell>
          <cell r="D6134">
            <v>271</v>
          </cell>
        </row>
        <row r="6135">
          <cell r="A6135" t="str">
            <v>1CM1ARBPC1A09714</v>
          </cell>
          <cell r="B6135" t="str">
            <v>SMT</v>
          </cell>
          <cell r="C6135">
            <v>1</v>
          </cell>
          <cell r="D6135">
            <v>23</v>
          </cell>
          <cell r="E6135">
            <v>8210</v>
          </cell>
          <cell r="F6135" t="str">
            <v>V501</v>
          </cell>
          <cell r="G6135" t="str">
            <v>Auto</v>
          </cell>
          <cell r="H6135">
            <v>311</v>
          </cell>
          <cell r="I6135">
            <v>8210</v>
          </cell>
          <cell r="J6135">
            <v>8220</v>
          </cell>
          <cell r="K6135" t="str">
            <v>V501</v>
          </cell>
        </row>
        <row r="6136">
          <cell r="A6136" t="str">
            <v>1RH1ARBPC1A09714</v>
          </cell>
          <cell r="B6136" t="str">
            <v>SMT</v>
          </cell>
          <cell r="C6136">
            <v>1</v>
          </cell>
          <cell r="D6136">
            <v>24</v>
          </cell>
        </row>
        <row r="6137">
          <cell r="A6137" t="str">
            <v>1AE1ARBPC1A09714</v>
          </cell>
          <cell r="B6137" t="str">
            <v>SMT</v>
          </cell>
          <cell r="C6137">
            <v>1</v>
          </cell>
          <cell r="D6137">
            <v>4</v>
          </cell>
        </row>
        <row r="6138">
          <cell r="A6138" t="str">
            <v>1RE1ARBPC1A09714</v>
          </cell>
          <cell r="B6138" t="str">
            <v>SMT</v>
          </cell>
          <cell r="C6138">
            <v>1</v>
          </cell>
          <cell r="D6138">
            <v>237</v>
          </cell>
        </row>
        <row r="6139">
          <cell r="A6139" t="str">
            <v>1CM1ARBPC1A09974</v>
          </cell>
          <cell r="B6139" t="str">
            <v>SMT</v>
          </cell>
          <cell r="C6139">
            <v>1</v>
          </cell>
          <cell r="D6139">
            <v>23</v>
          </cell>
          <cell r="E6139">
            <v>8210</v>
          </cell>
          <cell r="F6139" t="str">
            <v>V501</v>
          </cell>
          <cell r="G6139" t="str">
            <v>Auto</v>
          </cell>
          <cell r="H6139">
            <v>311</v>
          </cell>
          <cell r="I6139">
            <v>8210</v>
          </cell>
          <cell r="J6139">
            <v>8220</v>
          </cell>
          <cell r="K6139" t="str">
            <v>V501</v>
          </cell>
        </row>
        <row r="6140">
          <cell r="A6140" t="str">
            <v>1RH1ARBPC1A09974</v>
          </cell>
          <cell r="B6140" t="str">
            <v>SMT</v>
          </cell>
          <cell r="C6140">
            <v>1</v>
          </cell>
          <cell r="D6140">
            <v>21</v>
          </cell>
        </row>
        <row r="6141">
          <cell r="A6141" t="str">
            <v>1AE1ARBPC1A09974</v>
          </cell>
          <cell r="B6141" t="str">
            <v>SMT</v>
          </cell>
          <cell r="C6141">
            <v>1</v>
          </cell>
          <cell r="D6141">
            <v>6</v>
          </cell>
        </row>
        <row r="6142">
          <cell r="A6142" t="str">
            <v>1RE1ARBPC1A09974</v>
          </cell>
          <cell r="B6142" t="str">
            <v>SMT</v>
          </cell>
          <cell r="C6142">
            <v>1</v>
          </cell>
          <cell r="D6142">
            <v>221</v>
          </cell>
        </row>
        <row r="6143">
          <cell r="A6143" t="str">
            <v>1CM1ARBPC1A09984</v>
          </cell>
          <cell r="B6143" t="str">
            <v>SMT</v>
          </cell>
          <cell r="C6143">
            <v>1</v>
          </cell>
          <cell r="D6143">
            <v>22</v>
          </cell>
          <cell r="E6143">
            <v>8210</v>
          </cell>
          <cell r="F6143" t="str">
            <v>V501</v>
          </cell>
          <cell r="G6143" t="str">
            <v>Auto</v>
          </cell>
          <cell r="H6143">
            <v>311</v>
          </cell>
          <cell r="I6143">
            <v>8210</v>
          </cell>
          <cell r="J6143">
            <v>8220</v>
          </cell>
          <cell r="K6143" t="str">
            <v>V501</v>
          </cell>
        </row>
        <row r="6144">
          <cell r="A6144" t="str">
            <v>1RH1ARBPC1A09984</v>
          </cell>
          <cell r="B6144" t="str">
            <v>SMT</v>
          </cell>
          <cell r="C6144">
            <v>1</v>
          </cell>
          <cell r="D6144">
            <v>21</v>
          </cell>
        </row>
        <row r="6145">
          <cell r="A6145" t="str">
            <v>1AE1ARBPC1A09984</v>
          </cell>
          <cell r="B6145" t="str">
            <v>SMT</v>
          </cell>
          <cell r="C6145">
            <v>1</v>
          </cell>
          <cell r="D6145">
            <v>6</v>
          </cell>
        </row>
        <row r="6146">
          <cell r="A6146" t="str">
            <v>1RE1ARBPC1A09984</v>
          </cell>
          <cell r="B6146" t="str">
            <v>SMT</v>
          </cell>
          <cell r="C6146">
            <v>1</v>
          </cell>
          <cell r="D6146">
            <v>215</v>
          </cell>
        </row>
        <row r="6147">
          <cell r="A6147" t="str">
            <v>1CM1ARBPC1A09994</v>
          </cell>
          <cell r="B6147" t="str">
            <v>SMT</v>
          </cell>
          <cell r="C6147">
            <v>1</v>
          </cell>
          <cell r="D6147">
            <v>23</v>
          </cell>
          <cell r="E6147">
            <v>8210</v>
          </cell>
          <cell r="F6147" t="str">
            <v>V501</v>
          </cell>
          <cell r="G6147" t="str">
            <v>Auto</v>
          </cell>
          <cell r="H6147">
            <v>311</v>
          </cell>
          <cell r="I6147">
            <v>8210</v>
          </cell>
          <cell r="J6147">
            <v>8220</v>
          </cell>
          <cell r="K6147" t="str">
            <v>V501</v>
          </cell>
        </row>
        <row r="6148">
          <cell r="A6148" t="str">
            <v>1RH1ARBPC1A09994</v>
          </cell>
          <cell r="B6148" t="str">
            <v>SMT</v>
          </cell>
          <cell r="C6148">
            <v>1</v>
          </cell>
          <cell r="D6148">
            <v>20</v>
          </cell>
        </row>
        <row r="6149">
          <cell r="A6149" t="str">
            <v>1AE1ARBPC1A09994</v>
          </cell>
          <cell r="B6149" t="str">
            <v>SMT</v>
          </cell>
          <cell r="C6149">
            <v>1</v>
          </cell>
          <cell r="D6149">
            <v>5</v>
          </cell>
        </row>
        <row r="6150">
          <cell r="A6150" t="str">
            <v>1RE1ARBPC1A09994</v>
          </cell>
          <cell r="B6150" t="str">
            <v>SMT</v>
          </cell>
          <cell r="C6150">
            <v>1</v>
          </cell>
          <cell r="D6150">
            <v>215</v>
          </cell>
        </row>
        <row r="6151">
          <cell r="A6151" t="str">
            <v>1CM1ARBPC1A10002</v>
          </cell>
          <cell r="B6151" t="str">
            <v>SMT</v>
          </cell>
          <cell r="C6151">
            <v>1</v>
          </cell>
          <cell r="D6151">
            <v>22</v>
          </cell>
          <cell r="E6151">
            <v>8210</v>
          </cell>
          <cell r="F6151" t="str">
            <v>V501</v>
          </cell>
          <cell r="G6151" t="str">
            <v>Auto</v>
          </cell>
          <cell r="H6151">
            <v>311</v>
          </cell>
          <cell r="I6151">
            <v>8210</v>
          </cell>
          <cell r="J6151">
            <v>8220</v>
          </cell>
          <cell r="K6151" t="str">
            <v>V501</v>
          </cell>
        </row>
        <row r="6152">
          <cell r="A6152" t="str">
            <v>1RH1ARBPC1A10002</v>
          </cell>
          <cell r="B6152" t="str">
            <v>SMT</v>
          </cell>
          <cell r="C6152">
            <v>1</v>
          </cell>
          <cell r="D6152">
            <v>21</v>
          </cell>
        </row>
        <row r="6153">
          <cell r="A6153" t="str">
            <v>1AE1ARBPC1A10002</v>
          </cell>
          <cell r="B6153" t="str">
            <v>SMT</v>
          </cell>
          <cell r="C6153">
            <v>1</v>
          </cell>
          <cell r="D6153">
            <v>4</v>
          </cell>
        </row>
        <row r="6154">
          <cell r="A6154" t="str">
            <v>1RE1ARBPC1A10002</v>
          </cell>
          <cell r="B6154" t="str">
            <v>SMT</v>
          </cell>
          <cell r="C6154">
            <v>1</v>
          </cell>
          <cell r="D6154">
            <v>221</v>
          </cell>
        </row>
        <row r="6155">
          <cell r="A6155" t="str">
            <v>1CM1ARBPC1A10004</v>
          </cell>
          <cell r="B6155" t="str">
            <v>SMT</v>
          </cell>
          <cell r="C6155">
            <v>1</v>
          </cell>
          <cell r="D6155">
            <v>22</v>
          </cell>
          <cell r="E6155">
            <v>8210</v>
          </cell>
          <cell r="F6155" t="str">
            <v>V501</v>
          </cell>
          <cell r="G6155" t="str">
            <v>Auto</v>
          </cell>
          <cell r="H6155">
            <v>311</v>
          </cell>
          <cell r="I6155">
            <v>8210</v>
          </cell>
          <cell r="J6155">
            <v>8220</v>
          </cell>
          <cell r="K6155" t="str">
            <v>V501</v>
          </cell>
        </row>
        <row r="6156">
          <cell r="A6156" t="str">
            <v>1RH1ARBPC1A10004</v>
          </cell>
          <cell r="B6156" t="str">
            <v>SMT</v>
          </cell>
          <cell r="C6156">
            <v>1</v>
          </cell>
          <cell r="D6156">
            <v>20</v>
          </cell>
        </row>
        <row r="6157">
          <cell r="A6157" t="str">
            <v>1AE1ARBPC1A10004</v>
          </cell>
          <cell r="B6157" t="str">
            <v>SMT</v>
          </cell>
          <cell r="C6157">
            <v>1</v>
          </cell>
          <cell r="D6157">
            <v>5</v>
          </cell>
        </row>
        <row r="6158">
          <cell r="A6158" t="str">
            <v>1RE1ARBPC1A10004</v>
          </cell>
          <cell r="B6158" t="str">
            <v>SMT</v>
          </cell>
          <cell r="C6158">
            <v>1</v>
          </cell>
          <cell r="D6158">
            <v>209</v>
          </cell>
        </row>
        <row r="6159">
          <cell r="A6159" t="str">
            <v>1CM1ARBPC1A10021</v>
          </cell>
          <cell r="B6159" t="str">
            <v>SMT</v>
          </cell>
          <cell r="C6159">
            <v>1</v>
          </cell>
          <cell r="D6159">
            <v>23</v>
          </cell>
          <cell r="E6159">
            <v>8210</v>
          </cell>
          <cell r="F6159" t="str">
            <v>V501</v>
          </cell>
          <cell r="G6159" t="str">
            <v>Auto</v>
          </cell>
          <cell r="H6159">
            <v>311</v>
          </cell>
          <cell r="I6159">
            <v>8210</v>
          </cell>
          <cell r="J6159">
            <v>8220</v>
          </cell>
          <cell r="K6159" t="str">
            <v>V501</v>
          </cell>
        </row>
        <row r="6160">
          <cell r="A6160" t="str">
            <v>1RH1ARBPC1A10021</v>
          </cell>
          <cell r="B6160" t="str">
            <v>SMT</v>
          </cell>
          <cell r="C6160">
            <v>1</v>
          </cell>
          <cell r="D6160">
            <v>21</v>
          </cell>
        </row>
        <row r="6161">
          <cell r="A6161" t="str">
            <v>1AE1ARBPC1A10021</v>
          </cell>
          <cell r="B6161" t="str">
            <v>SMT</v>
          </cell>
          <cell r="C6161">
            <v>1</v>
          </cell>
          <cell r="D6161">
            <v>5</v>
          </cell>
        </row>
        <row r="6162">
          <cell r="A6162" t="str">
            <v>1RE1ARBPC1A10021</v>
          </cell>
          <cell r="B6162" t="str">
            <v>SMT</v>
          </cell>
          <cell r="C6162">
            <v>1</v>
          </cell>
          <cell r="D6162">
            <v>277</v>
          </cell>
        </row>
        <row r="6163">
          <cell r="A6163" t="str">
            <v>1CM1ARBPC1A10654</v>
          </cell>
          <cell r="B6163" t="str">
            <v>SMT</v>
          </cell>
          <cell r="C6163">
            <v>1</v>
          </cell>
          <cell r="D6163">
            <v>25</v>
          </cell>
          <cell r="E6163">
            <v>8210</v>
          </cell>
          <cell r="F6163" t="str">
            <v>V501</v>
          </cell>
          <cell r="G6163" t="str">
            <v>Auto</v>
          </cell>
          <cell r="H6163">
            <v>311</v>
          </cell>
          <cell r="I6163">
            <v>8210</v>
          </cell>
          <cell r="J6163">
            <v>8220</v>
          </cell>
          <cell r="K6163" t="str">
            <v>V501</v>
          </cell>
        </row>
        <row r="6164">
          <cell r="A6164" t="str">
            <v>1RH1ARBPC1A10654</v>
          </cell>
          <cell r="B6164" t="str">
            <v>SMT</v>
          </cell>
          <cell r="C6164">
            <v>1</v>
          </cell>
          <cell r="D6164">
            <v>21</v>
          </cell>
        </row>
        <row r="6165">
          <cell r="A6165" t="str">
            <v>1AE1ARBPC1A10654</v>
          </cell>
          <cell r="B6165" t="str">
            <v>SMT</v>
          </cell>
          <cell r="C6165">
            <v>1</v>
          </cell>
          <cell r="D6165">
            <v>5</v>
          </cell>
        </row>
        <row r="6166">
          <cell r="A6166" t="str">
            <v>1RE1ARBPC1A10654</v>
          </cell>
          <cell r="B6166" t="str">
            <v>SMT</v>
          </cell>
          <cell r="C6166">
            <v>1</v>
          </cell>
          <cell r="D6166">
            <v>291</v>
          </cell>
        </row>
        <row r="6167">
          <cell r="A6167" t="str">
            <v>1CM1ARBPC1A10663</v>
          </cell>
          <cell r="B6167" t="str">
            <v>SMT</v>
          </cell>
          <cell r="C6167">
            <v>1</v>
          </cell>
          <cell r="D6167">
            <v>25</v>
          </cell>
          <cell r="E6167">
            <v>8210</v>
          </cell>
          <cell r="F6167" t="str">
            <v>V501</v>
          </cell>
          <cell r="G6167" t="str">
            <v>Auto</v>
          </cell>
          <cell r="H6167">
            <v>311</v>
          </cell>
          <cell r="I6167">
            <v>8210</v>
          </cell>
          <cell r="J6167">
            <v>8220</v>
          </cell>
          <cell r="K6167" t="str">
            <v>V501</v>
          </cell>
        </row>
        <row r="6168">
          <cell r="A6168" t="str">
            <v>1RH1ARBPC1A10663</v>
          </cell>
          <cell r="B6168" t="str">
            <v>SMT</v>
          </cell>
          <cell r="C6168">
            <v>1</v>
          </cell>
          <cell r="D6168">
            <v>24</v>
          </cell>
        </row>
        <row r="6169">
          <cell r="A6169" t="str">
            <v>1AE1ARBPC1A10663</v>
          </cell>
          <cell r="B6169" t="str">
            <v>SMT</v>
          </cell>
          <cell r="C6169">
            <v>1</v>
          </cell>
          <cell r="D6169">
            <v>5</v>
          </cell>
        </row>
        <row r="6170">
          <cell r="A6170" t="str">
            <v>1RE1ARBPC1A10663</v>
          </cell>
          <cell r="B6170" t="str">
            <v>SMT</v>
          </cell>
          <cell r="C6170">
            <v>1</v>
          </cell>
          <cell r="D6170">
            <v>285</v>
          </cell>
        </row>
        <row r="6171">
          <cell r="A6171" t="str">
            <v>1CM1ARBPC1A10772</v>
          </cell>
          <cell r="B6171" t="str">
            <v>SMT</v>
          </cell>
          <cell r="C6171">
            <v>1</v>
          </cell>
          <cell r="D6171">
            <v>67</v>
          </cell>
          <cell r="E6171">
            <v>8210</v>
          </cell>
          <cell r="F6171" t="str">
            <v>V501</v>
          </cell>
          <cell r="G6171" t="str">
            <v>Auto</v>
          </cell>
          <cell r="H6171">
            <v>311</v>
          </cell>
          <cell r="I6171">
            <v>8210</v>
          </cell>
          <cell r="J6171">
            <v>8220</v>
          </cell>
          <cell r="K6171" t="str">
            <v>V501</v>
          </cell>
        </row>
        <row r="6172">
          <cell r="A6172" t="str">
            <v>1RH1ARBPC1A10772</v>
          </cell>
          <cell r="B6172" t="str">
            <v>SMT</v>
          </cell>
          <cell r="C6172">
            <v>1</v>
          </cell>
          <cell r="D6172">
            <v>20</v>
          </cell>
        </row>
        <row r="6173">
          <cell r="A6173" t="str">
            <v>1AE1ARBPC1A10772</v>
          </cell>
          <cell r="B6173" t="str">
            <v>SMT</v>
          </cell>
          <cell r="C6173">
            <v>1</v>
          </cell>
          <cell r="D6173">
            <v>4</v>
          </cell>
        </row>
        <row r="6174">
          <cell r="A6174" t="str">
            <v>1RE1ARBPC1A10772</v>
          </cell>
          <cell r="B6174" t="str">
            <v>SMT</v>
          </cell>
          <cell r="C6174">
            <v>1</v>
          </cell>
          <cell r="D6174">
            <v>401</v>
          </cell>
        </row>
        <row r="6175">
          <cell r="A6175" t="str">
            <v>1CM1ARBPC1A10773</v>
          </cell>
          <cell r="B6175" t="str">
            <v>SMT</v>
          </cell>
          <cell r="C6175">
            <v>1</v>
          </cell>
          <cell r="D6175">
            <v>67</v>
          </cell>
          <cell r="E6175">
            <v>8210</v>
          </cell>
          <cell r="F6175" t="str">
            <v>V501</v>
          </cell>
          <cell r="G6175" t="str">
            <v>Auto</v>
          </cell>
          <cell r="H6175">
            <v>311</v>
          </cell>
          <cell r="I6175">
            <v>8210</v>
          </cell>
          <cell r="J6175">
            <v>8220</v>
          </cell>
          <cell r="K6175" t="str">
            <v>V501</v>
          </cell>
        </row>
        <row r="6176">
          <cell r="A6176" t="str">
            <v>1RH1ARBPC1A10773</v>
          </cell>
          <cell r="B6176" t="str">
            <v>SMT</v>
          </cell>
          <cell r="C6176">
            <v>1</v>
          </cell>
          <cell r="D6176">
            <v>20</v>
          </cell>
        </row>
        <row r="6177">
          <cell r="A6177" t="str">
            <v>1AE1ARBPC1A10773</v>
          </cell>
          <cell r="B6177" t="str">
            <v>SMT</v>
          </cell>
          <cell r="C6177">
            <v>1</v>
          </cell>
          <cell r="D6177">
            <v>4</v>
          </cell>
        </row>
        <row r="6178">
          <cell r="A6178" t="str">
            <v>1RE1ARBPC1A10773</v>
          </cell>
          <cell r="B6178" t="str">
            <v>SMT</v>
          </cell>
          <cell r="C6178">
            <v>1</v>
          </cell>
          <cell r="D6178">
            <v>401</v>
          </cell>
        </row>
        <row r="6179">
          <cell r="A6179" t="str">
            <v>1CM1ARBPC1A10774</v>
          </cell>
          <cell r="B6179" t="str">
            <v>SMT</v>
          </cell>
          <cell r="C6179">
            <v>1</v>
          </cell>
          <cell r="D6179">
            <v>67</v>
          </cell>
          <cell r="E6179">
            <v>8210</v>
          </cell>
          <cell r="F6179" t="str">
            <v>V501</v>
          </cell>
          <cell r="G6179" t="str">
            <v>Auto</v>
          </cell>
          <cell r="H6179">
            <v>311</v>
          </cell>
          <cell r="I6179">
            <v>8210</v>
          </cell>
          <cell r="J6179">
            <v>8220</v>
          </cell>
          <cell r="K6179" t="str">
            <v>V501</v>
          </cell>
        </row>
        <row r="6180">
          <cell r="A6180" t="str">
            <v>1RH1ARBPC1A10774</v>
          </cell>
          <cell r="B6180" t="str">
            <v>SMT</v>
          </cell>
          <cell r="C6180">
            <v>1</v>
          </cell>
          <cell r="D6180">
            <v>20</v>
          </cell>
        </row>
        <row r="6181">
          <cell r="A6181" t="str">
            <v>1AE1ARBPC1A10774</v>
          </cell>
          <cell r="B6181" t="str">
            <v>SMT</v>
          </cell>
          <cell r="C6181">
            <v>1</v>
          </cell>
          <cell r="D6181">
            <v>4</v>
          </cell>
        </row>
        <row r="6182">
          <cell r="A6182" t="str">
            <v>1RE1ARBPC1A10774</v>
          </cell>
          <cell r="B6182" t="str">
            <v>SMT</v>
          </cell>
          <cell r="C6182">
            <v>1</v>
          </cell>
          <cell r="D6182">
            <v>401</v>
          </cell>
        </row>
        <row r="6183">
          <cell r="A6183" t="str">
            <v>1CM1ARBPC1A10783</v>
          </cell>
          <cell r="B6183" t="str">
            <v>SMT</v>
          </cell>
          <cell r="C6183">
            <v>1</v>
          </cell>
          <cell r="D6183">
            <v>67</v>
          </cell>
          <cell r="E6183">
            <v>8210</v>
          </cell>
          <cell r="F6183" t="str">
            <v>V501</v>
          </cell>
          <cell r="G6183" t="str">
            <v>Auto</v>
          </cell>
          <cell r="H6183">
            <v>311</v>
          </cell>
          <cell r="I6183">
            <v>8210</v>
          </cell>
          <cell r="J6183">
            <v>8220</v>
          </cell>
          <cell r="K6183" t="str">
            <v>V501</v>
          </cell>
        </row>
        <row r="6184">
          <cell r="A6184" t="str">
            <v>1RH1ARBPC1A10783</v>
          </cell>
          <cell r="B6184" t="str">
            <v>SMT</v>
          </cell>
          <cell r="C6184">
            <v>1</v>
          </cell>
          <cell r="D6184">
            <v>20</v>
          </cell>
        </row>
        <row r="6185">
          <cell r="A6185" t="str">
            <v>1AE1ARBPC1A10783</v>
          </cell>
          <cell r="B6185" t="str">
            <v>SMT</v>
          </cell>
          <cell r="C6185">
            <v>1</v>
          </cell>
          <cell r="D6185">
            <v>4</v>
          </cell>
        </row>
        <row r="6186">
          <cell r="A6186" t="str">
            <v>1RE1ARBPC1A10783</v>
          </cell>
          <cell r="B6186" t="str">
            <v>SMT</v>
          </cell>
          <cell r="C6186">
            <v>1</v>
          </cell>
          <cell r="D6186">
            <v>418</v>
          </cell>
        </row>
        <row r="6187">
          <cell r="A6187" t="str">
            <v>1CM1ARBPC1A10791</v>
          </cell>
          <cell r="B6187" t="str">
            <v>SMT</v>
          </cell>
          <cell r="C6187">
            <v>1</v>
          </cell>
          <cell r="D6187">
            <v>67</v>
          </cell>
          <cell r="E6187">
            <v>8210</v>
          </cell>
          <cell r="F6187" t="str">
            <v>V501</v>
          </cell>
          <cell r="G6187" t="str">
            <v>Auto</v>
          </cell>
          <cell r="H6187">
            <v>311</v>
          </cell>
          <cell r="I6187">
            <v>8210</v>
          </cell>
          <cell r="J6187">
            <v>8220</v>
          </cell>
          <cell r="K6187" t="str">
            <v>V501</v>
          </cell>
        </row>
        <row r="6188">
          <cell r="A6188" t="str">
            <v>1RH1ARBPC1A10791</v>
          </cell>
          <cell r="B6188" t="str">
            <v>SMT</v>
          </cell>
          <cell r="C6188">
            <v>1</v>
          </cell>
          <cell r="D6188">
            <v>19</v>
          </cell>
        </row>
        <row r="6189">
          <cell r="A6189" t="str">
            <v>1AE1ARBPC1A10791</v>
          </cell>
          <cell r="B6189" t="str">
            <v>SMT</v>
          </cell>
          <cell r="C6189">
            <v>1</v>
          </cell>
          <cell r="D6189">
            <v>4</v>
          </cell>
        </row>
        <row r="6190">
          <cell r="A6190" t="str">
            <v>1RE1ARBPC1A10791</v>
          </cell>
          <cell r="B6190" t="str">
            <v>SMT</v>
          </cell>
          <cell r="C6190">
            <v>1</v>
          </cell>
          <cell r="D6190">
            <v>401</v>
          </cell>
        </row>
        <row r="6191">
          <cell r="A6191" t="str">
            <v>1CM1ARBPC1A11060</v>
          </cell>
          <cell r="B6191" t="str">
            <v>SMT</v>
          </cell>
          <cell r="C6191">
            <v>1</v>
          </cell>
          <cell r="D6191">
            <v>23</v>
          </cell>
          <cell r="E6191">
            <v>8210</v>
          </cell>
          <cell r="F6191" t="str">
            <v>V501</v>
          </cell>
          <cell r="G6191" t="str">
            <v>Auto</v>
          </cell>
          <cell r="H6191">
            <v>311</v>
          </cell>
          <cell r="I6191">
            <v>8210</v>
          </cell>
          <cell r="J6191">
            <v>8220</v>
          </cell>
          <cell r="K6191" t="str">
            <v>V501</v>
          </cell>
        </row>
        <row r="6192">
          <cell r="A6192" t="str">
            <v>1RH1ARBPC1A11060</v>
          </cell>
          <cell r="B6192" t="str">
            <v>SMT</v>
          </cell>
          <cell r="C6192">
            <v>1</v>
          </cell>
          <cell r="D6192">
            <v>24</v>
          </cell>
        </row>
        <row r="6193">
          <cell r="A6193" t="str">
            <v>1AE1ARBPC1A11060</v>
          </cell>
          <cell r="B6193" t="str">
            <v>SMT</v>
          </cell>
          <cell r="C6193">
            <v>1</v>
          </cell>
          <cell r="D6193">
            <v>6</v>
          </cell>
        </row>
        <row r="6194">
          <cell r="A6194" t="str">
            <v>1RE1ARBPC1A11060</v>
          </cell>
          <cell r="B6194" t="str">
            <v>SMT</v>
          </cell>
          <cell r="C6194">
            <v>1</v>
          </cell>
          <cell r="D6194">
            <v>225</v>
          </cell>
        </row>
        <row r="6195">
          <cell r="A6195" t="str">
            <v>1CM1ARBPC1A11061</v>
          </cell>
          <cell r="B6195" t="str">
            <v>SMT</v>
          </cell>
          <cell r="C6195">
            <v>1</v>
          </cell>
          <cell r="D6195">
            <v>23</v>
          </cell>
          <cell r="E6195">
            <v>8210</v>
          </cell>
          <cell r="F6195" t="str">
            <v>V501</v>
          </cell>
          <cell r="G6195" t="str">
            <v>Auto</v>
          </cell>
          <cell r="H6195">
            <v>311</v>
          </cell>
          <cell r="I6195">
            <v>8210</v>
          </cell>
          <cell r="J6195">
            <v>8220</v>
          </cell>
          <cell r="K6195" t="str">
            <v>V501</v>
          </cell>
        </row>
        <row r="6196">
          <cell r="A6196" t="str">
            <v>1RH1ARBPC1A11061</v>
          </cell>
          <cell r="B6196" t="str">
            <v>SMT</v>
          </cell>
          <cell r="C6196">
            <v>1</v>
          </cell>
          <cell r="D6196">
            <v>23</v>
          </cell>
        </row>
        <row r="6197">
          <cell r="A6197" t="str">
            <v>1AE1ARBPC1A11061</v>
          </cell>
          <cell r="B6197" t="str">
            <v>SMT</v>
          </cell>
          <cell r="C6197">
            <v>1</v>
          </cell>
          <cell r="D6197">
            <v>6</v>
          </cell>
        </row>
        <row r="6198">
          <cell r="A6198" t="str">
            <v>1RE1ARBPC1A11061</v>
          </cell>
          <cell r="B6198" t="str">
            <v>SMT</v>
          </cell>
          <cell r="C6198">
            <v>1</v>
          </cell>
          <cell r="D6198">
            <v>225</v>
          </cell>
        </row>
        <row r="6199">
          <cell r="A6199" t="str">
            <v>1CM1ARBPC1A11450</v>
          </cell>
          <cell r="B6199" t="str">
            <v>SMT</v>
          </cell>
          <cell r="C6199">
            <v>1</v>
          </cell>
          <cell r="D6199">
            <v>22</v>
          </cell>
          <cell r="E6199">
            <v>8210</v>
          </cell>
          <cell r="F6199" t="str">
            <v>V501</v>
          </cell>
          <cell r="G6199" t="str">
            <v>Auto</v>
          </cell>
          <cell r="H6199">
            <v>311</v>
          </cell>
          <cell r="I6199">
            <v>8210</v>
          </cell>
          <cell r="J6199">
            <v>8220</v>
          </cell>
          <cell r="K6199" t="str">
            <v>V501</v>
          </cell>
        </row>
        <row r="6200">
          <cell r="A6200" t="str">
            <v>1RH1ARBPC1A11450</v>
          </cell>
          <cell r="B6200" t="str">
            <v>SMT</v>
          </cell>
          <cell r="C6200">
            <v>1</v>
          </cell>
          <cell r="D6200">
            <v>24</v>
          </cell>
        </row>
        <row r="6201">
          <cell r="A6201" t="str">
            <v>1AE1ARBPC1A11450</v>
          </cell>
          <cell r="B6201" t="str">
            <v>SMT</v>
          </cell>
          <cell r="C6201">
            <v>1</v>
          </cell>
          <cell r="D6201">
            <v>6</v>
          </cell>
        </row>
        <row r="6202">
          <cell r="A6202" t="str">
            <v>1RE1ARBPC1A11450</v>
          </cell>
          <cell r="B6202" t="str">
            <v>SMT</v>
          </cell>
          <cell r="C6202">
            <v>1</v>
          </cell>
          <cell r="D6202">
            <v>219</v>
          </cell>
        </row>
        <row r="6203">
          <cell r="A6203" t="str">
            <v>1CM1ARBPC1A11451</v>
          </cell>
          <cell r="B6203" t="str">
            <v>SMT</v>
          </cell>
          <cell r="C6203">
            <v>1</v>
          </cell>
          <cell r="D6203">
            <v>22</v>
          </cell>
          <cell r="E6203">
            <v>8210</v>
          </cell>
          <cell r="F6203" t="str">
            <v>V501</v>
          </cell>
          <cell r="G6203" t="str">
            <v>Auto</v>
          </cell>
          <cell r="H6203">
            <v>311</v>
          </cell>
          <cell r="I6203">
            <v>8210</v>
          </cell>
          <cell r="J6203">
            <v>8220</v>
          </cell>
          <cell r="K6203" t="str">
            <v>V501</v>
          </cell>
        </row>
        <row r="6204">
          <cell r="A6204" t="str">
            <v>1RH1ARBPC1A11451</v>
          </cell>
          <cell r="B6204" t="str">
            <v>SMT</v>
          </cell>
          <cell r="C6204">
            <v>1</v>
          </cell>
          <cell r="D6204">
            <v>23</v>
          </cell>
        </row>
        <row r="6205">
          <cell r="A6205" t="str">
            <v>1AE1ARBPC1A11451</v>
          </cell>
          <cell r="B6205" t="str">
            <v>SMT</v>
          </cell>
          <cell r="C6205">
            <v>1</v>
          </cell>
          <cell r="D6205">
            <v>6</v>
          </cell>
        </row>
        <row r="6206">
          <cell r="A6206" t="str">
            <v>1RE1ARBPC1A11451</v>
          </cell>
          <cell r="B6206" t="str">
            <v>SMT</v>
          </cell>
          <cell r="C6206">
            <v>1</v>
          </cell>
          <cell r="D6206">
            <v>219</v>
          </cell>
        </row>
        <row r="6207">
          <cell r="A6207" t="str">
            <v>1CM1ARBPC1A11620T</v>
          </cell>
          <cell r="B6207" t="str">
            <v>SMT</v>
          </cell>
          <cell r="C6207">
            <v>1</v>
          </cell>
          <cell r="D6207">
            <v>23</v>
          </cell>
          <cell r="E6207">
            <v>8210</v>
          </cell>
          <cell r="F6207" t="str">
            <v>V501</v>
          </cell>
          <cell r="G6207" t="str">
            <v>Auto</v>
          </cell>
          <cell r="H6207">
            <v>311</v>
          </cell>
          <cell r="I6207">
            <v>8210</v>
          </cell>
          <cell r="J6207">
            <v>8220</v>
          </cell>
          <cell r="K6207" t="str">
            <v>V501</v>
          </cell>
        </row>
        <row r="6208">
          <cell r="A6208" t="str">
            <v>1RH1ARBPC1A11620T</v>
          </cell>
          <cell r="B6208" t="str">
            <v>SMT</v>
          </cell>
          <cell r="C6208">
            <v>1</v>
          </cell>
          <cell r="D6208">
            <v>24</v>
          </cell>
        </row>
        <row r="6209">
          <cell r="A6209" t="str">
            <v>1AE1ARBPC1A11620T</v>
          </cell>
          <cell r="B6209" t="str">
            <v>SMT</v>
          </cell>
          <cell r="C6209">
            <v>1</v>
          </cell>
          <cell r="D6209">
            <v>7</v>
          </cell>
        </row>
        <row r="6210">
          <cell r="A6210" t="str">
            <v>1RE1ARBPC1A11620T</v>
          </cell>
          <cell r="B6210" t="str">
            <v>SMT</v>
          </cell>
          <cell r="C6210">
            <v>1</v>
          </cell>
          <cell r="D6210">
            <v>286</v>
          </cell>
        </row>
        <row r="6211">
          <cell r="A6211" t="str">
            <v>1CM1ARBPC1A11622</v>
          </cell>
          <cell r="B6211" t="str">
            <v>SMT</v>
          </cell>
          <cell r="C6211">
            <v>1</v>
          </cell>
          <cell r="D6211">
            <v>23</v>
          </cell>
          <cell r="E6211">
            <v>8210</v>
          </cell>
          <cell r="F6211" t="str">
            <v>V501</v>
          </cell>
          <cell r="G6211" t="str">
            <v>Auto</v>
          </cell>
          <cell r="H6211">
            <v>311</v>
          </cell>
          <cell r="I6211">
            <v>8210</v>
          </cell>
          <cell r="J6211">
            <v>8220</v>
          </cell>
          <cell r="K6211" t="str">
            <v>V501</v>
          </cell>
        </row>
        <row r="6212">
          <cell r="A6212" t="str">
            <v>1RH1ARBPC1A11622</v>
          </cell>
          <cell r="B6212" t="str">
            <v>SMT</v>
          </cell>
          <cell r="C6212">
            <v>1</v>
          </cell>
          <cell r="D6212">
            <v>24</v>
          </cell>
        </row>
        <row r="6213">
          <cell r="A6213" t="str">
            <v>1AE1ARBPC1A11622</v>
          </cell>
          <cell r="B6213" t="str">
            <v>SMT</v>
          </cell>
          <cell r="C6213">
            <v>1</v>
          </cell>
          <cell r="D6213">
            <v>7</v>
          </cell>
        </row>
        <row r="6214">
          <cell r="A6214" t="str">
            <v>1RE1ARBPC1A11622</v>
          </cell>
          <cell r="B6214" t="str">
            <v>SMT</v>
          </cell>
          <cell r="C6214">
            <v>1</v>
          </cell>
          <cell r="D6214">
            <v>285</v>
          </cell>
        </row>
        <row r="6215">
          <cell r="A6215" t="str">
            <v>1CM1ARBPC1A11800T1</v>
          </cell>
          <cell r="B6215" t="str">
            <v>SMT</v>
          </cell>
          <cell r="C6215">
            <v>1</v>
          </cell>
          <cell r="D6215">
            <v>67</v>
          </cell>
          <cell r="E6215">
            <v>8210</v>
          </cell>
          <cell r="F6215" t="str">
            <v>V501</v>
          </cell>
          <cell r="G6215" t="str">
            <v>Auto</v>
          </cell>
          <cell r="H6215">
            <v>311</v>
          </cell>
          <cell r="I6215">
            <v>8210</v>
          </cell>
          <cell r="J6215">
            <v>8220</v>
          </cell>
          <cell r="K6215" t="str">
            <v>V501</v>
          </cell>
        </row>
        <row r="6216">
          <cell r="A6216" t="str">
            <v>1RH1ARBPC1A11800T1</v>
          </cell>
          <cell r="B6216" t="str">
            <v>SMT</v>
          </cell>
          <cell r="C6216">
            <v>1</v>
          </cell>
          <cell r="D6216">
            <v>20</v>
          </cell>
        </row>
        <row r="6217">
          <cell r="A6217" t="str">
            <v>1AE1ARBPC1A11800T1</v>
          </cell>
          <cell r="B6217" t="str">
            <v>SMT</v>
          </cell>
          <cell r="C6217">
            <v>1</v>
          </cell>
          <cell r="D6217">
            <v>4</v>
          </cell>
        </row>
        <row r="6218">
          <cell r="A6218" t="str">
            <v>1RE1ARBPC1A11800T1</v>
          </cell>
          <cell r="B6218" t="str">
            <v>SMT</v>
          </cell>
          <cell r="C6218">
            <v>1</v>
          </cell>
          <cell r="D6218">
            <v>402</v>
          </cell>
        </row>
        <row r="6219">
          <cell r="A6219" t="str">
            <v>1CM1ARBPC1A11802</v>
          </cell>
          <cell r="B6219" t="str">
            <v>SMT</v>
          </cell>
          <cell r="C6219">
            <v>1</v>
          </cell>
          <cell r="D6219">
            <v>67</v>
          </cell>
          <cell r="E6219">
            <v>8210</v>
          </cell>
          <cell r="F6219" t="str">
            <v>V501</v>
          </cell>
          <cell r="G6219" t="str">
            <v>Auto</v>
          </cell>
          <cell r="H6219">
            <v>311</v>
          </cell>
          <cell r="I6219">
            <v>8210</v>
          </cell>
          <cell r="J6219">
            <v>8220</v>
          </cell>
          <cell r="K6219" t="str">
            <v>V501</v>
          </cell>
        </row>
        <row r="6220">
          <cell r="A6220" t="str">
            <v>1RH1ARBPC1A11802</v>
          </cell>
          <cell r="B6220" t="str">
            <v>SMT</v>
          </cell>
          <cell r="C6220">
            <v>1</v>
          </cell>
          <cell r="D6220">
            <v>20</v>
          </cell>
        </row>
        <row r="6221">
          <cell r="A6221" t="str">
            <v>1AE1ARBPC1A11802</v>
          </cell>
          <cell r="B6221" t="str">
            <v>SMT</v>
          </cell>
          <cell r="C6221">
            <v>1</v>
          </cell>
          <cell r="D6221">
            <v>4</v>
          </cell>
        </row>
        <row r="6222">
          <cell r="A6222" t="str">
            <v>1RE1ARBPC1A11802</v>
          </cell>
          <cell r="B6222" t="str">
            <v>SMT</v>
          </cell>
          <cell r="C6222">
            <v>1</v>
          </cell>
          <cell r="D6222">
            <v>401</v>
          </cell>
        </row>
        <row r="6223">
          <cell r="A6223" t="str">
            <v>1CM1ARBPD2A00151</v>
          </cell>
          <cell r="B6223" t="str">
            <v>SMT</v>
          </cell>
          <cell r="C6223">
            <v>1</v>
          </cell>
          <cell r="D6223">
            <v>4</v>
          </cell>
          <cell r="E6223">
            <v>8210</v>
          </cell>
          <cell r="F6223" t="str">
            <v>V501</v>
          </cell>
          <cell r="G6223" t="str">
            <v>Auto</v>
          </cell>
          <cell r="H6223">
            <v>311</v>
          </cell>
          <cell r="I6223">
            <v>8210</v>
          </cell>
          <cell r="J6223">
            <v>8220</v>
          </cell>
          <cell r="K6223" t="str">
            <v>V501</v>
          </cell>
        </row>
        <row r="6224">
          <cell r="A6224" t="str">
            <v>1CM1ARBPD3A00032</v>
          </cell>
          <cell r="B6224" t="str">
            <v>SMT</v>
          </cell>
          <cell r="C6224">
            <v>1</v>
          </cell>
          <cell r="D6224">
            <v>64</v>
          </cell>
          <cell r="E6224">
            <v>8210</v>
          </cell>
          <cell r="F6224" t="str">
            <v>V501</v>
          </cell>
          <cell r="G6224" t="str">
            <v>Auto</v>
          </cell>
          <cell r="H6224">
            <v>311</v>
          </cell>
          <cell r="I6224">
            <v>8210</v>
          </cell>
          <cell r="J6224">
            <v>8220</v>
          </cell>
          <cell r="K6224" t="str">
            <v>V501</v>
          </cell>
        </row>
        <row r="6225">
          <cell r="A6225" t="str">
            <v>1AE1ARBPD3A00032</v>
          </cell>
          <cell r="B6225" t="str">
            <v>SMT</v>
          </cell>
          <cell r="C6225">
            <v>1</v>
          </cell>
          <cell r="D6225">
            <v>18</v>
          </cell>
        </row>
        <row r="6226">
          <cell r="A6226" t="str">
            <v>1CM1ARR000A18180</v>
          </cell>
          <cell r="B6226" t="str">
            <v>SMT</v>
          </cell>
          <cell r="C6226">
            <v>1</v>
          </cell>
          <cell r="D6226">
            <v>61</v>
          </cell>
          <cell r="E6226">
            <v>8210</v>
          </cell>
          <cell r="F6226" t="str">
            <v>V501</v>
          </cell>
          <cell r="G6226" t="str">
            <v>Auto</v>
          </cell>
          <cell r="H6226">
            <v>311</v>
          </cell>
          <cell r="I6226">
            <v>8210</v>
          </cell>
          <cell r="J6226">
            <v>8220</v>
          </cell>
          <cell r="K6226" t="str">
            <v>V501</v>
          </cell>
        </row>
        <row r="6227">
          <cell r="A6227" t="str">
            <v>1RH1ARR000A18180</v>
          </cell>
          <cell r="B6227" t="str">
            <v>SMT</v>
          </cell>
          <cell r="C6227">
            <v>1</v>
          </cell>
          <cell r="D6227">
            <v>10</v>
          </cell>
        </row>
        <row r="6228">
          <cell r="A6228" t="str">
            <v>1RE1ARR000A18180</v>
          </cell>
          <cell r="B6228" t="str">
            <v>SMT</v>
          </cell>
          <cell r="C6228">
            <v>1</v>
          </cell>
          <cell r="D6228">
            <v>22</v>
          </cell>
        </row>
        <row r="6229">
          <cell r="A6229" t="str">
            <v>1CM1ARR000A18190</v>
          </cell>
          <cell r="B6229" t="str">
            <v>SMT</v>
          </cell>
          <cell r="C6229">
            <v>1</v>
          </cell>
          <cell r="D6229">
            <v>61</v>
          </cell>
          <cell r="E6229">
            <v>8210</v>
          </cell>
          <cell r="F6229" t="str">
            <v>V501</v>
          </cell>
          <cell r="G6229" t="str">
            <v>Auto</v>
          </cell>
          <cell r="H6229">
            <v>311</v>
          </cell>
          <cell r="I6229">
            <v>8210</v>
          </cell>
          <cell r="J6229">
            <v>8220</v>
          </cell>
          <cell r="K6229" t="str">
            <v>V501</v>
          </cell>
        </row>
        <row r="6230">
          <cell r="A6230" t="str">
            <v>1RH1ARR000A18190</v>
          </cell>
          <cell r="B6230" t="str">
            <v>SMT</v>
          </cell>
          <cell r="C6230">
            <v>1</v>
          </cell>
          <cell r="D6230">
            <v>10</v>
          </cell>
        </row>
        <row r="6231">
          <cell r="A6231" t="str">
            <v>1RE1ARR000A18190</v>
          </cell>
          <cell r="B6231" t="str">
            <v>SMT</v>
          </cell>
          <cell r="C6231">
            <v>1</v>
          </cell>
          <cell r="D6231">
            <v>22</v>
          </cell>
        </row>
        <row r="6232">
          <cell r="A6232" t="str">
            <v>1CM1ARR000A18200</v>
          </cell>
          <cell r="B6232" t="str">
            <v>SMT</v>
          </cell>
          <cell r="C6232">
            <v>1</v>
          </cell>
          <cell r="D6232">
            <v>69</v>
          </cell>
          <cell r="E6232">
            <v>8210</v>
          </cell>
          <cell r="F6232" t="str">
            <v>V501</v>
          </cell>
          <cell r="G6232" t="str">
            <v>Auto</v>
          </cell>
          <cell r="H6232">
            <v>311</v>
          </cell>
          <cell r="I6232">
            <v>8210</v>
          </cell>
          <cell r="J6232">
            <v>8220</v>
          </cell>
          <cell r="K6232" t="str">
            <v>V501</v>
          </cell>
        </row>
        <row r="6233">
          <cell r="A6233" t="str">
            <v>1RH1ARR000A18200</v>
          </cell>
          <cell r="B6233" t="str">
            <v>SMT</v>
          </cell>
          <cell r="C6233">
            <v>1</v>
          </cell>
          <cell r="D6233">
            <v>13</v>
          </cell>
        </row>
        <row r="6234">
          <cell r="A6234" t="str">
            <v>1RE1ARR000A18200</v>
          </cell>
          <cell r="B6234" t="str">
            <v>SMT</v>
          </cell>
          <cell r="C6234">
            <v>1</v>
          </cell>
          <cell r="D6234">
            <v>25</v>
          </cell>
        </row>
        <row r="6235">
          <cell r="A6235" t="str">
            <v>1CM1C1A11621-T4</v>
          </cell>
          <cell r="B6235" t="str">
            <v>SMT</v>
          </cell>
          <cell r="C6235">
            <v>1</v>
          </cell>
          <cell r="D6235">
            <v>314</v>
          </cell>
          <cell r="E6235">
            <v>8210</v>
          </cell>
          <cell r="F6235" t="str">
            <v>V501</v>
          </cell>
          <cell r="G6235" t="str">
            <v>Auto</v>
          </cell>
          <cell r="H6235">
            <v>311</v>
          </cell>
          <cell r="I6235">
            <v>8210</v>
          </cell>
          <cell r="J6235">
            <v>8220</v>
          </cell>
          <cell r="K6235" t="str">
            <v>V501</v>
          </cell>
        </row>
        <row r="6236">
          <cell r="A6236" t="str">
            <v>1RH1C1A11621-T4</v>
          </cell>
          <cell r="B6236" t="str">
            <v>SMT</v>
          </cell>
          <cell r="C6236">
            <v>1</v>
          </cell>
          <cell r="D6236">
            <v>24</v>
          </cell>
        </row>
        <row r="6237">
          <cell r="A6237" t="str">
            <v>1AE1C1A11621-T4</v>
          </cell>
          <cell r="B6237" t="str">
            <v>SMT</v>
          </cell>
          <cell r="C6237">
            <v>1</v>
          </cell>
          <cell r="D6237">
            <v>7</v>
          </cell>
        </row>
        <row r="6238">
          <cell r="A6238" t="str">
            <v>1RE1ARBP01A00961</v>
          </cell>
          <cell r="B6238" t="str">
            <v>SMT</v>
          </cell>
          <cell r="C6238">
            <v>1</v>
          </cell>
          <cell r="D6238">
            <v>135</v>
          </cell>
          <cell r="E6238">
            <v>8210</v>
          </cell>
          <cell r="F6238" t="str">
            <v>V501</v>
          </cell>
          <cell r="G6238" t="str">
            <v>Auto</v>
          </cell>
          <cell r="H6238">
            <v>311</v>
          </cell>
          <cell r="I6238">
            <v>8210</v>
          </cell>
          <cell r="J6238">
            <v>8220</v>
          </cell>
          <cell r="K6238" t="str">
            <v>V501</v>
          </cell>
        </row>
        <row r="6239">
          <cell r="A6239" t="str">
            <v>1RE1ARBP01A01010</v>
          </cell>
          <cell r="B6239" t="str">
            <v>SMT</v>
          </cell>
          <cell r="C6239">
            <v>2</v>
          </cell>
          <cell r="D6239">
            <v>127</v>
          </cell>
          <cell r="E6239">
            <v>8210</v>
          </cell>
          <cell r="F6239" t="str">
            <v>V501</v>
          </cell>
          <cell r="G6239" t="str">
            <v>Auto</v>
          </cell>
          <cell r="H6239">
            <v>311</v>
          </cell>
          <cell r="I6239">
            <v>8210</v>
          </cell>
          <cell r="J6239">
            <v>8220</v>
          </cell>
          <cell r="K6239" t="str">
            <v>V501</v>
          </cell>
        </row>
        <row r="6240">
          <cell r="A6240" t="str">
            <v>1RE1ARBP01A01022</v>
          </cell>
          <cell r="B6240" t="str">
            <v>SMT</v>
          </cell>
          <cell r="C6240">
            <v>1</v>
          </cell>
          <cell r="D6240">
            <v>137</v>
          </cell>
          <cell r="E6240">
            <v>8210</v>
          </cell>
          <cell r="F6240" t="str">
            <v>V501</v>
          </cell>
          <cell r="G6240" t="str">
            <v>Auto</v>
          </cell>
          <cell r="H6240">
            <v>311</v>
          </cell>
          <cell r="I6240">
            <v>8210</v>
          </cell>
          <cell r="J6240">
            <v>8310</v>
          </cell>
          <cell r="K6240" t="str">
            <v>V501</v>
          </cell>
        </row>
        <row r="6241">
          <cell r="A6241" t="str">
            <v>1RE1ARBPB2A00081</v>
          </cell>
          <cell r="B6241" t="str">
            <v>SMT</v>
          </cell>
          <cell r="C6241">
            <v>1</v>
          </cell>
          <cell r="D6241">
            <v>3</v>
          </cell>
          <cell r="E6241">
            <v>8210</v>
          </cell>
          <cell r="F6241" t="str">
            <v>V501</v>
          </cell>
          <cell r="G6241" t="str">
            <v>Auto</v>
          </cell>
          <cell r="H6241">
            <v>311</v>
          </cell>
          <cell r="I6241">
            <v>8210</v>
          </cell>
          <cell r="J6241">
            <v>8220</v>
          </cell>
          <cell r="K6241" t="str">
            <v>V501</v>
          </cell>
        </row>
        <row r="6242">
          <cell r="A6242" t="str">
            <v>1RE1ARBPLLA00442</v>
          </cell>
          <cell r="B6242" t="str">
            <v>SMT</v>
          </cell>
          <cell r="C6242">
            <v>1</v>
          </cell>
          <cell r="D6242">
            <v>9</v>
          </cell>
          <cell r="E6242">
            <v>8210</v>
          </cell>
          <cell r="F6242" t="str">
            <v>V501</v>
          </cell>
          <cell r="G6242" t="str">
            <v>Auto</v>
          </cell>
          <cell r="H6242">
            <v>311</v>
          </cell>
          <cell r="I6242">
            <v>8210</v>
          </cell>
          <cell r="J6242">
            <v>8310</v>
          </cell>
          <cell r="K6242" t="str">
            <v>V501</v>
          </cell>
        </row>
        <row r="6243">
          <cell r="A6243" t="str">
            <v>1RE1ARBPLLA00660</v>
          </cell>
          <cell r="B6243" t="str">
            <v>SMT</v>
          </cell>
          <cell r="C6243">
            <v>1</v>
          </cell>
          <cell r="D6243">
            <v>9</v>
          </cell>
          <cell r="E6243">
            <v>8210</v>
          </cell>
          <cell r="F6243" t="str">
            <v>V501</v>
          </cell>
          <cell r="G6243" t="str">
            <v>Auto</v>
          </cell>
          <cell r="H6243">
            <v>311</v>
          </cell>
          <cell r="I6243">
            <v>8210</v>
          </cell>
          <cell r="J6243">
            <v>8310</v>
          </cell>
          <cell r="K6243" t="str">
            <v>V501</v>
          </cell>
        </row>
        <row r="6244">
          <cell r="A6244" t="str">
            <v>1RE1ARBPLLA00701</v>
          </cell>
          <cell r="B6244" t="str">
            <v>SMT</v>
          </cell>
          <cell r="C6244">
            <v>1</v>
          </cell>
          <cell r="D6244">
            <v>16</v>
          </cell>
          <cell r="E6244">
            <v>8210</v>
          </cell>
          <cell r="F6244" t="str">
            <v>V501</v>
          </cell>
          <cell r="G6244" t="str">
            <v>Auto</v>
          </cell>
          <cell r="H6244">
            <v>311</v>
          </cell>
          <cell r="I6244">
            <v>8210</v>
          </cell>
          <cell r="J6244">
            <v>8220</v>
          </cell>
          <cell r="K6244" t="str">
            <v>V501</v>
          </cell>
        </row>
        <row r="6245">
          <cell r="A6245" t="str">
            <v>1RE1ARBPLLA00712</v>
          </cell>
          <cell r="B6245" t="str">
            <v>SMT</v>
          </cell>
          <cell r="C6245">
            <v>1</v>
          </cell>
          <cell r="D6245">
            <v>11</v>
          </cell>
          <cell r="E6245">
            <v>8210</v>
          </cell>
          <cell r="F6245" t="str">
            <v>V501</v>
          </cell>
          <cell r="G6245" t="str">
            <v>Auto</v>
          </cell>
          <cell r="H6245">
            <v>311</v>
          </cell>
          <cell r="I6245">
            <v>8210</v>
          </cell>
          <cell r="J6245">
            <v>8220</v>
          </cell>
          <cell r="K6245" t="str">
            <v>V501</v>
          </cell>
        </row>
        <row r="6246">
          <cell r="A6246" t="str">
            <v>1RE1ARBPLLA00721</v>
          </cell>
          <cell r="B6246" t="str">
            <v>SMT</v>
          </cell>
          <cell r="C6246">
            <v>1</v>
          </cell>
          <cell r="D6246">
            <v>9</v>
          </cell>
          <cell r="E6246">
            <v>8210</v>
          </cell>
          <cell r="F6246" t="str">
            <v>V501</v>
          </cell>
          <cell r="G6246" t="str">
            <v>Auto</v>
          </cell>
          <cell r="H6246">
            <v>311</v>
          </cell>
          <cell r="I6246">
            <v>8210</v>
          </cell>
          <cell r="J6246">
            <v>8220</v>
          </cell>
          <cell r="K6246" t="str">
            <v>V501</v>
          </cell>
        </row>
        <row r="6247">
          <cell r="A6247" t="str">
            <v>1RE1ARBPLLA00771</v>
          </cell>
          <cell r="B6247" t="str">
            <v>SMT</v>
          </cell>
          <cell r="C6247">
            <v>1</v>
          </cell>
          <cell r="D6247">
            <v>9</v>
          </cell>
          <cell r="E6247">
            <v>8210</v>
          </cell>
          <cell r="F6247" t="str">
            <v>V501</v>
          </cell>
          <cell r="G6247" t="str">
            <v>Auto</v>
          </cell>
          <cell r="H6247">
            <v>311</v>
          </cell>
          <cell r="I6247">
            <v>8210</v>
          </cell>
          <cell r="J6247">
            <v>8310</v>
          </cell>
          <cell r="K6247" t="str">
            <v>V501</v>
          </cell>
        </row>
        <row r="6248">
          <cell r="A6248" t="str">
            <v>1RE1ARBPLPA00070</v>
          </cell>
          <cell r="B6248" t="str">
            <v>SMT</v>
          </cell>
          <cell r="C6248">
            <v>1</v>
          </cell>
          <cell r="D6248">
            <v>9</v>
          </cell>
          <cell r="E6248">
            <v>8210</v>
          </cell>
          <cell r="F6248" t="str">
            <v>V501</v>
          </cell>
          <cell r="G6248" t="str">
            <v>Auto</v>
          </cell>
          <cell r="H6248">
            <v>311</v>
          </cell>
          <cell r="I6248">
            <v>8210</v>
          </cell>
          <cell r="J6248">
            <v>8310</v>
          </cell>
          <cell r="K6248" t="str">
            <v>V501</v>
          </cell>
        </row>
        <row r="6249">
          <cell r="A6249" t="str">
            <v>1RE1ARBPLPA00120</v>
          </cell>
          <cell r="B6249" t="str">
            <v>SMT</v>
          </cell>
          <cell r="C6249">
            <v>1</v>
          </cell>
          <cell r="D6249">
            <v>9</v>
          </cell>
          <cell r="E6249">
            <v>8210</v>
          </cell>
          <cell r="F6249" t="str">
            <v>V501</v>
          </cell>
          <cell r="G6249" t="str">
            <v>Auto</v>
          </cell>
          <cell r="H6249">
            <v>311</v>
          </cell>
          <cell r="I6249">
            <v>8210</v>
          </cell>
          <cell r="J6249">
            <v>8310</v>
          </cell>
          <cell r="K6249" t="str">
            <v>V501</v>
          </cell>
        </row>
        <row r="6250">
          <cell r="A6250" t="str">
            <v>1RE2ARBP01A01074</v>
          </cell>
          <cell r="B6250" t="str">
            <v>SMT</v>
          </cell>
          <cell r="C6250">
            <v>1</v>
          </cell>
          <cell r="D6250">
            <v>28</v>
          </cell>
          <cell r="E6250">
            <v>8210</v>
          </cell>
          <cell r="F6250" t="str">
            <v>V501</v>
          </cell>
          <cell r="G6250" t="str">
            <v>Auto</v>
          </cell>
          <cell r="H6250">
            <v>311</v>
          </cell>
          <cell r="I6250">
            <v>8210</v>
          </cell>
          <cell r="J6250">
            <v>8220</v>
          </cell>
          <cell r="K6250" t="str">
            <v>V501</v>
          </cell>
        </row>
        <row r="6251">
          <cell r="A6251" t="str">
            <v>1RE1ARBP01A01074</v>
          </cell>
          <cell r="B6251" t="str">
            <v>SMT</v>
          </cell>
          <cell r="C6251">
            <v>1</v>
          </cell>
          <cell r="D6251">
            <v>76</v>
          </cell>
        </row>
        <row r="6252">
          <cell r="A6252" t="str">
            <v>1RE2ARBP01A01084</v>
          </cell>
          <cell r="B6252" t="str">
            <v>SMT</v>
          </cell>
          <cell r="C6252">
            <v>1</v>
          </cell>
          <cell r="D6252">
            <v>25</v>
          </cell>
          <cell r="E6252">
            <v>8210</v>
          </cell>
          <cell r="F6252" t="str">
            <v>V501</v>
          </cell>
          <cell r="G6252" t="str">
            <v>Auto</v>
          </cell>
          <cell r="H6252">
            <v>311</v>
          </cell>
          <cell r="I6252">
            <v>8210</v>
          </cell>
          <cell r="J6252">
            <v>8220</v>
          </cell>
          <cell r="K6252" t="str">
            <v>V501</v>
          </cell>
        </row>
        <row r="6253">
          <cell r="A6253" t="str">
            <v>1RE1ARBP01A01084</v>
          </cell>
          <cell r="B6253" t="str">
            <v>SMT</v>
          </cell>
          <cell r="C6253">
            <v>1</v>
          </cell>
          <cell r="D6253">
            <v>73</v>
          </cell>
        </row>
        <row r="6254">
          <cell r="A6254" t="str">
            <v>1RE2ARBP0DA02174</v>
          </cell>
          <cell r="B6254" t="str">
            <v>SMT</v>
          </cell>
          <cell r="C6254">
            <v>1</v>
          </cell>
          <cell r="D6254">
            <v>36</v>
          </cell>
          <cell r="E6254">
            <v>8210</v>
          </cell>
          <cell r="F6254" t="str">
            <v>V501</v>
          </cell>
          <cell r="G6254" t="str">
            <v>Auto</v>
          </cell>
          <cell r="H6254">
            <v>311</v>
          </cell>
          <cell r="I6254">
            <v>8210</v>
          </cell>
          <cell r="J6254">
            <v>8220</v>
          </cell>
          <cell r="K6254" t="str">
            <v>V501</v>
          </cell>
        </row>
        <row r="6255">
          <cell r="A6255" t="str">
            <v>1RE1ARBP0DA02174</v>
          </cell>
          <cell r="B6255" t="str">
            <v>SMT</v>
          </cell>
          <cell r="C6255">
            <v>1</v>
          </cell>
          <cell r="D6255">
            <v>110</v>
          </cell>
        </row>
        <row r="6256">
          <cell r="A6256" t="str">
            <v>1RE2ARBP0DA02186</v>
          </cell>
          <cell r="B6256" t="str">
            <v>SMT</v>
          </cell>
          <cell r="C6256">
            <v>1</v>
          </cell>
          <cell r="D6256">
            <v>38</v>
          </cell>
          <cell r="E6256">
            <v>8210</v>
          </cell>
          <cell r="F6256" t="str">
            <v>V501</v>
          </cell>
          <cell r="G6256" t="str">
            <v>Auto</v>
          </cell>
          <cell r="H6256">
            <v>311</v>
          </cell>
          <cell r="I6256">
            <v>8210</v>
          </cell>
          <cell r="J6256">
            <v>8220</v>
          </cell>
          <cell r="K6256" t="str">
            <v>V501</v>
          </cell>
        </row>
        <row r="6257">
          <cell r="A6257" t="str">
            <v>1RE1ARBP0DA02186</v>
          </cell>
          <cell r="B6257" t="str">
            <v>SMT</v>
          </cell>
          <cell r="C6257">
            <v>1</v>
          </cell>
          <cell r="D6257">
            <v>112</v>
          </cell>
        </row>
        <row r="6258">
          <cell r="A6258" t="str">
            <v>1RE2ARBP0DA02281</v>
          </cell>
          <cell r="B6258" t="str">
            <v>SMT</v>
          </cell>
          <cell r="C6258">
            <v>1</v>
          </cell>
          <cell r="D6258">
            <v>36</v>
          </cell>
          <cell r="E6258">
            <v>8210</v>
          </cell>
          <cell r="F6258" t="str">
            <v>V501</v>
          </cell>
          <cell r="G6258" t="str">
            <v>Auto</v>
          </cell>
          <cell r="H6258">
            <v>311</v>
          </cell>
          <cell r="I6258">
            <v>8210</v>
          </cell>
          <cell r="J6258">
            <v>8220</v>
          </cell>
          <cell r="K6258" t="str">
            <v>V501</v>
          </cell>
        </row>
        <row r="6259">
          <cell r="A6259" t="str">
            <v>1RE1ARBP0DA02281</v>
          </cell>
          <cell r="B6259" t="str">
            <v>SMT</v>
          </cell>
          <cell r="C6259">
            <v>1</v>
          </cell>
          <cell r="D6259">
            <v>110</v>
          </cell>
        </row>
        <row r="6260">
          <cell r="A6260" t="str">
            <v>1RE2ARBP0DA02292</v>
          </cell>
          <cell r="B6260" t="str">
            <v>SMT</v>
          </cell>
          <cell r="C6260">
            <v>1</v>
          </cell>
          <cell r="D6260">
            <v>33</v>
          </cell>
          <cell r="E6260">
            <v>8210</v>
          </cell>
          <cell r="F6260" t="str">
            <v>V501</v>
          </cell>
          <cell r="G6260" t="str">
            <v>Auto</v>
          </cell>
          <cell r="H6260">
            <v>311</v>
          </cell>
          <cell r="I6260">
            <v>8210</v>
          </cell>
          <cell r="J6260">
            <v>8220</v>
          </cell>
          <cell r="K6260" t="str">
            <v>V501</v>
          </cell>
        </row>
        <row r="6261">
          <cell r="A6261" t="str">
            <v>1RE1ARBP0DA02292</v>
          </cell>
          <cell r="B6261" t="str">
            <v>SMT</v>
          </cell>
          <cell r="C6261">
            <v>1</v>
          </cell>
          <cell r="D6261">
            <v>106</v>
          </cell>
        </row>
        <row r="6262">
          <cell r="A6262" t="str">
            <v>1RE2ARBP0DA02303</v>
          </cell>
          <cell r="B6262" t="str">
            <v>SMT</v>
          </cell>
          <cell r="C6262">
            <v>1</v>
          </cell>
          <cell r="D6262">
            <v>37</v>
          </cell>
          <cell r="E6262">
            <v>8210</v>
          </cell>
          <cell r="F6262" t="str">
            <v>V501</v>
          </cell>
          <cell r="G6262" t="str">
            <v>Auto</v>
          </cell>
          <cell r="H6262">
            <v>311</v>
          </cell>
          <cell r="I6262">
            <v>8210</v>
          </cell>
          <cell r="J6262">
            <v>8220</v>
          </cell>
          <cell r="K6262" t="str">
            <v>V501</v>
          </cell>
        </row>
        <row r="6263">
          <cell r="A6263" t="str">
            <v>1RE1ARBP0DA02303</v>
          </cell>
          <cell r="B6263" t="str">
            <v>SMT</v>
          </cell>
          <cell r="C6263">
            <v>1</v>
          </cell>
          <cell r="D6263">
            <v>103</v>
          </cell>
        </row>
        <row r="6264">
          <cell r="A6264" t="str">
            <v>1RE2ARBP0DA02720</v>
          </cell>
          <cell r="B6264" t="str">
            <v>SMT</v>
          </cell>
          <cell r="C6264">
            <v>1</v>
          </cell>
          <cell r="D6264">
            <v>39</v>
          </cell>
          <cell r="E6264">
            <v>8210</v>
          </cell>
          <cell r="F6264" t="str">
            <v>V501</v>
          </cell>
          <cell r="G6264" t="str">
            <v>Auto</v>
          </cell>
          <cell r="H6264">
            <v>311</v>
          </cell>
          <cell r="I6264">
            <v>8210</v>
          </cell>
          <cell r="J6264">
            <v>8220</v>
          </cell>
          <cell r="K6264" t="str">
            <v>V501</v>
          </cell>
        </row>
        <row r="6265">
          <cell r="A6265" t="str">
            <v>1RE1ARBP0DA02720</v>
          </cell>
          <cell r="B6265" t="str">
            <v>SMT</v>
          </cell>
          <cell r="C6265">
            <v>1</v>
          </cell>
          <cell r="D6265">
            <v>113</v>
          </cell>
        </row>
        <row r="6266">
          <cell r="A6266" t="str">
            <v>1RE2ARBP0DA02850</v>
          </cell>
          <cell r="B6266" t="str">
            <v>SMT</v>
          </cell>
          <cell r="C6266">
            <v>1</v>
          </cell>
          <cell r="D6266">
            <v>36</v>
          </cell>
          <cell r="E6266">
            <v>8210</v>
          </cell>
          <cell r="F6266" t="str">
            <v>V501</v>
          </cell>
          <cell r="G6266" t="str">
            <v>Auto</v>
          </cell>
          <cell r="H6266">
            <v>311</v>
          </cell>
          <cell r="I6266">
            <v>8210</v>
          </cell>
          <cell r="J6266">
            <v>8220</v>
          </cell>
          <cell r="K6266" t="str">
            <v>V501</v>
          </cell>
        </row>
        <row r="6267">
          <cell r="A6267" t="str">
            <v>1RE1ARBP0DA02850</v>
          </cell>
          <cell r="B6267" t="str">
            <v>SMT</v>
          </cell>
          <cell r="C6267">
            <v>1</v>
          </cell>
          <cell r="D6267">
            <v>110</v>
          </cell>
        </row>
        <row r="6268">
          <cell r="A6268" t="str">
            <v>1RH1ARBPC1A03913</v>
          </cell>
          <cell r="B6268" t="str">
            <v>SMT</v>
          </cell>
          <cell r="C6268">
            <v>1</v>
          </cell>
          <cell r="D6268">
            <v>18</v>
          </cell>
          <cell r="E6268">
            <v>8210</v>
          </cell>
          <cell r="F6268" t="str">
            <v>V501</v>
          </cell>
          <cell r="G6268" t="str">
            <v>Auto</v>
          </cell>
          <cell r="H6268">
            <v>311</v>
          </cell>
          <cell r="I6268">
            <v>8210</v>
          </cell>
          <cell r="J6268">
            <v>8220</v>
          </cell>
          <cell r="K6268" t="str">
            <v>V501</v>
          </cell>
        </row>
        <row r="6269">
          <cell r="A6269" t="str">
            <v>1AE1ARBPC1A03913</v>
          </cell>
          <cell r="B6269" t="str">
            <v>SMT</v>
          </cell>
          <cell r="C6269">
            <v>1</v>
          </cell>
          <cell r="D6269">
            <v>7</v>
          </cell>
        </row>
        <row r="6270">
          <cell r="A6270" t="str">
            <v>1RE1ARBPC1A03913</v>
          </cell>
          <cell r="B6270" t="str">
            <v>SMT</v>
          </cell>
          <cell r="C6270">
            <v>1</v>
          </cell>
          <cell r="D6270">
            <v>151</v>
          </cell>
        </row>
        <row r="6271">
          <cell r="A6271" t="str">
            <v>1RH1ARBPC1A07170</v>
          </cell>
          <cell r="B6271" t="str">
            <v>SMT</v>
          </cell>
          <cell r="C6271">
            <v>1</v>
          </cell>
          <cell r="D6271">
            <v>13</v>
          </cell>
          <cell r="E6271">
            <v>8210</v>
          </cell>
          <cell r="F6271" t="str">
            <v>V501</v>
          </cell>
          <cell r="G6271" t="str">
            <v>Auto</v>
          </cell>
          <cell r="H6271">
            <v>311</v>
          </cell>
          <cell r="I6271">
            <v>8210</v>
          </cell>
          <cell r="J6271">
            <v>8220</v>
          </cell>
          <cell r="K6271" t="str">
            <v>V501</v>
          </cell>
        </row>
        <row r="6272">
          <cell r="A6272" t="str">
            <v>1AE1ARBPC1A07170</v>
          </cell>
          <cell r="B6272" t="str">
            <v>SMT</v>
          </cell>
          <cell r="C6272">
            <v>1</v>
          </cell>
          <cell r="D6272">
            <v>7</v>
          </cell>
        </row>
        <row r="6273">
          <cell r="A6273" t="str">
            <v>1RE1ARBPC1A07170</v>
          </cell>
          <cell r="B6273" t="str">
            <v>SMT</v>
          </cell>
          <cell r="C6273">
            <v>1</v>
          </cell>
          <cell r="D6273">
            <v>156</v>
          </cell>
        </row>
        <row r="6274">
          <cell r="A6274" t="str">
            <v>1RH1ARBPC1A08942</v>
          </cell>
          <cell r="B6274" t="str">
            <v>SMT</v>
          </cell>
          <cell r="C6274">
            <v>1</v>
          </cell>
          <cell r="D6274">
            <v>14</v>
          </cell>
          <cell r="E6274">
            <v>8210</v>
          </cell>
          <cell r="F6274" t="str">
            <v>V501</v>
          </cell>
          <cell r="G6274" t="str">
            <v>Auto</v>
          </cell>
          <cell r="H6274">
            <v>311</v>
          </cell>
          <cell r="I6274">
            <v>8210</v>
          </cell>
          <cell r="J6274">
            <v>8220</v>
          </cell>
          <cell r="K6274" t="str">
            <v>V501</v>
          </cell>
        </row>
        <row r="6275">
          <cell r="A6275" t="str">
            <v>1AE1ARBPC1A08942</v>
          </cell>
          <cell r="B6275" t="str">
            <v>SMT</v>
          </cell>
          <cell r="C6275">
            <v>1</v>
          </cell>
          <cell r="D6275">
            <v>5</v>
          </cell>
        </row>
        <row r="6276">
          <cell r="A6276" t="str">
            <v>1RE1ARBPC1A08942</v>
          </cell>
          <cell r="B6276" t="str">
            <v>SMT</v>
          </cell>
          <cell r="C6276">
            <v>1</v>
          </cell>
          <cell r="D6276">
            <v>149</v>
          </cell>
        </row>
        <row r="6277">
          <cell r="A6277" t="str">
            <v>1RH1ARBPC1A09003</v>
          </cell>
          <cell r="B6277" t="str">
            <v>SMT</v>
          </cell>
          <cell r="C6277">
            <v>1</v>
          </cell>
          <cell r="D6277">
            <v>16</v>
          </cell>
          <cell r="E6277">
            <v>8210</v>
          </cell>
          <cell r="F6277" t="str">
            <v>V501</v>
          </cell>
          <cell r="G6277" t="str">
            <v>Auto</v>
          </cell>
          <cell r="H6277">
            <v>311</v>
          </cell>
          <cell r="I6277">
            <v>8210</v>
          </cell>
          <cell r="J6277">
            <v>8220</v>
          </cell>
          <cell r="K6277" t="str">
            <v>V501</v>
          </cell>
        </row>
        <row r="6278">
          <cell r="A6278" t="str">
            <v>1AE1ARBPC1A09003</v>
          </cell>
          <cell r="B6278" t="str">
            <v>SMT</v>
          </cell>
          <cell r="C6278">
            <v>1</v>
          </cell>
          <cell r="D6278">
            <v>5</v>
          </cell>
        </row>
        <row r="6279">
          <cell r="A6279" t="str">
            <v>1RE1ARBPC1A09003</v>
          </cell>
          <cell r="B6279" t="str">
            <v>SMT</v>
          </cell>
          <cell r="C6279">
            <v>1</v>
          </cell>
          <cell r="D6279">
            <v>183</v>
          </cell>
        </row>
        <row r="6280">
          <cell r="A6280" t="str">
            <v>1RH1ARBPC1A09151</v>
          </cell>
          <cell r="B6280" t="str">
            <v>SMT</v>
          </cell>
          <cell r="C6280">
            <v>1</v>
          </cell>
          <cell r="D6280">
            <v>16</v>
          </cell>
          <cell r="E6280">
            <v>8210</v>
          </cell>
          <cell r="F6280" t="str">
            <v>V501</v>
          </cell>
          <cell r="G6280" t="str">
            <v>Auto</v>
          </cell>
          <cell r="H6280">
            <v>311</v>
          </cell>
          <cell r="I6280">
            <v>8210</v>
          </cell>
          <cell r="J6280">
            <v>8220</v>
          </cell>
          <cell r="K6280" t="str">
            <v>V501</v>
          </cell>
        </row>
        <row r="6281">
          <cell r="A6281" t="str">
            <v>1AE1ARBPC1A09151</v>
          </cell>
          <cell r="B6281" t="str">
            <v>SMT</v>
          </cell>
          <cell r="C6281">
            <v>1</v>
          </cell>
          <cell r="D6281">
            <v>6</v>
          </cell>
        </row>
        <row r="6282">
          <cell r="A6282" t="str">
            <v>1RE1ARBPC1A09151</v>
          </cell>
          <cell r="B6282" t="str">
            <v>SMT</v>
          </cell>
          <cell r="C6282">
            <v>1</v>
          </cell>
          <cell r="D6282">
            <v>171</v>
          </cell>
        </row>
        <row r="6283">
          <cell r="A6283" t="str">
            <v>1RH1ARBPC1A09173</v>
          </cell>
          <cell r="B6283" t="str">
            <v>SMT</v>
          </cell>
          <cell r="C6283">
            <v>1</v>
          </cell>
          <cell r="D6283">
            <v>16</v>
          </cell>
          <cell r="E6283">
            <v>8210</v>
          </cell>
          <cell r="F6283" t="str">
            <v>V501</v>
          </cell>
          <cell r="G6283" t="str">
            <v>Auto</v>
          </cell>
          <cell r="H6283">
            <v>311</v>
          </cell>
          <cell r="I6283">
            <v>8210</v>
          </cell>
          <cell r="J6283">
            <v>8220</v>
          </cell>
          <cell r="K6283" t="str">
            <v>V501</v>
          </cell>
        </row>
        <row r="6284">
          <cell r="A6284" t="str">
            <v>1AE1ARBPC1A09173</v>
          </cell>
          <cell r="B6284" t="str">
            <v>SMT</v>
          </cell>
          <cell r="C6284">
            <v>1</v>
          </cell>
          <cell r="D6284">
            <v>6</v>
          </cell>
        </row>
        <row r="6285">
          <cell r="A6285" t="str">
            <v>1RE1ARBPC1A09173</v>
          </cell>
          <cell r="B6285" t="str">
            <v>SMT</v>
          </cell>
          <cell r="C6285">
            <v>1</v>
          </cell>
          <cell r="D6285">
            <v>170</v>
          </cell>
        </row>
        <row r="6286">
          <cell r="A6286" t="str">
            <v>1RH1ARBPC1A09503</v>
          </cell>
          <cell r="B6286" t="str">
            <v>SMT</v>
          </cell>
          <cell r="C6286">
            <v>1</v>
          </cell>
          <cell r="D6286">
            <v>19</v>
          </cell>
          <cell r="E6286">
            <v>8210</v>
          </cell>
          <cell r="F6286" t="str">
            <v>V501</v>
          </cell>
          <cell r="G6286" t="str">
            <v>Auto</v>
          </cell>
          <cell r="H6286">
            <v>311</v>
          </cell>
          <cell r="I6286">
            <v>8210</v>
          </cell>
          <cell r="J6286">
            <v>8220</v>
          </cell>
          <cell r="K6286" t="str">
            <v>V501</v>
          </cell>
        </row>
        <row r="6287">
          <cell r="A6287" t="str">
            <v>1AE1ARBPC1A09503</v>
          </cell>
          <cell r="B6287" t="str">
            <v>SMT</v>
          </cell>
          <cell r="C6287">
            <v>1</v>
          </cell>
          <cell r="D6287">
            <v>8</v>
          </cell>
        </row>
        <row r="6288">
          <cell r="A6288" t="str">
            <v>1RE1ARBPC1A09503</v>
          </cell>
          <cell r="B6288" t="str">
            <v>SMT</v>
          </cell>
          <cell r="C6288">
            <v>1</v>
          </cell>
          <cell r="D6288">
            <v>177</v>
          </cell>
        </row>
        <row r="6289">
          <cell r="A6289" t="str">
            <v>1RH1ARBPC1A09831</v>
          </cell>
          <cell r="B6289" t="str">
            <v>SMT</v>
          </cell>
          <cell r="C6289">
            <v>1</v>
          </cell>
          <cell r="D6289">
            <v>16</v>
          </cell>
          <cell r="E6289">
            <v>8210</v>
          </cell>
          <cell r="F6289" t="str">
            <v>V501</v>
          </cell>
          <cell r="G6289" t="str">
            <v>Auto</v>
          </cell>
          <cell r="H6289">
            <v>311</v>
          </cell>
          <cell r="I6289">
            <v>8210</v>
          </cell>
          <cell r="J6289">
            <v>8220</v>
          </cell>
          <cell r="K6289" t="str">
            <v>V501</v>
          </cell>
        </row>
        <row r="6290">
          <cell r="A6290" t="str">
            <v>1AE1ARBPC1A09831</v>
          </cell>
          <cell r="B6290" t="str">
            <v>SMT</v>
          </cell>
          <cell r="C6290">
            <v>1</v>
          </cell>
          <cell r="D6290">
            <v>5</v>
          </cell>
        </row>
        <row r="6291">
          <cell r="A6291" t="str">
            <v>1RE1ARBPC1A09831</v>
          </cell>
          <cell r="B6291" t="str">
            <v>SMT</v>
          </cell>
          <cell r="C6291">
            <v>1</v>
          </cell>
          <cell r="D6291">
            <v>149</v>
          </cell>
        </row>
        <row r="6292">
          <cell r="A6292" t="str">
            <v>1RH1ARBPC1A09851</v>
          </cell>
          <cell r="B6292" t="str">
            <v>SMT</v>
          </cell>
          <cell r="C6292">
            <v>1</v>
          </cell>
          <cell r="D6292">
            <v>16</v>
          </cell>
          <cell r="E6292">
            <v>8210</v>
          </cell>
          <cell r="F6292" t="str">
            <v>V501</v>
          </cell>
          <cell r="G6292" t="str">
            <v>Auto</v>
          </cell>
          <cell r="H6292">
            <v>311</v>
          </cell>
          <cell r="I6292">
            <v>8210</v>
          </cell>
          <cell r="J6292">
            <v>8220</v>
          </cell>
          <cell r="K6292" t="str">
            <v>V501</v>
          </cell>
        </row>
        <row r="6293">
          <cell r="A6293" t="str">
            <v>1AE1ARBPC1A09851</v>
          </cell>
          <cell r="B6293" t="str">
            <v>SMT</v>
          </cell>
          <cell r="C6293">
            <v>1</v>
          </cell>
          <cell r="D6293">
            <v>5</v>
          </cell>
        </row>
        <row r="6294">
          <cell r="A6294" t="str">
            <v>1RE1ARBPC1A09851</v>
          </cell>
          <cell r="B6294" t="str">
            <v>SMT</v>
          </cell>
          <cell r="C6294">
            <v>1</v>
          </cell>
          <cell r="D6294">
            <v>149</v>
          </cell>
        </row>
        <row r="6295">
          <cell r="A6295" t="str">
            <v>1RH1ARBPC1A09893</v>
          </cell>
          <cell r="B6295" t="str">
            <v>SMT</v>
          </cell>
          <cell r="C6295">
            <v>1</v>
          </cell>
          <cell r="D6295">
            <v>16</v>
          </cell>
          <cell r="E6295">
            <v>8210</v>
          </cell>
          <cell r="F6295" t="str">
            <v>V501</v>
          </cell>
          <cell r="G6295" t="str">
            <v>Auto</v>
          </cell>
          <cell r="H6295">
            <v>311</v>
          </cell>
          <cell r="I6295">
            <v>8210</v>
          </cell>
          <cell r="J6295">
            <v>8220</v>
          </cell>
          <cell r="K6295" t="str">
            <v>V501</v>
          </cell>
        </row>
        <row r="6296">
          <cell r="A6296" t="str">
            <v>1AE1ARBPC1A09893</v>
          </cell>
          <cell r="B6296" t="str">
            <v>SMT</v>
          </cell>
          <cell r="C6296">
            <v>1</v>
          </cell>
          <cell r="D6296">
            <v>5</v>
          </cell>
        </row>
        <row r="6297">
          <cell r="A6297" t="str">
            <v>1RE1ARBPC1A09893</v>
          </cell>
          <cell r="B6297" t="str">
            <v>SMT</v>
          </cell>
          <cell r="C6297">
            <v>1</v>
          </cell>
          <cell r="D6297">
            <v>182</v>
          </cell>
        </row>
        <row r="6298">
          <cell r="A6298" t="str">
            <v>1RH1ARBPC1A09951</v>
          </cell>
          <cell r="B6298" t="str">
            <v>SMT</v>
          </cell>
          <cell r="C6298">
            <v>1</v>
          </cell>
          <cell r="D6298">
            <v>16</v>
          </cell>
          <cell r="E6298">
            <v>8210</v>
          </cell>
          <cell r="F6298" t="str">
            <v>V501</v>
          </cell>
          <cell r="G6298" t="str">
            <v>Auto</v>
          </cell>
          <cell r="H6298">
            <v>311</v>
          </cell>
          <cell r="I6298">
            <v>8210</v>
          </cell>
          <cell r="J6298">
            <v>8220</v>
          </cell>
          <cell r="K6298" t="str">
            <v>V501</v>
          </cell>
        </row>
        <row r="6299">
          <cell r="A6299" t="str">
            <v>1AE1ARBPC1A09951</v>
          </cell>
          <cell r="B6299" t="str">
            <v>SMT</v>
          </cell>
          <cell r="C6299">
            <v>1</v>
          </cell>
          <cell r="D6299">
            <v>5</v>
          </cell>
        </row>
        <row r="6300">
          <cell r="A6300" t="str">
            <v>1RE1ARBPC1A09951</v>
          </cell>
          <cell r="B6300" t="str">
            <v>SMT</v>
          </cell>
          <cell r="C6300">
            <v>1</v>
          </cell>
          <cell r="D6300">
            <v>149</v>
          </cell>
        </row>
        <row r="6301">
          <cell r="A6301" t="str">
            <v>1RH1ARBPC1A10013</v>
          </cell>
          <cell r="B6301" t="str">
            <v>SMT</v>
          </cell>
          <cell r="C6301">
            <v>1</v>
          </cell>
          <cell r="D6301">
            <v>17</v>
          </cell>
          <cell r="E6301">
            <v>8210</v>
          </cell>
          <cell r="F6301" t="str">
            <v>V501</v>
          </cell>
          <cell r="G6301" t="str">
            <v>Auto</v>
          </cell>
          <cell r="H6301">
            <v>311</v>
          </cell>
          <cell r="I6301">
            <v>8210</v>
          </cell>
          <cell r="J6301">
            <v>8220</v>
          </cell>
          <cell r="K6301" t="str">
            <v>V501</v>
          </cell>
        </row>
        <row r="6302">
          <cell r="A6302" t="str">
            <v>1AE1ARBPC1A10013</v>
          </cell>
          <cell r="B6302" t="str">
            <v>SMT</v>
          </cell>
          <cell r="C6302">
            <v>1</v>
          </cell>
          <cell r="D6302">
            <v>7</v>
          </cell>
        </row>
        <row r="6303">
          <cell r="A6303" t="str">
            <v>1RE1ARBPC1A10013</v>
          </cell>
          <cell r="B6303" t="str">
            <v>SMT</v>
          </cell>
          <cell r="C6303">
            <v>1</v>
          </cell>
          <cell r="D6303">
            <v>144</v>
          </cell>
        </row>
        <row r="6304">
          <cell r="A6304" t="str">
            <v>1RH1ARBPC1A10830</v>
          </cell>
          <cell r="B6304" t="str">
            <v>SMT</v>
          </cell>
          <cell r="C6304">
            <v>1</v>
          </cell>
          <cell r="D6304">
            <v>16</v>
          </cell>
          <cell r="E6304">
            <v>8210</v>
          </cell>
          <cell r="F6304" t="str">
            <v>V501</v>
          </cell>
          <cell r="G6304" t="str">
            <v>Auto</v>
          </cell>
          <cell r="H6304">
            <v>311</v>
          </cell>
          <cell r="I6304">
            <v>8210</v>
          </cell>
          <cell r="J6304">
            <v>8220</v>
          </cell>
          <cell r="K6304" t="str">
            <v>V501</v>
          </cell>
        </row>
        <row r="6305">
          <cell r="A6305" t="str">
            <v>1AE1ARBPC1A10830</v>
          </cell>
          <cell r="B6305" t="str">
            <v>SMT</v>
          </cell>
          <cell r="C6305">
            <v>1</v>
          </cell>
          <cell r="D6305">
            <v>6</v>
          </cell>
        </row>
        <row r="6306">
          <cell r="A6306" t="str">
            <v>1RE1ARBPC1A10830</v>
          </cell>
          <cell r="B6306" t="str">
            <v>SMT</v>
          </cell>
          <cell r="C6306">
            <v>1</v>
          </cell>
          <cell r="D6306">
            <v>172</v>
          </cell>
        </row>
        <row r="6307">
          <cell r="A6307" t="str">
            <v>1RH1ARBPC1A10910</v>
          </cell>
          <cell r="B6307" t="str">
            <v>SMT</v>
          </cell>
          <cell r="C6307">
            <v>1</v>
          </cell>
          <cell r="D6307">
            <v>16</v>
          </cell>
          <cell r="E6307">
            <v>8210</v>
          </cell>
          <cell r="F6307" t="str">
            <v>V501</v>
          </cell>
          <cell r="G6307" t="str">
            <v>Auto</v>
          </cell>
          <cell r="H6307">
            <v>311</v>
          </cell>
          <cell r="I6307">
            <v>8210</v>
          </cell>
          <cell r="J6307">
            <v>8220</v>
          </cell>
          <cell r="K6307" t="str">
            <v>V501</v>
          </cell>
        </row>
        <row r="6308">
          <cell r="A6308" t="str">
            <v>1AE1ARBPC1A10910</v>
          </cell>
          <cell r="B6308" t="str">
            <v>SMT</v>
          </cell>
          <cell r="C6308">
            <v>1</v>
          </cell>
          <cell r="D6308">
            <v>6</v>
          </cell>
        </row>
        <row r="6309">
          <cell r="A6309" t="str">
            <v>1RE1ARBPC1A10910</v>
          </cell>
          <cell r="B6309" t="str">
            <v>SMT</v>
          </cell>
          <cell r="C6309">
            <v>1</v>
          </cell>
          <cell r="D6309">
            <v>171</v>
          </cell>
        </row>
        <row r="6310">
          <cell r="A6310" t="str">
            <v>1RH1ARBPC1A11190</v>
          </cell>
          <cell r="B6310" t="str">
            <v>SMT</v>
          </cell>
          <cell r="C6310">
            <v>1</v>
          </cell>
          <cell r="D6310">
            <v>16</v>
          </cell>
          <cell r="E6310">
            <v>8210</v>
          </cell>
          <cell r="F6310" t="str">
            <v>V501</v>
          </cell>
          <cell r="G6310" t="str">
            <v>Auto</v>
          </cell>
          <cell r="H6310">
            <v>311</v>
          </cell>
          <cell r="I6310">
            <v>8210</v>
          </cell>
          <cell r="J6310">
            <v>8220</v>
          </cell>
          <cell r="K6310" t="str">
            <v>V501</v>
          </cell>
        </row>
        <row r="6311">
          <cell r="A6311" t="str">
            <v>1AE1ARBPC1A11190</v>
          </cell>
          <cell r="B6311" t="str">
            <v>SMT</v>
          </cell>
          <cell r="C6311">
            <v>1</v>
          </cell>
          <cell r="D6311">
            <v>6</v>
          </cell>
        </row>
        <row r="6312">
          <cell r="A6312" t="str">
            <v>1RE1ARBPC1A11190</v>
          </cell>
          <cell r="B6312" t="str">
            <v>SMT</v>
          </cell>
          <cell r="C6312">
            <v>1</v>
          </cell>
          <cell r="D6312">
            <v>171</v>
          </cell>
        </row>
        <row r="6313">
          <cell r="A6313" t="str">
            <v>1RH1ARBPC1A11230</v>
          </cell>
          <cell r="B6313" t="str">
            <v>SMT</v>
          </cell>
          <cell r="C6313">
            <v>1</v>
          </cell>
          <cell r="D6313">
            <v>16</v>
          </cell>
          <cell r="E6313">
            <v>8210</v>
          </cell>
          <cell r="F6313" t="str">
            <v>V501</v>
          </cell>
          <cell r="G6313" t="str">
            <v>Auto</v>
          </cell>
          <cell r="H6313">
            <v>311</v>
          </cell>
          <cell r="I6313">
            <v>8210</v>
          </cell>
          <cell r="J6313">
            <v>8220</v>
          </cell>
          <cell r="K6313" t="str">
            <v>V501</v>
          </cell>
        </row>
        <row r="6314">
          <cell r="A6314" t="str">
            <v>1AE1ARBPC1A11230</v>
          </cell>
          <cell r="B6314" t="str">
            <v>SMT</v>
          </cell>
          <cell r="C6314">
            <v>1</v>
          </cell>
          <cell r="D6314">
            <v>6</v>
          </cell>
        </row>
        <row r="6315">
          <cell r="A6315" t="str">
            <v>1RE1ARBPC1A11230</v>
          </cell>
          <cell r="B6315" t="str">
            <v>SMT</v>
          </cell>
          <cell r="C6315">
            <v>1</v>
          </cell>
          <cell r="D6315">
            <v>171</v>
          </cell>
        </row>
        <row r="6316">
          <cell r="A6316" t="str">
            <v>1RH1ARBPC1A11250</v>
          </cell>
          <cell r="B6316" t="str">
            <v>SMT</v>
          </cell>
          <cell r="C6316">
            <v>1</v>
          </cell>
          <cell r="D6316">
            <v>16</v>
          </cell>
          <cell r="E6316">
            <v>8210</v>
          </cell>
          <cell r="F6316" t="str">
            <v>V501</v>
          </cell>
          <cell r="G6316" t="str">
            <v>Auto</v>
          </cell>
          <cell r="H6316">
            <v>311</v>
          </cell>
          <cell r="I6316">
            <v>8210</v>
          </cell>
          <cell r="J6316">
            <v>8220</v>
          </cell>
          <cell r="K6316" t="str">
            <v>V501</v>
          </cell>
        </row>
        <row r="6317">
          <cell r="A6317" t="str">
            <v>1AE1ARBPC1A11250</v>
          </cell>
          <cell r="B6317" t="str">
            <v>SMT</v>
          </cell>
          <cell r="C6317">
            <v>1</v>
          </cell>
          <cell r="D6317">
            <v>6</v>
          </cell>
        </row>
        <row r="6318">
          <cell r="A6318" t="str">
            <v>1RE1ARBPC1A11250</v>
          </cell>
          <cell r="B6318" t="str">
            <v>SMT</v>
          </cell>
          <cell r="C6318">
            <v>1</v>
          </cell>
          <cell r="D6318">
            <v>171</v>
          </cell>
        </row>
        <row r="6319">
          <cell r="A6319" t="str">
            <v>1RH1ARBPC1A11390</v>
          </cell>
          <cell r="B6319" t="str">
            <v>SMT</v>
          </cell>
          <cell r="C6319">
            <v>1</v>
          </cell>
          <cell r="D6319">
            <v>16</v>
          </cell>
          <cell r="E6319">
            <v>8210</v>
          </cell>
          <cell r="F6319" t="str">
            <v>V501</v>
          </cell>
          <cell r="G6319" t="str">
            <v>Auto</v>
          </cell>
          <cell r="H6319">
            <v>311</v>
          </cell>
          <cell r="I6319">
            <v>8210</v>
          </cell>
          <cell r="J6319">
            <v>8220</v>
          </cell>
          <cell r="K6319" t="str">
            <v>V501</v>
          </cell>
        </row>
        <row r="6320">
          <cell r="A6320" t="str">
            <v>1AE1ARBPC1A11390</v>
          </cell>
          <cell r="B6320" t="str">
            <v>SMT</v>
          </cell>
          <cell r="C6320">
            <v>1</v>
          </cell>
          <cell r="D6320">
            <v>6</v>
          </cell>
        </row>
        <row r="6321">
          <cell r="A6321" t="str">
            <v>1RE1ARBPC1A11390</v>
          </cell>
          <cell r="B6321" t="str">
            <v>SMT</v>
          </cell>
          <cell r="C6321">
            <v>1</v>
          </cell>
          <cell r="D6321">
            <v>171</v>
          </cell>
        </row>
        <row r="6322">
          <cell r="A6322" t="str">
            <v>1RH1ARBPC1A11400</v>
          </cell>
          <cell r="B6322" t="str">
            <v>SMT</v>
          </cell>
          <cell r="C6322">
            <v>1</v>
          </cell>
          <cell r="D6322">
            <v>16</v>
          </cell>
          <cell r="E6322">
            <v>8210</v>
          </cell>
          <cell r="F6322" t="str">
            <v>V501</v>
          </cell>
          <cell r="G6322" t="str">
            <v>Auto</v>
          </cell>
          <cell r="H6322">
            <v>311</v>
          </cell>
          <cell r="I6322">
            <v>8210</v>
          </cell>
          <cell r="J6322">
            <v>8220</v>
          </cell>
          <cell r="K6322" t="str">
            <v>V501</v>
          </cell>
        </row>
        <row r="6323">
          <cell r="A6323" t="str">
            <v>1AE1ARBPC1A11400</v>
          </cell>
          <cell r="B6323" t="str">
            <v>SMT</v>
          </cell>
          <cell r="C6323">
            <v>1</v>
          </cell>
          <cell r="D6323">
            <v>6</v>
          </cell>
        </row>
        <row r="6324">
          <cell r="A6324" t="str">
            <v>1RE1ARBPC1A11400</v>
          </cell>
          <cell r="B6324" t="str">
            <v>SMT</v>
          </cell>
          <cell r="C6324">
            <v>1</v>
          </cell>
          <cell r="D6324">
            <v>171</v>
          </cell>
        </row>
        <row r="6325">
          <cell r="A6325" t="str">
            <v>1RH1ARBPC1A11410</v>
          </cell>
          <cell r="B6325" t="str">
            <v>SMT</v>
          </cell>
          <cell r="C6325">
            <v>1</v>
          </cell>
          <cell r="D6325">
            <v>16</v>
          </cell>
          <cell r="E6325">
            <v>8210</v>
          </cell>
          <cell r="F6325" t="str">
            <v>V501</v>
          </cell>
          <cell r="G6325" t="str">
            <v>Auto</v>
          </cell>
          <cell r="H6325">
            <v>311</v>
          </cell>
          <cell r="I6325">
            <v>8210</v>
          </cell>
          <cell r="J6325">
            <v>8220</v>
          </cell>
          <cell r="K6325" t="str">
            <v>V501</v>
          </cell>
        </row>
        <row r="6326">
          <cell r="A6326" t="str">
            <v>1AE1ARBPC1A11410</v>
          </cell>
          <cell r="B6326" t="str">
            <v>SMT</v>
          </cell>
          <cell r="C6326">
            <v>1</v>
          </cell>
          <cell r="D6326">
            <v>6</v>
          </cell>
        </row>
        <row r="6327">
          <cell r="A6327" t="str">
            <v>1RE1ARBPC1A11410</v>
          </cell>
          <cell r="B6327" t="str">
            <v>SMT</v>
          </cell>
          <cell r="C6327">
            <v>1</v>
          </cell>
          <cell r="D6327">
            <v>171</v>
          </cell>
        </row>
        <row r="6328">
          <cell r="A6328" t="str">
            <v>1RH1ARBPC1A11460</v>
          </cell>
          <cell r="B6328" t="str">
            <v>SMT</v>
          </cell>
          <cell r="C6328">
            <v>1</v>
          </cell>
          <cell r="D6328">
            <v>19</v>
          </cell>
          <cell r="E6328">
            <v>8210</v>
          </cell>
          <cell r="F6328" t="str">
            <v>V501</v>
          </cell>
          <cell r="G6328" t="str">
            <v>Auto</v>
          </cell>
          <cell r="H6328">
            <v>311</v>
          </cell>
          <cell r="I6328">
            <v>8210</v>
          </cell>
          <cell r="J6328">
            <v>8220</v>
          </cell>
          <cell r="K6328" t="str">
            <v>V501</v>
          </cell>
        </row>
        <row r="6329">
          <cell r="A6329" t="str">
            <v>1AE1ARBPC1A11460</v>
          </cell>
          <cell r="B6329" t="str">
            <v>SMT</v>
          </cell>
          <cell r="C6329">
            <v>1</v>
          </cell>
          <cell r="D6329">
            <v>8</v>
          </cell>
        </row>
        <row r="6330">
          <cell r="A6330" t="str">
            <v>1RE1ARBPC1A11460</v>
          </cell>
          <cell r="B6330" t="str">
            <v>SMT</v>
          </cell>
          <cell r="C6330">
            <v>1</v>
          </cell>
          <cell r="D6330">
            <v>178</v>
          </cell>
        </row>
        <row r="6331">
          <cell r="A6331" t="str">
            <v>1RH1ARBPC1A11462</v>
          </cell>
          <cell r="B6331" t="str">
            <v>SMT</v>
          </cell>
          <cell r="C6331">
            <v>1</v>
          </cell>
          <cell r="D6331">
            <v>17</v>
          </cell>
          <cell r="E6331">
            <v>8210</v>
          </cell>
          <cell r="F6331" t="str">
            <v>V501</v>
          </cell>
          <cell r="G6331" t="str">
            <v>Auto</v>
          </cell>
          <cell r="H6331">
            <v>311</v>
          </cell>
          <cell r="I6331">
            <v>8210</v>
          </cell>
          <cell r="J6331">
            <v>8220</v>
          </cell>
          <cell r="K6331" t="str">
            <v>V501</v>
          </cell>
        </row>
        <row r="6332">
          <cell r="A6332" t="str">
            <v>1AE1ARBPC1A11462</v>
          </cell>
          <cell r="B6332" t="str">
            <v>SMT</v>
          </cell>
          <cell r="C6332">
            <v>1</v>
          </cell>
          <cell r="D6332">
            <v>8</v>
          </cell>
        </row>
        <row r="6333">
          <cell r="A6333" t="str">
            <v>1RE1ARBPC1A11462</v>
          </cell>
          <cell r="B6333" t="str">
            <v>SMT</v>
          </cell>
          <cell r="C6333">
            <v>1</v>
          </cell>
          <cell r="D6333">
            <v>166</v>
          </cell>
        </row>
        <row r="6334">
          <cell r="A6334" t="str">
            <v>1RH1ARBPC1A11790</v>
          </cell>
          <cell r="B6334" t="str">
            <v>SMT</v>
          </cell>
          <cell r="C6334">
            <v>1</v>
          </cell>
          <cell r="D6334">
            <v>17</v>
          </cell>
          <cell r="E6334">
            <v>8210</v>
          </cell>
          <cell r="F6334" t="str">
            <v>V501</v>
          </cell>
          <cell r="G6334" t="str">
            <v>Auto</v>
          </cell>
          <cell r="H6334">
            <v>311</v>
          </cell>
          <cell r="I6334">
            <v>8210</v>
          </cell>
          <cell r="J6334">
            <v>8220</v>
          </cell>
          <cell r="K6334" t="str">
            <v>V501</v>
          </cell>
        </row>
        <row r="6335">
          <cell r="A6335" t="str">
            <v>1AE1ARBPC1A11790</v>
          </cell>
          <cell r="B6335" t="str">
            <v>SMT</v>
          </cell>
          <cell r="C6335">
            <v>1</v>
          </cell>
          <cell r="D6335">
            <v>7</v>
          </cell>
        </row>
        <row r="6336">
          <cell r="A6336" t="str">
            <v>1RE1ARBPC1A11790</v>
          </cell>
          <cell r="B6336" t="str">
            <v>SMT</v>
          </cell>
          <cell r="C6336">
            <v>1</v>
          </cell>
          <cell r="D6336">
            <v>145</v>
          </cell>
        </row>
        <row r="6337">
          <cell r="A6337" t="str">
            <v>1RH1ARBPC1A11791</v>
          </cell>
          <cell r="B6337" t="str">
            <v>SMT</v>
          </cell>
          <cell r="C6337">
            <v>1</v>
          </cell>
          <cell r="D6337">
            <v>17</v>
          </cell>
          <cell r="E6337">
            <v>8210</v>
          </cell>
          <cell r="F6337" t="str">
            <v>V501</v>
          </cell>
          <cell r="G6337" t="str">
            <v>Auto</v>
          </cell>
          <cell r="H6337">
            <v>311</v>
          </cell>
          <cell r="I6337">
            <v>8210</v>
          </cell>
          <cell r="J6337">
            <v>8220</v>
          </cell>
          <cell r="K6337" t="str">
            <v>V501</v>
          </cell>
        </row>
        <row r="6338">
          <cell r="A6338" t="str">
            <v>1AE1ARBPC1A11791</v>
          </cell>
          <cell r="B6338" t="str">
            <v>SMT</v>
          </cell>
          <cell r="C6338">
            <v>1</v>
          </cell>
          <cell r="D6338">
            <v>7</v>
          </cell>
        </row>
        <row r="6339">
          <cell r="A6339" t="str">
            <v>1RE1ARBPC1A11791</v>
          </cell>
          <cell r="B6339" t="str">
            <v>SMT</v>
          </cell>
          <cell r="C6339">
            <v>1</v>
          </cell>
          <cell r="D6339">
            <v>144</v>
          </cell>
        </row>
        <row r="6340">
          <cell r="A6340" t="str">
            <v>1RH1ARBPC1A12350</v>
          </cell>
          <cell r="B6340" t="str">
            <v>SMT</v>
          </cell>
          <cell r="C6340">
            <v>1</v>
          </cell>
          <cell r="D6340">
            <v>18</v>
          </cell>
          <cell r="E6340">
            <v>8210</v>
          </cell>
          <cell r="F6340" t="str">
            <v>V501</v>
          </cell>
          <cell r="G6340" t="str">
            <v>Auto</v>
          </cell>
          <cell r="H6340">
            <v>311</v>
          </cell>
          <cell r="I6340">
            <v>8210</v>
          </cell>
          <cell r="J6340">
            <v>8220</v>
          </cell>
          <cell r="K6340" t="str">
            <v>V501</v>
          </cell>
        </row>
        <row r="6341">
          <cell r="A6341" t="str">
            <v>1AE1ARBPC1A12350</v>
          </cell>
          <cell r="B6341" t="str">
            <v>SMT</v>
          </cell>
          <cell r="C6341">
            <v>1</v>
          </cell>
          <cell r="D6341">
            <v>6</v>
          </cell>
        </row>
        <row r="6342">
          <cell r="A6342" t="str">
            <v>1RE1ARBPC1A12350</v>
          </cell>
          <cell r="B6342" t="str">
            <v>SMT</v>
          </cell>
          <cell r="C6342">
            <v>1</v>
          </cell>
          <cell r="D6342">
            <v>171</v>
          </cell>
        </row>
        <row r="6343">
          <cell r="A6343" t="str">
            <v>1RH1ARBPC1A12620</v>
          </cell>
          <cell r="B6343" t="str">
            <v>SMT</v>
          </cell>
          <cell r="C6343">
            <v>1</v>
          </cell>
          <cell r="D6343">
            <v>18</v>
          </cell>
          <cell r="E6343">
            <v>8210</v>
          </cell>
          <cell r="F6343" t="str">
            <v>V501</v>
          </cell>
          <cell r="G6343" t="str">
            <v>Auto</v>
          </cell>
          <cell r="H6343">
            <v>311</v>
          </cell>
          <cell r="I6343">
            <v>8210</v>
          </cell>
          <cell r="J6343">
            <v>8220</v>
          </cell>
          <cell r="K6343" t="str">
            <v>V501</v>
          </cell>
        </row>
        <row r="6344">
          <cell r="A6344" t="str">
            <v>1AE1ARBPC1A12620</v>
          </cell>
          <cell r="B6344" t="str">
            <v>SMT</v>
          </cell>
          <cell r="C6344">
            <v>1</v>
          </cell>
          <cell r="D6344">
            <v>6</v>
          </cell>
        </row>
        <row r="6345">
          <cell r="A6345" t="str">
            <v>1RE1ARBPC1A12620</v>
          </cell>
          <cell r="B6345" t="str">
            <v>SMT</v>
          </cell>
          <cell r="C6345">
            <v>1</v>
          </cell>
          <cell r="D6345">
            <v>169</v>
          </cell>
        </row>
        <row r="6346">
          <cell r="A6346" t="str">
            <v>1RH1ARBPLLA00341</v>
          </cell>
          <cell r="B6346" t="str">
            <v>SMT</v>
          </cell>
          <cell r="C6346">
            <v>1</v>
          </cell>
          <cell r="D6346">
            <v>2</v>
          </cell>
          <cell r="E6346">
            <v>8210</v>
          </cell>
          <cell r="F6346" t="str">
            <v>V501</v>
          </cell>
          <cell r="G6346" t="str">
            <v>Auto</v>
          </cell>
          <cell r="H6346">
            <v>311</v>
          </cell>
          <cell r="I6346">
            <v>8210</v>
          </cell>
          <cell r="J6346">
            <v>8220</v>
          </cell>
          <cell r="K6346" t="str">
            <v>V501</v>
          </cell>
        </row>
        <row r="6347">
          <cell r="A6347" t="str">
            <v>1AE1ARBPLLA00341</v>
          </cell>
          <cell r="B6347" t="str">
            <v>SMT</v>
          </cell>
          <cell r="C6347">
            <v>1</v>
          </cell>
          <cell r="D6347">
            <v>2</v>
          </cell>
        </row>
        <row r="6348">
          <cell r="A6348" t="str">
            <v>1RH1RBPC1A09150</v>
          </cell>
          <cell r="B6348" t="str">
            <v>SMT</v>
          </cell>
          <cell r="C6348">
            <v>1</v>
          </cell>
          <cell r="D6348">
            <v>16</v>
          </cell>
          <cell r="E6348">
            <v>8210</v>
          </cell>
          <cell r="F6348" t="str">
            <v>V501</v>
          </cell>
          <cell r="G6348" t="str">
            <v>Auto</v>
          </cell>
          <cell r="H6348">
            <v>311</v>
          </cell>
          <cell r="I6348">
            <v>8210</v>
          </cell>
          <cell r="J6348">
            <v>8220</v>
          </cell>
          <cell r="K6348" t="str">
            <v>V501</v>
          </cell>
        </row>
        <row r="6349">
          <cell r="A6349" t="str">
            <v>1AE1RBPC1A09150</v>
          </cell>
          <cell r="B6349" t="str">
            <v>SMT</v>
          </cell>
          <cell r="C6349">
            <v>1</v>
          </cell>
          <cell r="D6349">
            <v>6</v>
          </cell>
        </row>
        <row r="6350">
          <cell r="A6350" t="str">
            <v>1RE1RBPC1A09150</v>
          </cell>
          <cell r="B6350" t="str">
            <v>SMT</v>
          </cell>
          <cell r="C6350">
            <v>1</v>
          </cell>
          <cell r="D6350">
            <v>170</v>
          </cell>
        </row>
        <row r="6351">
          <cell r="A6351" t="str">
            <v>H6575-ST001</v>
          </cell>
          <cell r="B6351" t="str">
            <v>SMT</v>
          </cell>
          <cell r="C6351">
            <v>1</v>
          </cell>
        </row>
        <row r="6352">
          <cell r="A6352" t="str">
            <v>1VJ1H685Q-ST001</v>
          </cell>
          <cell r="B6352" t="str">
            <v>SMT</v>
          </cell>
          <cell r="C6352">
            <v>1</v>
          </cell>
        </row>
        <row r="6353">
          <cell r="A6353" t="str">
            <v>1VJ2H685Q-ST001</v>
          </cell>
          <cell r="B6353" t="str">
            <v>SMT</v>
          </cell>
          <cell r="C6353">
            <v>1</v>
          </cell>
        </row>
        <row r="6354">
          <cell r="A6354" t="str">
            <v>1VJ3H685Q-ST001</v>
          </cell>
          <cell r="B6354" t="str">
            <v>SMT</v>
          </cell>
          <cell r="C6354">
            <v>1</v>
          </cell>
        </row>
        <row r="6355">
          <cell r="A6355" t="str">
            <v>1RE1H685Q-ST001</v>
          </cell>
          <cell r="B6355" t="str">
            <v>SMT</v>
          </cell>
          <cell r="C6355">
            <v>1</v>
          </cell>
          <cell r="D6355" t="e">
            <v>#N/A</v>
          </cell>
        </row>
        <row r="6356">
          <cell r="A6356" t="str">
            <v>1RE2H685Q-ST001</v>
          </cell>
          <cell r="B6356" t="str">
            <v>SMT</v>
          </cell>
          <cell r="C6356">
            <v>1</v>
          </cell>
          <cell r="D6356" t="e">
            <v>#N/A</v>
          </cell>
          <cell r="E6356">
            <v>6210</v>
          </cell>
          <cell r="F6356" t="str">
            <v>VG01</v>
          </cell>
          <cell r="G6356" t="str">
            <v>Auto</v>
          </cell>
          <cell r="H6356">
            <v>311</v>
          </cell>
          <cell r="I6356">
            <v>6210</v>
          </cell>
          <cell r="J6356">
            <v>6220</v>
          </cell>
          <cell r="K6356" t="str">
            <v>VG01</v>
          </cell>
        </row>
        <row r="6357">
          <cell r="A6357" t="str">
            <v>1CM1H603L3K21BP</v>
          </cell>
          <cell r="B6357" t="str">
            <v>SMT</v>
          </cell>
          <cell r="C6357">
            <v>1</v>
          </cell>
          <cell r="D6357">
            <v>430</v>
          </cell>
          <cell r="E6357">
            <v>6210</v>
          </cell>
          <cell r="F6357" t="str">
            <v>VG01</v>
          </cell>
          <cell r="G6357" t="str">
            <v>Auto</v>
          </cell>
          <cell r="H6357">
            <v>311</v>
          </cell>
          <cell r="I6357">
            <v>6210</v>
          </cell>
          <cell r="J6357">
            <v>6220</v>
          </cell>
          <cell r="K6357" t="str">
            <v>VG01</v>
          </cell>
        </row>
        <row r="6358">
          <cell r="A6358" t="str">
            <v>1RH1H603L3K21BP</v>
          </cell>
          <cell r="B6358" t="str">
            <v>SMT</v>
          </cell>
          <cell r="C6358">
            <v>1</v>
          </cell>
          <cell r="D6358">
            <v>36</v>
          </cell>
        </row>
        <row r="6359">
          <cell r="A6359" t="str">
            <v>1TE1H603L3K21BP</v>
          </cell>
          <cell r="B6359" t="str">
            <v>SMT</v>
          </cell>
          <cell r="C6359">
            <v>1</v>
          </cell>
          <cell r="D6359">
            <v>1</v>
          </cell>
        </row>
        <row r="6360">
          <cell r="A6360" t="str">
            <v>1AE1H603L3K21BP</v>
          </cell>
          <cell r="B6360" t="str">
            <v>SMT</v>
          </cell>
          <cell r="C6360">
            <v>1</v>
          </cell>
          <cell r="D6360">
            <v>150</v>
          </cell>
        </row>
        <row r="6361">
          <cell r="A6361" t="str">
            <v>1HT1H603L3K21BP</v>
          </cell>
          <cell r="B6361" t="str">
            <v>SMT</v>
          </cell>
          <cell r="C6361">
            <v>1</v>
          </cell>
          <cell r="D6361">
            <v>19</v>
          </cell>
        </row>
        <row r="6362">
          <cell r="A6362" t="str">
            <v>1CM1A603L3G81RP</v>
          </cell>
          <cell r="B6362" t="str">
            <v>SMT</v>
          </cell>
          <cell r="C6362">
            <v>1</v>
          </cell>
          <cell r="D6362">
            <v>328</v>
          </cell>
          <cell r="E6362">
            <v>6210</v>
          </cell>
          <cell r="F6362" t="str">
            <v>VG01</v>
          </cell>
          <cell r="G6362" t="str">
            <v>Auto</v>
          </cell>
          <cell r="H6362">
            <v>311</v>
          </cell>
          <cell r="I6362">
            <v>6210</v>
          </cell>
          <cell r="J6362">
            <v>6220</v>
          </cell>
          <cell r="K6362" t="str">
            <v>VG01</v>
          </cell>
        </row>
        <row r="6363">
          <cell r="A6363" t="str">
            <v>1RH1A603L3G81RP</v>
          </cell>
          <cell r="B6363" t="str">
            <v>SMT</v>
          </cell>
          <cell r="C6363">
            <v>1</v>
          </cell>
          <cell r="D6363">
            <v>15</v>
          </cell>
        </row>
        <row r="6364">
          <cell r="A6364" t="str">
            <v>1TE1A603L3G81RP</v>
          </cell>
          <cell r="B6364" t="str">
            <v>SMT</v>
          </cell>
          <cell r="C6364">
            <v>1</v>
          </cell>
          <cell r="D6364">
            <v>3</v>
          </cell>
        </row>
        <row r="6365">
          <cell r="A6365" t="str">
            <v>1AE1A603L3G81RP</v>
          </cell>
          <cell r="B6365" t="str">
            <v>SMT</v>
          </cell>
          <cell r="C6365">
            <v>1</v>
          </cell>
          <cell r="D6365">
            <v>133</v>
          </cell>
        </row>
        <row r="6366">
          <cell r="A6366" t="str">
            <v>1HT1A603L3G81RP</v>
          </cell>
          <cell r="B6366" t="str">
            <v>SMT</v>
          </cell>
          <cell r="C6366">
            <v>1</v>
          </cell>
          <cell r="D6366">
            <v>18</v>
          </cell>
        </row>
        <row r="6367">
          <cell r="A6367" t="str">
            <v>1AE1ARBPC1A12360</v>
          </cell>
          <cell r="B6367" t="str">
            <v>SMT</v>
          </cell>
          <cell r="C6367">
            <v>1</v>
          </cell>
          <cell r="D6367">
            <v>3</v>
          </cell>
        </row>
        <row r="6368">
          <cell r="A6368" t="str">
            <v>1AE1ARBPC1A12370</v>
          </cell>
          <cell r="B6368" t="str">
            <v>SMT</v>
          </cell>
          <cell r="C6368">
            <v>1</v>
          </cell>
          <cell r="D6368">
            <v>3</v>
          </cell>
        </row>
        <row r="6369">
          <cell r="A6369" t="str">
            <v>1AE1ARBPC1A12400</v>
          </cell>
          <cell r="B6369" t="str">
            <v>SMT</v>
          </cell>
          <cell r="C6369">
            <v>1</v>
          </cell>
          <cell r="D6369">
            <v>56</v>
          </cell>
        </row>
        <row r="6370">
          <cell r="A6370" t="str">
            <v>1AE1ARBPC1A12410</v>
          </cell>
          <cell r="B6370" t="str">
            <v>SMT</v>
          </cell>
          <cell r="C6370">
            <v>1</v>
          </cell>
          <cell r="D6370">
            <v>56</v>
          </cell>
        </row>
        <row r="6371">
          <cell r="A6371" t="str">
            <v>1AE1ARBPC1A12420</v>
          </cell>
          <cell r="B6371" t="str">
            <v>SMT</v>
          </cell>
          <cell r="C6371">
            <v>1</v>
          </cell>
          <cell r="D6371">
            <v>56</v>
          </cell>
        </row>
        <row r="6372">
          <cell r="A6372" t="str">
            <v>1AE1ARBPC1A12590</v>
          </cell>
          <cell r="B6372" t="str">
            <v>SMT</v>
          </cell>
          <cell r="C6372">
            <v>1</v>
          </cell>
          <cell r="D6372">
            <v>42</v>
          </cell>
        </row>
        <row r="6373">
          <cell r="A6373" t="str">
            <v>1AE1ARBPC1A12630</v>
          </cell>
          <cell r="B6373" t="str">
            <v>SMT</v>
          </cell>
          <cell r="C6373">
            <v>1</v>
          </cell>
          <cell r="D6373">
            <v>7</v>
          </cell>
        </row>
        <row r="6374">
          <cell r="A6374" t="str">
            <v>1AE1ARBPC1A12630T4</v>
          </cell>
          <cell r="B6374" t="str">
            <v>SMT</v>
          </cell>
          <cell r="C6374">
            <v>1</v>
          </cell>
          <cell r="D6374">
            <v>7</v>
          </cell>
        </row>
        <row r="6375">
          <cell r="A6375" t="str">
            <v>1AE1ARBPC1A12750</v>
          </cell>
          <cell r="B6375" t="str">
            <v>SMT</v>
          </cell>
          <cell r="C6375">
            <v>1</v>
          </cell>
          <cell r="D6375">
            <v>5</v>
          </cell>
        </row>
        <row r="6376">
          <cell r="A6376" t="str">
            <v>1AE1ARBPC1A12751</v>
          </cell>
          <cell r="B6376" t="str">
            <v>SMT</v>
          </cell>
          <cell r="C6376">
            <v>1</v>
          </cell>
          <cell r="D6376">
            <v>6</v>
          </cell>
        </row>
        <row r="6377">
          <cell r="A6377" t="str">
            <v>1AE1ARBPC1A12910</v>
          </cell>
          <cell r="B6377" t="str">
            <v>SMT</v>
          </cell>
          <cell r="C6377">
            <v>1</v>
          </cell>
          <cell r="D6377">
            <v>5</v>
          </cell>
        </row>
        <row r="6378">
          <cell r="A6378" t="str">
            <v>1AE1BP01A00421-TH1</v>
          </cell>
          <cell r="B6378" t="str">
            <v>SMT</v>
          </cell>
          <cell r="C6378">
            <v>1</v>
          </cell>
          <cell r="D6378">
            <v>13</v>
          </cell>
        </row>
        <row r="6379">
          <cell r="A6379" t="str">
            <v>1AE1BP01A00421-TW1</v>
          </cell>
          <cell r="B6379" t="str">
            <v>SMT</v>
          </cell>
          <cell r="C6379">
            <v>1</v>
          </cell>
          <cell r="D6379">
            <v>13</v>
          </cell>
        </row>
        <row r="6380">
          <cell r="A6380" t="str">
            <v>1CM1ARBPB2A00090</v>
          </cell>
          <cell r="B6380" t="str">
            <v>SMT</v>
          </cell>
          <cell r="C6380">
            <v>1</v>
          </cell>
          <cell r="D6380">
            <v>4</v>
          </cell>
          <cell r="E6380">
            <v>8210</v>
          </cell>
          <cell r="F6380" t="str">
            <v>V501</v>
          </cell>
          <cell r="G6380" t="str">
            <v>Auto</v>
          </cell>
          <cell r="H6380">
            <v>311</v>
          </cell>
          <cell r="I6380">
            <v>8210</v>
          </cell>
          <cell r="J6380">
            <v>8220</v>
          </cell>
          <cell r="K6380" t="str">
            <v>V501</v>
          </cell>
        </row>
        <row r="6381">
          <cell r="A6381" t="str">
            <v>1CM1ARBPC1A12360</v>
          </cell>
          <cell r="B6381" t="str">
            <v>SMT</v>
          </cell>
          <cell r="C6381">
            <v>1</v>
          </cell>
          <cell r="D6381">
            <v>83</v>
          </cell>
          <cell r="E6381">
            <v>8210</v>
          </cell>
          <cell r="F6381" t="str">
            <v>V501</v>
          </cell>
          <cell r="G6381" t="str">
            <v>Auto</v>
          </cell>
          <cell r="H6381">
            <v>311</v>
          </cell>
          <cell r="I6381">
            <v>8210</v>
          </cell>
          <cell r="J6381">
            <v>8220</v>
          </cell>
          <cell r="K6381" t="str">
            <v>V501</v>
          </cell>
        </row>
        <row r="6382">
          <cell r="A6382" t="str">
            <v>1CM1ARBPC1A12370</v>
          </cell>
          <cell r="B6382" t="str">
            <v>SMT</v>
          </cell>
          <cell r="C6382">
            <v>1</v>
          </cell>
          <cell r="D6382">
            <v>92</v>
          </cell>
          <cell r="E6382">
            <v>8210</v>
          </cell>
          <cell r="F6382" t="str">
            <v>V501</v>
          </cell>
          <cell r="G6382" t="str">
            <v>Auto</v>
          </cell>
          <cell r="H6382">
            <v>311</v>
          </cell>
          <cell r="I6382">
            <v>8210</v>
          </cell>
          <cell r="J6382">
            <v>8220</v>
          </cell>
          <cell r="K6382" t="str">
            <v>V501</v>
          </cell>
        </row>
        <row r="6383">
          <cell r="A6383" t="str">
            <v>1CM1ARBPC1A12400</v>
          </cell>
          <cell r="B6383" t="str">
            <v>SMT</v>
          </cell>
          <cell r="C6383">
            <v>1</v>
          </cell>
          <cell r="D6383">
            <v>271</v>
          </cell>
          <cell r="E6383">
            <v>8210</v>
          </cell>
          <cell r="F6383" t="str">
            <v>V501</v>
          </cell>
          <cell r="G6383" t="str">
            <v>Auto</v>
          </cell>
          <cell r="H6383">
            <v>311</v>
          </cell>
          <cell r="I6383">
            <v>8210</v>
          </cell>
          <cell r="J6383">
            <v>8220</v>
          </cell>
          <cell r="K6383" t="str">
            <v>V501</v>
          </cell>
        </row>
        <row r="6384">
          <cell r="A6384" t="str">
            <v>1CM1ARBPC1A12410</v>
          </cell>
          <cell r="B6384" t="str">
            <v>SMT</v>
          </cell>
          <cell r="C6384">
            <v>1</v>
          </cell>
          <cell r="D6384">
            <v>272</v>
          </cell>
          <cell r="E6384">
            <v>8210</v>
          </cell>
          <cell r="F6384" t="str">
            <v>V501</v>
          </cell>
          <cell r="G6384" t="str">
            <v>Auto</v>
          </cell>
          <cell r="H6384">
            <v>311</v>
          </cell>
          <cell r="I6384">
            <v>8210</v>
          </cell>
          <cell r="J6384">
            <v>8220</v>
          </cell>
          <cell r="K6384" t="str">
            <v>V501</v>
          </cell>
        </row>
        <row r="6385">
          <cell r="A6385" t="str">
            <v>1CM1ARBPC1A12420</v>
          </cell>
          <cell r="B6385" t="str">
            <v>SMT</v>
          </cell>
          <cell r="C6385">
            <v>1</v>
          </cell>
          <cell r="D6385">
            <v>269</v>
          </cell>
          <cell r="E6385">
            <v>8210</v>
          </cell>
          <cell r="F6385" t="str">
            <v>V501</v>
          </cell>
          <cell r="G6385" t="str">
            <v>Auto</v>
          </cell>
          <cell r="H6385">
            <v>311</v>
          </cell>
          <cell r="I6385">
            <v>8210</v>
          </cell>
          <cell r="J6385">
            <v>8220</v>
          </cell>
          <cell r="K6385" t="str">
            <v>V501</v>
          </cell>
        </row>
        <row r="6386">
          <cell r="A6386" t="str">
            <v>1CM1ARBPC1A12590</v>
          </cell>
          <cell r="B6386" t="str">
            <v>SMT</v>
          </cell>
          <cell r="C6386">
            <v>1</v>
          </cell>
          <cell r="D6386">
            <v>261</v>
          </cell>
          <cell r="E6386">
            <v>8210</v>
          </cell>
          <cell r="F6386" t="str">
            <v>V501</v>
          </cell>
          <cell r="G6386" t="str">
            <v>Auto</v>
          </cell>
          <cell r="H6386">
            <v>311</v>
          </cell>
          <cell r="I6386">
            <v>8210</v>
          </cell>
          <cell r="J6386">
            <v>8220</v>
          </cell>
          <cell r="K6386" t="str">
            <v>V501</v>
          </cell>
        </row>
        <row r="6387">
          <cell r="A6387" t="str">
            <v>1CM1ARBPC1A12630</v>
          </cell>
          <cell r="B6387" t="str">
            <v>SMT</v>
          </cell>
          <cell r="C6387">
            <v>1</v>
          </cell>
          <cell r="D6387">
            <v>23</v>
          </cell>
          <cell r="E6387">
            <v>8210</v>
          </cell>
          <cell r="F6387" t="str">
            <v>V501</v>
          </cell>
          <cell r="G6387" t="str">
            <v>Auto</v>
          </cell>
          <cell r="H6387">
            <v>311</v>
          </cell>
          <cell r="I6387">
            <v>8210</v>
          </cell>
          <cell r="J6387">
            <v>8220</v>
          </cell>
          <cell r="K6387" t="str">
            <v>V501</v>
          </cell>
        </row>
        <row r="6388">
          <cell r="A6388" t="str">
            <v>1CM1ARBPC1A12630T4</v>
          </cell>
          <cell r="B6388" t="str">
            <v>SMT</v>
          </cell>
          <cell r="C6388">
            <v>1</v>
          </cell>
          <cell r="D6388">
            <v>23</v>
          </cell>
          <cell r="E6388">
            <v>8210</v>
          </cell>
          <cell r="F6388" t="str">
            <v>V501</v>
          </cell>
          <cell r="G6388" t="str">
            <v>Auto</v>
          </cell>
          <cell r="H6388">
            <v>311</v>
          </cell>
          <cell r="I6388">
            <v>8210</v>
          </cell>
          <cell r="J6388">
            <v>8220</v>
          </cell>
          <cell r="K6388" t="str">
            <v>V501</v>
          </cell>
        </row>
        <row r="6389">
          <cell r="A6389" t="str">
            <v>1CM1ARBPC1A12750</v>
          </cell>
          <cell r="B6389" t="str">
            <v>SMT</v>
          </cell>
          <cell r="C6389">
            <v>1</v>
          </cell>
          <cell r="D6389">
            <v>25</v>
          </cell>
          <cell r="E6389">
            <v>8210</v>
          </cell>
          <cell r="F6389" t="str">
            <v>V501</v>
          </cell>
          <cell r="G6389" t="str">
            <v>Auto</v>
          </cell>
          <cell r="H6389">
            <v>311</v>
          </cell>
          <cell r="I6389">
            <v>8210</v>
          </cell>
          <cell r="J6389">
            <v>8220</v>
          </cell>
          <cell r="K6389" t="str">
            <v>V501</v>
          </cell>
        </row>
        <row r="6390">
          <cell r="A6390" t="str">
            <v>1CM1ARBPC1A12751</v>
          </cell>
          <cell r="B6390" t="str">
            <v>SMT</v>
          </cell>
          <cell r="C6390">
            <v>1</v>
          </cell>
          <cell r="D6390">
            <v>25</v>
          </cell>
          <cell r="E6390">
            <v>8210</v>
          </cell>
          <cell r="F6390" t="str">
            <v>V501</v>
          </cell>
          <cell r="G6390" t="str">
            <v>Auto</v>
          </cell>
          <cell r="H6390">
            <v>311</v>
          </cell>
          <cell r="I6390">
            <v>8210</v>
          </cell>
          <cell r="J6390">
            <v>8220</v>
          </cell>
          <cell r="K6390" t="str">
            <v>V501</v>
          </cell>
        </row>
        <row r="6391">
          <cell r="A6391" t="str">
            <v>1CM1ARBPC1A12910</v>
          </cell>
          <cell r="B6391" t="str">
            <v>SMT</v>
          </cell>
          <cell r="C6391">
            <v>1</v>
          </cell>
          <cell r="D6391">
            <v>23</v>
          </cell>
          <cell r="E6391">
            <v>8210</v>
          </cell>
          <cell r="F6391" t="str">
            <v>V501</v>
          </cell>
          <cell r="G6391" t="str">
            <v>Auto</v>
          </cell>
          <cell r="H6391">
            <v>311</v>
          </cell>
          <cell r="I6391">
            <v>8210</v>
          </cell>
          <cell r="J6391">
            <v>8220</v>
          </cell>
          <cell r="K6391" t="str">
            <v>V501</v>
          </cell>
        </row>
        <row r="6392">
          <cell r="A6392" t="str">
            <v>1CM1BP01A00421-TH1</v>
          </cell>
          <cell r="B6392" t="str">
            <v>SMT</v>
          </cell>
          <cell r="C6392">
            <v>1</v>
          </cell>
          <cell r="D6392">
            <v>54</v>
          </cell>
          <cell r="E6392">
            <v>8210</v>
          </cell>
          <cell r="F6392" t="str">
            <v>V501</v>
          </cell>
          <cell r="G6392" t="str">
            <v>Auto</v>
          </cell>
          <cell r="H6392">
            <v>311</v>
          </cell>
          <cell r="I6392">
            <v>8210</v>
          </cell>
          <cell r="J6392">
            <v>8220</v>
          </cell>
          <cell r="K6392" t="str">
            <v>V501</v>
          </cell>
        </row>
        <row r="6393">
          <cell r="A6393" t="str">
            <v>1CM1BP01A00421-TW1</v>
          </cell>
          <cell r="B6393" t="str">
            <v>SMT</v>
          </cell>
          <cell r="C6393">
            <v>1</v>
          </cell>
          <cell r="D6393">
            <v>54</v>
          </cell>
          <cell r="E6393">
            <v>8210</v>
          </cell>
          <cell r="F6393" t="str">
            <v>V501</v>
          </cell>
          <cell r="G6393" t="str">
            <v>Auto</v>
          </cell>
          <cell r="H6393">
            <v>311</v>
          </cell>
          <cell r="I6393">
            <v>8210</v>
          </cell>
          <cell r="J6393">
            <v>8220</v>
          </cell>
          <cell r="K6393" t="str">
            <v>V501</v>
          </cell>
        </row>
        <row r="6394">
          <cell r="A6394" t="str">
            <v>1RE101A01391</v>
          </cell>
          <cell r="B6394" t="str">
            <v>SMT</v>
          </cell>
          <cell r="C6394">
            <v>1</v>
          </cell>
          <cell r="D6394">
            <v>133</v>
          </cell>
          <cell r="E6394">
            <v>8210</v>
          </cell>
          <cell r="F6394" t="str">
            <v>V501</v>
          </cell>
          <cell r="G6394" t="str">
            <v>Auto</v>
          </cell>
          <cell r="H6394">
            <v>311</v>
          </cell>
          <cell r="I6394">
            <v>8210</v>
          </cell>
          <cell r="J6394">
            <v>8310</v>
          </cell>
          <cell r="K6394" t="str">
            <v>V501</v>
          </cell>
        </row>
        <row r="6395">
          <cell r="A6395" t="str">
            <v>1RE1ARBP01A01230</v>
          </cell>
          <cell r="B6395" t="str">
            <v>SMT</v>
          </cell>
          <cell r="C6395">
            <v>1</v>
          </cell>
          <cell r="D6395">
            <v>76</v>
          </cell>
        </row>
        <row r="6396">
          <cell r="A6396" t="str">
            <v>1RE1ARBP01A01390</v>
          </cell>
          <cell r="B6396" t="str">
            <v>SMT</v>
          </cell>
          <cell r="C6396">
            <v>1</v>
          </cell>
          <cell r="D6396">
            <v>133</v>
          </cell>
          <cell r="E6396">
            <v>8210</v>
          </cell>
          <cell r="F6396" t="str">
            <v>V501</v>
          </cell>
          <cell r="G6396" t="str">
            <v>Auto</v>
          </cell>
          <cell r="H6396">
            <v>311</v>
          </cell>
          <cell r="I6396">
            <v>8210</v>
          </cell>
          <cell r="J6396">
            <v>8220</v>
          </cell>
          <cell r="K6396" t="str">
            <v>V501</v>
          </cell>
        </row>
        <row r="6397">
          <cell r="A6397" t="str">
            <v>1RE1ARBPC1A12360</v>
          </cell>
          <cell r="B6397" t="str">
            <v>SMT</v>
          </cell>
          <cell r="C6397">
            <v>1</v>
          </cell>
          <cell r="D6397">
            <v>275</v>
          </cell>
        </row>
        <row r="6398">
          <cell r="A6398" t="str">
            <v>1RE1ARBPC1A12370</v>
          </cell>
          <cell r="B6398" t="str">
            <v>SMT</v>
          </cell>
          <cell r="C6398">
            <v>1</v>
          </cell>
          <cell r="D6398">
            <v>256</v>
          </cell>
        </row>
        <row r="6399">
          <cell r="A6399" t="str">
            <v>1RE1ARBPC1A12630</v>
          </cell>
          <cell r="B6399" t="str">
            <v>SMT</v>
          </cell>
          <cell r="C6399">
            <v>1</v>
          </cell>
          <cell r="D6399">
            <v>277</v>
          </cell>
        </row>
        <row r="6400">
          <cell r="A6400" t="str">
            <v>1RE1ARBPC1A12630T4</v>
          </cell>
          <cell r="B6400" t="str">
            <v>SMT</v>
          </cell>
          <cell r="C6400">
            <v>1</v>
          </cell>
          <cell r="D6400">
            <v>290</v>
          </cell>
        </row>
        <row r="6401">
          <cell r="A6401" t="str">
            <v>1RE1ARBPC1A12750</v>
          </cell>
          <cell r="B6401" t="str">
            <v>SMT</v>
          </cell>
          <cell r="C6401">
            <v>1</v>
          </cell>
          <cell r="D6401">
            <v>276</v>
          </cell>
        </row>
        <row r="6402">
          <cell r="A6402" t="str">
            <v>1RE1ARBPC1A12751</v>
          </cell>
          <cell r="B6402" t="str">
            <v>SMT</v>
          </cell>
          <cell r="C6402">
            <v>1</v>
          </cell>
          <cell r="D6402">
            <v>269</v>
          </cell>
        </row>
        <row r="6403">
          <cell r="A6403" t="str">
            <v>1RE1ARBPC1A12910</v>
          </cell>
          <cell r="B6403" t="str">
            <v>SMT</v>
          </cell>
          <cell r="C6403">
            <v>1</v>
          </cell>
          <cell r="D6403">
            <v>277</v>
          </cell>
        </row>
        <row r="6404">
          <cell r="A6404" t="str">
            <v>1RE2ARBP01A01230</v>
          </cell>
          <cell r="B6404" t="str">
            <v>SMT</v>
          </cell>
          <cell r="C6404">
            <v>1</v>
          </cell>
          <cell r="D6404">
            <v>28</v>
          </cell>
          <cell r="E6404">
            <v>8210</v>
          </cell>
          <cell r="F6404" t="str">
            <v>V501</v>
          </cell>
          <cell r="G6404" t="str">
            <v>Auto</v>
          </cell>
          <cell r="H6404">
            <v>311</v>
          </cell>
          <cell r="I6404">
            <v>8210</v>
          </cell>
          <cell r="J6404">
            <v>8220</v>
          </cell>
          <cell r="K6404" t="str">
            <v>V501</v>
          </cell>
        </row>
        <row r="6405">
          <cell r="A6405" t="str">
            <v>1RH1ARBPC1A12360</v>
          </cell>
          <cell r="B6405" t="str">
            <v>SMT</v>
          </cell>
          <cell r="C6405">
            <v>1</v>
          </cell>
          <cell r="D6405">
            <v>16</v>
          </cell>
        </row>
        <row r="6406">
          <cell r="A6406" t="str">
            <v>1RH1ARBPC1A12370</v>
          </cell>
          <cell r="B6406" t="str">
            <v>SMT</v>
          </cell>
          <cell r="C6406">
            <v>1</v>
          </cell>
          <cell r="D6406">
            <v>16</v>
          </cell>
        </row>
        <row r="6407">
          <cell r="A6407" t="str">
            <v>1RH1ARBPC1A12400</v>
          </cell>
          <cell r="B6407" t="str">
            <v>SMT</v>
          </cell>
          <cell r="C6407">
            <v>1</v>
          </cell>
          <cell r="D6407">
            <v>16</v>
          </cell>
        </row>
        <row r="6408">
          <cell r="A6408" t="str">
            <v>1RH1ARBPC1A12410</v>
          </cell>
          <cell r="B6408" t="str">
            <v>SMT</v>
          </cell>
          <cell r="C6408">
            <v>1</v>
          </cell>
          <cell r="D6408">
            <v>16</v>
          </cell>
        </row>
        <row r="6409">
          <cell r="A6409" t="str">
            <v>1RH1ARBPC1A12420</v>
          </cell>
          <cell r="B6409" t="str">
            <v>SMT</v>
          </cell>
          <cell r="C6409">
            <v>1</v>
          </cell>
          <cell r="D6409">
            <v>16</v>
          </cell>
        </row>
        <row r="6410">
          <cell r="A6410" t="str">
            <v>1RH1ARBPC1A12590</v>
          </cell>
          <cell r="B6410" t="str">
            <v>SMT</v>
          </cell>
          <cell r="C6410">
            <v>1</v>
          </cell>
          <cell r="D6410">
            <v>16</v>
          </cell>
        </row>
        <row r="6411">
          <cell r="A6411" t="str">
            <v>1RH1ARBPC1A12630</v>
          </cell>
          <cell r="B6411" t="str">
            <v>SMT</v>
          </cell>
          <cell r="C6411">
            <v>1</v>
          </cell>
          <cell r="D6411">
            <v>24</v>
          </cell>
        </row>
        <row r="6412">
          <cell r="A6412" t="str">
            <v>1RH1ARBPC1A12630T4</v>
          </cell>
          <cell r="B6412" t="str">
            <v>SMT</v>
          </cell>
          <cell r="C6412">
            <v>1</v>
          </cell>
          <cell r="D6412">
            <v>24</v>
          </cell>
        </row>
        <row r="6413">
          <cell r="A6413" t="str">
            <v>1RH1ARBPC1A12750</v>
          </cell>
          <cell r="B6413" t="str">
            <v>SMT</v>
          </cell>
          <cell r="C6413">
            <v>1</v>
          </cell>
          <cell r="D6413">
            <v>27</v>
          </cell>
        </row>
        <row r="6414">
          <cell r="A6414" t="str">
            <v>1RH1ARBPC1A12751</v>
          </cell>
          <cell r="B6414" t="str">
            <v>SMT</v>
          </cell>
          <cell r="C6414">
            <v>1</v>
          </cell>
          <cell r="D6414">
            <v>24</v>
          </cell>
        </row>
        <row r="6415">
          <cell r="A6415" t="str">
            <v>1RH1ARBPC1A12910</v>
          </cell>
          <cell r="B6415" t="str">
            <v>SMT</v>
          </cell>
          <cell r="C6415">
            <v>1</v>
          </cell>
          <cell r="D6415">
            <v>24</v>
          </cell>
        </row>
        <row r="6416">
          <cell r="A6416" t="str">
            <v>1RH1BP01A00421-TH1</v>
          </cell>
          <cell r="B6416" t="str">
            <v>SMT</v>
          </cell>
          <cell r="C6416">
            <v>1</v>
          </cell>
          <cell r="D6416">
            <v>10</v>
          </cell>
        </row>
        <row r="6417">
          <cell r="A6417" t="str">
            <v>1RH1BP01A00421-TW1</v>
          </cell>
          <cell r="B6417" t="str">
            <v>SMT</v>
          </cell>
          <cell r="C6417">
            <v>1</v>
          </cell>
          <cell r="D6417">
            <v>10</v>
          </cell>
        </row>
        <row r="6418">
          <cell r="A6418" t="str">
            <v>1CM1ARBPC1A11051</v>
          </cell>
          <cell r="B6418" t="str">
            <v>SMT</v>
          </cell>
          <cell r="C6418">
            <v>1</v>
          </cell>
          <cell r="D6418">
            <v>22</v>
          </cell>
          <cell r="E6418">
            <v>8210</v>
          </cell>
          <cell r="F6418" t="str">
            <v>V501</v>
          </cell>
          <cell r="G6418" t="str">
            <v>Auto</v>
          </cell>
          <cell r="H6418">
            <v>311</v>
          </cell>
          <cell r="I6418">
            <v>8210</v>
          </cell>
          <cell r="J6418">
            <v>8220</v>
          </cell>
          <cell r="K6418" t="str">
            <v>V501</v>
          </cell>
        </row>
        <row r="6419">
          <cell r="A6419" t="str">
            <v>1RH1ARBPC1A11051</v>
          </cell>
          <cell r="B6419" t="str">
            <v>SMT</v>
          </cell>
          <cell r="C6419">
            <v>1</v>
          </cell>
          <cell r="D6419">
            <v>20</v>
          </cell>
        </row>
        <row r="6420">
          <cell r="A6420" t="str">
            <v>1AE1ARBPC1A11051</v>
          </cell>
          <cell r="B6420" t="str">
            <v>SMT</v>
          </cell>
          <cell r="C6420">
            <v>1</v>
          </cell>
          <cell r="D6420">
            <v>4</v>
          </cell>
        </row>
        <row r="6421">
          <cell r="A6421" t="str">
            <v>1RE1ARBPC1A11051</v>
          </cell>
          <cell r="B6421" t="str">
            <v>SMT</v>
          </cell>
          <cell r="C6421">
            <v>1</v>
          </cell>
          <cell r="D6421">
            <v>222</v>
          </cell>
        </row>
        <row r="6422">
          <cell r="A6422" t="str">
            <v>1CM1TP4NA7960DB-1</v>
          </cell>
          <cell r="B6422" t="str">
            <v>SMT</v>
          </cell>
          <cell r="C6422">
            <v>1</v>
          </cell>
          <cell r="D6422">
            <v>303</v>
          </cell>
          <cell r="E6422">
            <v>3210</v>
          </cell>
          <cell r="F6422" t="str">
            <v>VV01</v>
          </cell>
          <cell r="G6422" t="str">
            <v>Auto</v>
          </cell>
          <cell r="H6422">
            <v>311</v>
          </cell>
          <cell r="I6422">
            <v>3210</v>
          </cell>
          <cell r="J6422">
            <v>3220</v>
          </cell>
          <cell r="K6422" t="str">
            <v>VV01</v>
          </cell>
        </row>
        <row r="6423">
          <cell r="A6423" t="str">
            <v>1RH1TP5NA7960DB-1</v>
          </cell>
          <cell r="B6423" t="str">
            <v>SMT</v>
          </cell>
          <cell r="C6423">
            <v>1</v>
          </cell>
          <cell r="D6423">
            <v>17</v>
          </cell>
        </row>
        <row r="6424">
          <cell r="A6424" t="str">
            <v>1AE1TP7NA7960DB-1</v>
          </cell>
          <cell r="B6424" t="str">
            <v>SMT</v>
          </cell>
          <cell r="C6424">
            <v>1</v>
          </cell>
          <cell r="D6424">
            <v>122</v>
          </cell>
        </row>
        <row r="6425">
          <cell r="A6425" t="str">
            <v>1HT1TP6NA7960DB-1</v>
          </cell>
          <cell r="B6425" t="str">
            <v>SMT</v>
          </cell>
          <cell r="C6425">
            <v>1</v>
          </cell>
          <cell r="D6425">
            <v>94</v>
          </cell>
        </row>
        <row r="6426">
          <cell r="A6426" t="str">
            <v>TNPA7960-1</v>
          </cell>
          <cell r="B6426" t="str">
            <v>SMT</v>
          </cell>
          <cell r="C6426">
            <v>1</v>
          </cell>
          <cell r="D6426" t="e">
            <v>#N/A</v>
          </cell>
        </row>
        <row r="6427">
          <cell r="A6427" t="str">
            <v>1CM1TP4NA7960DC-1</v>
          </cell>
          <cell r="B6427" t="str">
            <v>SMT</v>
          </cell>
          <cell r="C6427">
            <v>1</v>
          </cell>
          <cell r="D6427">
            <v>265</v>
          </cell>
          <cell r="E6427">
            <v>3210</v>
          </cell>
          <cell r="F6427" t="str">
            <v>VV01</v>
          </cell>
          <cell r="G6427" t="str">
            <v>Auto</v>
          </cell>
          <cell r="H6427">
            <v>311</v>
          </cell>
          <cell r="I6427">
            <v>3210</v>
          </cell>
          <cell r="J6427">
            <v>3220</v>
          </cell>
          <cell r="K6427" t="str">
            <v>VV01</v>
          </cell>
        </row>
        <row r="6428">
          <cell r="A6428" t="str">
            <v>1RH1TP5NA7960DC-1</v>
          </cell>
          <cell r="B6428" t="str">
            <v>SMT</v>
          </cell>
          <cell r="C6428">
            <v>1</v>
          </cell>
          <cell r="D6428">
            <v>17</v>
          </cell>
        </row>
        <row r="6429">
          <cell r="A6429" t="str">
            <v>1AE1TP7NA7960DC-1</v>
          </cell>
          <cell r="B6429" t="str">
            <v>SMT</v>
          </cell>
          <cell r="C6429">
            <v>1</v>
          </cell>
          <cell r="D6429">
            <v>115</v>
          </cell>
        </row>
        <row r="6430">
          <cell r="A6430" t="str">
            <v>1HT1TP6NA7960DC-1</v>
          </cell>
          <cell r="B6430" t="str">
            <v>SMT</v>
          </cell>
          <cell r="C6430">
            <v>1</v>
          </cell>
          <cell r="D6430">
            <v>92</v>
          </cell>
        </row>
        <row r="6431">
          <cell r="A6431" t="str">
            <v>1CM1TP4NA7960DE-1</v>
          </cell>
          <cell r="B6431" t="str">
            <v>SMT</v>
          </cell>
          <cell r="C6431">
            <v>1</v>
          </cell>
          <cell r="D6431">
            <v>265</v>
          </cell>
          <cell r="E6431">
            <v>3210</v>
          </cell>
          <cell r="F6431" t="str">
            <v>VV01</v>
          </cell>
          <cell r="G6431" t="str">
            <v>Auto</v>
          </cell>
          <cell r="H6431">
            <v>311</v>
          </cell>
          <cell r="I6431">
            <v>3210</v>
          </cell>
          <cell r="J6431">
            <v>3220</v>
          </cell>
          <cell r="K6431" t="str">
            <v>VV01</v>
          </cell>
        </row>
        <row r="6432">
          <cell r="A6432" t="str">
            <v>1RH1TP5NA7960DE-1</v>
          </cell>
          <cell r="B6432" t="str">
            <v>SMT</v>
          </cell>
          <cell r="C6432">
            <v>1</v>
          </cell>
          <cell r="D6432">
            <v>17</v>
          </cell>
        </row>
        <row r="6433">
          <cell r="A6433" t="str">
            <v>1AE1TP7NA7960DE-1</v>
          </cell>
          <cell r="B6433" t="str">
            <v>SMT</v>
          </cell>
          <cell r="C6433">
            <v>1</v>
          </cell>
          <cell r="D6433">
            <v>111</v>
          </cell>
        </row>
        <row r="6434">
          <cell r="A6434" t="str">
            <v>1HT1TP6NA7960DE-1</v>
          </cell>
          <cell r="B6434" t="str">
            <v>SMT</v>
          </cell>
          <cell r="C6434">
            <v>1</v>
          </cell>
          <cell r="D6434">
            <v>86</v>
          </cell>
        </row>
        <row r="6435">
          <cell r="A6435" t="str">
            <v>1CM1TP4NA7960DF-1</v>
          </cell>
          <cell r="B6435" t="str">
            <v>SMT</v>
          </cell>
          <cell r="C6435">
            <v>1</v>
          </cell>
          <cell r="D6435">
            <v>265</v>
          </cell>
          <cell r="E6435">
            <v>3210</v>
          </cell>
          <cell r="F6435" t="str">
            <v>VV01</v>
          </cell>
          <cell r="G6435" t="str">
            <v>Auto</v>
          </cell>
          <cell r="H6435">
            <v>311</v>
          </cell>
          <cell r="I6435">
            <v>3210</v>
          </cell>
          <cell r="J6435">
            <v>3220</v>
          </cell>
          <cell r="K6435" t="str">
            <v>VV01</v>
          </cell>
        </row>
        <row r="6436">
          <cell r="A6436" t="str">
            <v>1RH1TP5NA7960DF-1</v>
          </cell>
          <cell r="B6436" t="str">
            <v>SMT</v>
          </cell>
          <cell r="C6436">
            <v>1</v>
          </cell>
          <cell r="D6436">
            <v>17</v>
          </cell>
        </row>
        <row r="6437">
          <cell r="A6437" t="str">
            <v>1AE1TP7NA7960DF-1</v>
          </cell>
          <cell r="B6437" t="str">
            <v>SMT</v>
          </cell>
          <cell r="C6437">
            <v>1</v>
          </cell>
          <cell r="D6437">
            <v>113</v>
          </cell>
        </row>
        <row r="6438">
          <cell r="A6438" t="str">
            <v>1HT1TP6NA7960DF-1</v>
          </cell>
          <cell r="B6438" t="str">
            <v>SMT</v>
          </cell>
          <cell r="C6438">
            <v>1</v>
          </cell>
          <cell r="D6438">
            <v>84</v>
          </cell>
        </row>
        <row r="6439">
          <cell r="A6439" t="str">
            <v>1CM1TP4NA7961DA-1</v>
          </cell>
          <cell r="B6439" t="str">
            <v>SMT</v>
          </cell>
          <cell r="C6439">
            <v>1</v>
          </cell>
          <cell r="D6439">
            <v>248</v>
          </cell>
          <cell r="E6439">
            <v>3210</v>
          </cell>
          <cell r="F6439" t="str">
            <v>VV01</v>
          </cell>
          <cell r="G6439" t="str">
            <v>Auto</v>
          </cell>
          <cell r="H6439">
            <v>311</v>
          </cell>
          <cell r="I6439">
            <v>3210</v>
          </cell>
          <cell r="J6439">
            <v>3220</v>
          </cell>
          <cell r="K6439" t="str">
            <v>VV01</v>
          </cell>
        </row>
        <row r="6440">
          <cell r="A6440" t="str">
            <v>1RH1TP5NA7961DA-1</v>
          </cell>
          <cell r="B6440" t="str">
            <v>SMT</v>
          </cell>
          <cell r="C6440">
            <v>1</v>
          </cell>
          <cell r="D6440">
            <v>16</v>
          </cell>
        </row>
        <row r="6441">
          <cell r="A6441" t="str">
            <v>1AE1TP7NA7961DA-1</v>
          </cell>
          <cell r="B6441" t="str">
            <v>SMT</v>
          </cell>
          <cell r="C6441">
            <v>1</v>
          </cell>
          <cell r="D6441">
            <v>85</v>
          </cell>
        </row>
        <row r="6442">
          <cell r="A6442" t="str">
            <v>1HT1TP6NA7961DA-1</v>
          </cell>
          <cell r="B6442" t="str">
            <v>SMT</v>
          </cell>
          <cell r="C6442">
            <v>1</v>
          </cell>
          <cell r="D6442">
            <v>39</v>
          </cell>
        </row>
        <row r="6443">
          <cell r="A6443" t="str">
            <v>TNPA7961-1</v>
          </cell>
          <cell r="B6443" t="str">
            <v>SMT</v>
          </cell>
          <cell r="C6443">
            <v>1</v>
          </cell>
          <cell r="D6443" t="e">
            <v>#N/A</v>
          </cell>
        </row>
        <row r="6444">
          <cell r="A6444" t="str">
            <v>1RE2TP4NA7955AA-1</v>
          </cell>
          <cell r="B6444" t="str">
            <v>SMT</v>
          </cell>
          <cell r="C6444">
            <v>1</v>
          </cell>
          <cell r="D6444">
            <v>18</v>
          </cell>
          <cell r="E6444">
            <v>3210</v>
          </cell>
          <cell r="F6444" t="str">
            <v>VV01</v>
          </cell>
          <cell r="G6444" t="str">
            <v>Auto</v>
          </cell>
          <cell r="H6444">
            <v>311</v>
          </cell>
          <cell r="I6444">
            <v>3210</v>
          </cell>
          <cell r="J6444">
            <v>3220</v>
          </cell>
          <cell r="K6444" t="str">
            <v>VV01</v>
          </cell>
        </row>
        <row r="6445">
          <cell r="A6445" t="str">
            <v>1RE1TP8NA7955AA-1</v>
          </cell>
          <cell r="B6445" t="str">
            <v>SMT</v>
          </cell>
          <cell r="C6445">
            <v>1</v>
          </cell>
          <cell r="D6445">
            <v>7</v>
          </cell>
        </row>
        <row r="6446">
          <cell r="A6446" t="str">
            <v>TNPA7955-1</v>
          </cell>
          <cell r="B6446" t="str">
            <v>SMT</v>
          </cell>
          <cell r="C6446">
            <v>1</v>
          </cell>
          <cell r="D6446" t="e">
            <v>#N/A</v>
          </cell>
        </row>
        <row r="6447">
          <cell r="A6447" t="str">
            <v>1RE2TP4NA7977AA-1</v>
          </cell>
          <cell r="B6447" t="str">
            <v>SMT</v>
          </cell>
          <cell r="C6447">
            <v>1</v>
          </cell>
          <cell r="D6447">
            <v>41</v>
          </cell>
          <cell r="E6447">
            <v>3210</v>
          </cell>
          <cell r="F6447" t="str">
            <v>VV01</v>
          </cell>
          <cell r="G6447" t="str">
            <v>Auto</v>
          </cell>
          <cell r="H6447">
            <v>311</v>
          </cell>
          <cell r="I6447">
            <v>3210</v>
          </cell>
          <cell r="J6447">
            <v>3220</v>
          </cell>
          <cell r="K6447" t="str">
            <v>VV01</v>
          </cell>
        </row>
        <row r="6448">
          <cell r="A6448" t="str">
            <v>1RE1TP8NA7977AA-1</v>
          </cell>
          <cell r="B6448" t="str">
            <v>SMT</v>
          </cell>
          <cell r="C6448">
            <v>1</v>
          </cell>
          <cell r="D6448">
            <v>6</v>
          </cell>
        </row>
        <row r="6449">
          <cell r="A6449" t="str">
            <v>TNPA7977-1</v>
          </cell>
          <cell r="B6449" t="str">
            <v>SMT</v>
          </cell>
          <cell r="C6449">
            <v>1</v>
          </cell>
          <cell r="D6449" t="e">
            <v>#N/A</v>
          </cell>
        </row>
        <row r="6450">
          <cell r="A6450" t="str">
            <v>1RE2TP4NH1266EC-1</v>
          </cell>
          <cell r="B6450" t="str">
            <v>SMT</v>
          </cell>
          <cell r="C6450">
            <v>1</v>
          </cell>
          <cell r="D6450">
            <v>860</v>
          </cell>
          <cell r="E6450">
            <v>3210</v>
          </cell>
          <cell r="F6450" t="str">
            <v>VV01</v>
          </cell>
          <cell r="G6450" t="str">
            <v>Auto</v>
          </cell>
          <cell r="H6450">
            <v>311</v>
          </cell>
          <cell r="I6450">
            <v>3210</v>
          </cell>
          <cell r="J6450">
            <v>3220</v>
          </cell>
          <cell r="K6450" t="str">
            <v>VV01</v>
          </cell>
        </row>
        <row r="6451">
          <cell r="A6451" t="str">
            <v>1VI1TVRU484</v>
          </cell>
          <cell r="B6451" t="str">
            <v>SMT</v>
          </cell>
          <cell r="C6451">
            <v>1</v>
          </cell>
          <cell r="D6451" t="e">
            <v>#N/A</v>
          </cell>
        </row>
        <row r="6452">
          <cell r="A6452" t="str">
            <v>1RE1TP8NH1266EC-1</v>
          </cell>
          <cell r="B6452" t="str">
            <v>SMT</v>
          </cell>
          <cell r="C6452">
            <v>1</v>
          </cell>
          <cell r="D6452">
            <v>654</v>
          </cell>
        </row>
        <row r="6453">
          <cell r="A6453" t="str">
            <v>TNPH1266-1</v>
          </cell>
          <cell r="B6453" t="str">
            <v>SMT</v>
          </cell>
          <cell r="C6453">
            <v>1</v>
          </cell>
          <cell r="D6453" t="e">
            <v>#N/A</v>
          </cell>
        </row>
        <row r="6454">
          <cell r="A6454" t="str">
            <v>1RE2TP4NH1266ED-1</v>
          </cell>
          <cell r="B6454" t="str">
            <v>SMT</v>
          </cell>
          <cell r="C6454">
            <v>1</v>
          </cell>
          <cell r="D6454">
            <v>831</v>
          </cell>
          <cell r="E6454">
            <v>3210</v>
          </cell>
          <cell r="F6454" t="str">
            <v>VV01</v>
          </cell>
          <cell r="G6454" t="str">
            <v>Auto</v>
          </cell>
          <cell r="H6454">
            <v>311</v>
          </cell>
          <cell r="I6454">
            <v>3210</v>
          </cell>
          <cell r="J6454">
            <v>3220</v>
          </cell>
          <cell r="K6454" t="str">
            <v>VV01</v>
          </cell>
        </row>
        <row r="6455">
          <cell r="A6455" t="str">
            <v>1RE1TP8NH1266ED-1</v>
          </cell>
          <cell r="B6455" t="str">
            <v>SMT</v>
          </cell>
          <cell r="C6455">
            <v>1</v>
          </cell>
          <cell r="D6455">
            <v>639</v>
          </cell>
        </row>
        <row r="6456">
          <cell r="A6456" t="str">
            <v>1RE2TP4NH1266EE-1</v>
          </cell>
          <cell r="B6456" t="str">
            <v>SMT</v>
          </cell>
          <cell r="C6456">
            <v>1</v>
          </cell>
          <cell r="D6456">
            <v>808</v>
          </cell>
          <cell r="E6456">
            <v>3210</v>
          </cell>
          <cell r="F6456" t="str">
            <v>VV01</v>
          </cell>
          <cell r="G6456" t="str">
            <v>Auto</v>
          </cell>
          <cell r="H6456">
            <v>311</v>
          </cell>
          <cell r="I6456">
            <v>3210</v>
          </cell>
          <cell r="J6456">
            <v>3220</v>
          </cell>
          <cell r="K6456" t="str">
            <v>VV01</v>
          </cell>
        </row>
        <row r="6457">
          <cell r="A6457" t="str">
            <v>1RE1TP8NH1266EE-1</v>
          </cell>
          <cell r="B6457" t="str">
            <v>SMT</v>
          </cell>
          <cell r="C6457">
            <v>1</v>
          </cell>
          <cell r="D6457">
            <v>615</v>
          </cell>
        </row>
        <row r="6458">
          <cell r="A6458" t="str">
            <v>1RE2TP4NH1266EF-1</v>
          </cell>
          <cell r="B6458" t="str">
            <v>SMT</v>
          </cell>
          <cell r="C6458">
            <v>1</v>
          </cell>
          <cell r="D6458">
            <v>780</v>
          </cell>
          <cell r="E6458">
            <v>3210</v>
          </cell>
          <cell r="F6458" t="str">
            <v>VV01</v>
          </cell>
          <cell r="G6458" t="str">
            <v>Auto</v>
          </cell>
          <cell r="H6458">
            <v>311</v>
          </cell>
          <cell r="I6458">
            <v>3210</v>
          </cell>
          <cell r="J6458">
            <v>3220</v>
          </cell>
          <cell r="K6458" t="str">
            <v>VV01</v>
          </cell>
        </row>
        <row r="6459">
          <cell r="A6459" t="str">
            <v>1RE1TP8NH1266EF-1</v>
          </cell>
          <cell r="B6459" t="str">
            <v>SMT</v>
          </cell>
          <cell r="C6459">
            <v>1</v>
          </cell>
          <cell r="D6459">
            <v>600</v>
          </cell>
        </row>
        <row r="6460">
          <cell r="A6460" t="str">
            <v>1CM1ARBPB2A00081</v>
          </cell>
          <cell r="B6460" t="str">
            <v>SMT</v>
          </cell>
          <cell r="C6460">
            <v>1</v>
          </cell>
          <cell r="D6460">
            <v>3</v>
          </cell>
          <cell r="E6460">
            <v>8210</v>
          </cell>
          <cell r="F6460" t="str">
            <v>V501</v>
          </cell>
          <cell r="G6460" t="str">
            <v>Auto</v>
          </cell>
          <cell r="H6460">
            <v>311</v>
          </cell>
          <cell r="I6460">
            <v>8210</v>
          </cell>
          <cell r="J6460">
            <v>8220</v>
          </cell>
          <cell r="K6460" t="str">
            <v>V501</v>
          </cell>
        </row>
        <row r="6461">
          <cell r="A6461" t="str">
            <v>1CM1ARBPC1A12752</v>
          </cell>
          <cell r="B6461" t="str">
            <v>SMT</v>
          </cell>
          <cell r="D6461">
            <v>25</v>
          </cell>
          <cell r="E6461">
            <v>8210</v>
          </cell>
          <cell r="F6461" t="str">
            <v>V501</v>
          </cell>
          <cell r="G6461" t="str">
            <v>Auto</v>
          </cell>
          <cell r="H6461">
            <v>311</v>
          </cell>
          <cell r="I6461">
            <v>8210</v>
          </cell>
          <cell r="J6461">
            <v>8220</v>
          </cell>
          <cell r="K6461" t="str">
            <v>V501</v>
          </cell>
        </row>
        <row r="6462">
          <cell r="A6462" t="str">
            <v>1RH1ARBPC1A12752</v>
          </cell>
          <cell r="B6462" t="str">
            <v>SMT</v>
          </cell>
          <cell r="D6462">
            <v>28</v>
          </cell>
        </row>
        <row r="6463">
          <cell r="A6463" t="str">
            <v>1AE1ARBPC1A12752</v>
          </cell>
          <cell r="B6463" t="str">
            <v>SMT</v>
          </cell>
          <cell r="D6463">
            <v>6</v>
          </cell>
        </row>
        <row r="6464">
          <cell r="A6464" t="str">
            <v>1RE2ARBP0DA02294</v>
          </cell>
          <cell r="B6464" t="str">
            <v>SMT</v>
          </cell>
          <cell r="D6464">
            <v>33</v>
          </cell>
          <cell r="E6464">
            <v>8210</v>
          </cell>
          <cell r="F6464" t="str">
            <v>V501</v>
          </cell>
          <cell r="G6464" t="str">
            <v>Auto</v>
          </cell>
          <cell r="H6464">
            <v>311</v>
          </cell>
          <cell r="I6464">
            <v>8210</v>
          </cell>
          <cell r="J6464">
            <v>8220</v>
          </cell>
          <cell r="K6464" t="str">
            <v>V501</v>
          </cell>
        </row>
        <row r="6465">
          <cell r="A6465" t="str">
            <v>1RE2ARBP0DA02304</v>
          </cell>
          <cell r="B6465" t="str">
            <v>SMT</v>
          </cell>
          <cell r="D6465">
            <v>37</v>
          </cell>
          <cell r="E6465">
            <v>8210</v>
          </cell>
          <cell r="F6465" t="str">
            <v>V501</v>
          </cell>
          <cell r="G6465" t="str">
            <v>Auto</v>
          </cell>
          <cell r="H6465">
            <v>311</v>
          </cell>
          <cell r="I6465">
            <v>8210</v>
          </cell>
          <cell r="J6465">
            <v>8220</v>
          </cell>
          <cell r="K6465" t="str">
            <v>V501</v>
          </cell>
        </row>
        <row r="6466">
          <cell r="A6466" t="str">
            <v>1RE2ARBP0DA02721</v>
          </cell>
          <cell r="B6466" t="str">
            <v>SMT</v>
          </cell>
          <cell r="D6466">
            <v>39</v>
          </cell>
          <cell r="E6466">
            <v>8210</v>
          </cell>
          <cell r="F6466" t="str">
            <v>V501</v>
          </cell>
          <cell r="G6466" t="str">
            <v>Auto</v>
          </cell>
          <cell r="H6466">
            <v>311</v>
          </cell>
          <cell r="I6466">
            <v>8210</v>
          </cell>
          <cell r="J6466">
            <v>8220</v>
          </cell>
          <cell r="K6466" t="str">
            <v>V501</v>
          </cell>
        </row>
        <row r="6467">
          <cell r="A6467" t="str">
            <v>1RE2ARBP0DA02177</v>
          </cell>
          <cell r="B6467" t="str">
            <v>SMT</v>
          </cell>
          <cell r="D6467">
            <v>36</v>
          </cell>
          <cell r="E6467">
            <v>8210</v>
          </cell>
          <cell r="F6467" t="str">
            <v>V501</v>
          </cell>
          <cell r="G6467" t="str">
            <v>Auto</v>
          </cell>
          <cell r="H6467">
            <v>311</v>
          </cell>
          <cell r="I6467">
            <v>8210</v>
          </cell>
          <cell r="J6467">
            <v>8220</v>
          </cell>
          <cell r="K6467" t="str">
            <v>V501</v>
          </cell>
        </row>
        <row r="6468">
          <cell r="A6468" t="str">
            <v>1RE2ARBP0DA02283</v>
          </cell>
          <cell r="B6468" t="str">
            <v>SMT</v>
          </cell>
          <cell r="D6468">
            <v>36</v>
          </cell>
          <cell r="E6468">
            <v>8210</v>
          </cell>
          <cell r="F6468" t="str">
            <v>V501</v>
          </cell>
          <cell r="G6468" t="str">
            <v>Auto</v>
          </cell>
          <cell r="H6468">
            <v>311</v>
          </cell>
          <cell r="I6468">
            <v>8210</v>
          </cell>
          <cell r="J6468">
            <v>8220</v>
          </cell>
          <cell r="K6468" t="str">
            <v>V501</v>
          </cell>
        </row>
        <row r="6469">
          <cell r="A6469" t="str">
            <v>1RE2ARBP0DA02188</v>
          </cell>
          <cell r="B6469" t="str">
            <v>SMT</v>
          </cell>
          <cell r="D6469">
            <v>38</v>
          </cell>
          <cell r="E6469">
            <v>8210</v>
          </cell>
          <cell r="F6469" t="str">
            <v>V501</v>
          </cell>
          <cell r="G6469" t="str">
            <v>Auto</v>
          </cell>
          <cell r="H6469">
            <v>311</v>
          </cell>
          <cell r="I6469">
            <v>8210</v>
          </cell>
          <cell r="J6469">
            <v>8220</v>
          </cell>
          <cell r="K6469" t="str">
            <v>V501</v>
          </cell>
        </row>
        <row r="6470">
          <cell r="A6470" t="str">
            <v>1RE1ARBP0DA02294</v>
          </cell>
          <cell r="B6470" t="str">
            <v>SMT</v>
          </cell>
          <cell r="D6470">
            <v>106</v>
          </cell>
        </row>
        <row r="6471">
          <cell r="A6471" t="str">
            <v>1RE1ARBP0DA02304</v>
          </cell>
          <cell r="B6471" t="str">
            <v>SMT</v>
          </cell>
          <cell r="D6471">
            <v>103</v>
          </cell>
        </row>
        <row r="6472">
          <cell r="A6472" t="str">
            <v>1RE1ARBP0DA02721</v>
          </cell>
          <cell r="B6472" t="str">
            <v>SMT</v>
          </cell>
          <cell r="D6472">
            <v>113</v>
          </cell>
        </row>
        <row r="6473">
          <cell r="A6473" t="str">
            <v>1RE1ARBP0DA02177</v>
          </cell>
          <cell r="B6473" t="str">
            <v>SMT</v>
          </cell>
          <cell r="D6473">
            <v>110</v>
          </cell>
        </row>
        <row r="6474">
          <cell r="A6474" t="str">
            <v>1RE1ARBP0DA02283</v>
          </cell>
          <cell r="B6474" t="str">
            <v>SMT</v>
          </cell>
          <cell r="D6474">
            <v>110</v>
          </cell>
        </row>
        <row r="6475">
          <cell r="A6475" t="str">
            <v>1RE1ARBP0DA02188</v>
          </cell>
          <cell r="B6475" t="str">
            <v>SMT</v>
          </cell>
          <cell r="D6475">
            <v>112</v>
          </cell>
        </row>
        <row r="6476">
          <cell r="A6476" t="str">
            <v>1RH1ARBPC1A12752</v>
          </cell>
          <cell r="B6476" t="str">
            <v>SMT</v>
          </cell>
        </row>
        <row r="6477">
          <cell r="A6477" t="str">
            <v>1AE1ARBPC1A12752</v>
          </cell>
          <cell r="B6477" t="str">
            <v>SMT</v>
          </cell>
        </row>
        <row r="6478">
          <cell r="A6478" t="str">
            <v>1RE1ARBPC1A12752</v>
          </cell>
          <cell r="B6478" t="str">
            <v>SMT</v>
          </cell>
        </row>
        <row r="6479">
          <cell r="A6479" t="str">
            <v>1RH1ARBPC1A09504</v>
          </cell>
          <cell r="B6479" t="str">
            <v>SMT</v>
          </cell>
          <cell r="E6479">
            <v>8210</v>
          </cell>
          <cell r="F6479" t="str">
            <v>V501</v>
          </cell>
          <cell r="G6479" t="str">
            <v>Auto</v>
          </cell>
          <cell r="H6479">
            <v>311</v>
          </cell>
          <cell r="I6479">
            <v>8210</v>
          </cell>
          <cell r="J6479">
            <v>8220</v>
          </cell>
          <cell r="K6479" t="str">
            <v>V501</v>
          </cell>
        </row>
        <row r="6480">
          <cell r="A6480" t="str">
            <v>1AE1ARBPC1A09504</v>
          </cell>
          <cell r="B6480" t="str">
            <v>SMT</v>
          </cell>
        </row>
        <row r="6481">
          <cell r="A6481" t="str">
            <v>1RE1ARBPC1A09504</v>
          </cell>
          <cell r="B6481" t="str">
            <v>SMT</v>
          </cell>
        </row>
        <row r="6482">
          <cell r="A6482" t="str">
            <v>1RE1ARBP01A01392</v>
          </cell>
          <cell r="B6482" t="str">
            <v>SMT</v>
          </cell>
          <cell r="E6482">
            <v>8210</v>
          </cell>
          <cell r="F6482" t="str">
            <v>V501</v>
          </cell>
          <cell r="G6482" t="str">
            <v>Auto</v>
          </cell>
          <cell r="H6482">
            <v>311</v>
          </cell>
          <cell r="I6482">
            <v>8210</v>
          </cell>
          <cell r="J6482">
            <v>8220</v>
          </cell>
          <cell r="K6482" t="str">
            <v>V501</v>
          </cell>
        </row>
        <row r="6483">
          <cell r="A6483" t="str">
            <v>1CM1ARBPC1A12610</v>
          </cell>
          <cell r="B6483" t="str">
            <v>SMT</v>
          </cell>
          <cell r="E6483">
            <v>8210</v>
          </cell>
          <cell r="F6483" t="str">
            <v>V501</v>
          </cell>
          <cell r="G6483" t="str">
            <v>Auto</v>
          </cell>
          <cell r="H6483">
            <v>311</v>
          </cell>
          <cell r="I6483">
            <v>8210</v>
          </cell>
          <cell r="J6483">
            <v>8220</v>
          </cell>
          <cell r="K6483" t="str">
            <v>V501</v>
          </cell>
        </row>
        <row r="6484">
          <cell r="A6484" t="str">
            <v>1RH1ARBPC1A12610</v>
          </cell>
          <cell r="B6484" t="str">
            <v>SMT</v>
          </cell>
        </row>
        <row r="6485">
          <cell r="A6485" t="str">
            <v>1AE1ARBPC1A12610</v>
          </cell>
          <cell r="B6485" t="str">
            <v>SMT</v>
          </cell>
        </row>
        <row r="6486">
          <cell r="A6486" t="str">
            <v>1CM1ARBPC1A12580</v>
          </cell>
          <cell r="B6486" t="str">
            <v>SMT</v>
          </cell>
          <cell r="E6486">
            <v>8210</v>
          </cell>
          <cell r="F6486" t="str">
            <v>V501</v>
          </cell>
          <cell r="G6486" t="str">
            <v>Auto</v>
          </cell>
          <cell r="H6486">
            <v>311</v>
          </cell>
          <cell r="I6486">
            <v>8210</v>
          </cell>
          <cell r="J6486">
            <v>8220</v>
          </cell>
          <cell r="K6486" t="str">
            <v>V501</v>
          </cell>
        </row>
        <row r="6487">
          <cell r="A6487" t="str">
            <v>1RH1ARBPC1A12580</v>
          </cell>
          <cell r="B6487" t="str">
            <v>SMT</v>
          </cell>
        </row>
        <row r="6488">
          <cell r="A6488" t="str">
            <v>1AE1ARBPC1A12580</v>
          </cell>
          <cell r="B6488" t="str">
            <v>SMT</v>
          </cell>
        </row>
        <row r="6489">
          <cell r="A6489" t="str">
            <v>1RH1ARBPC1A11251</v>
          </cell>
          <cell r="B6489" t="str">
            <v>SMT</v>
          </cell>
          <cell r="E6489">
            <v>8210</v>
          </cell>
          <cell r="F6489" t="str">
            <v>V501</v>
          </cell>
          <cell r="G6489" t="str">
            <v>Auto</v>
          </cell>
          <cell r="H6489">
            <v>311</v>
          </cell>
          <cell r="I6489">
            <v>8210</v>
          </cell>
          <cell r="J6489">
            <v>8220</v>
          </cell>
          <cell r="K6489" t="str">
            <v>V501</v>
          </cell>
        </row>
        <row r="6490">
          <cell r="A6490" t="str">
            <v>1AE1ARBPC1A11251</v>
          </cell>
          <cell r="B6490" t="str">
            <v>SMT</v>
          </cell>
        </row>
        <row r="6491">
          <cell r="A6491" t="str">
            <v>1RE1ARBPC1A11251</v>
          </cell>
          <cell r="B6491" t="str">
            <v>SMT</v>
          </cell>
        </row>
        <row r="6492">
          <cell r="A6492" t="str">
            <v>1CM1ARBPC1A12753</v>
          </cell>
          <cell r="B6492" t="str">
            <v>SMT</v>
          </cell>
          <cell r="E6492">
            <v>8210</v>
          </cell>
          <cell r="F6492" t="str">
            <v>V501</v>
          </cell>
          <cell r="G6492" t="str">
            <v>Auto</v>
          </cell>
          <cell r="H6492">
            <v>311</v>
          </cell>
          <cell r="I6492">
            <v>8210</v>
          </cell>
          <cell r="J6492">
            <v>8220</v>
          </cell>
          <cell r="K6492" t="str">
            <v>V501</v>
          </cell>
        </row>
        <row r="6493">
          <cell r="A6493" t="str">
            <v>1RH1ARBPC1A12753</v>
          </cell>
          <cell r="B6493" t="str">
            <v>SMT</v>
          </cell>
        </row>
        <row r="6494">
          <cell r="A6494" t="str">
            <v>1RE1ARBPC1A12753</v>
          </cell>
          <cell r="B6494" t="str">
            <v>SMT</v>
          </cell>
        </row>
        <row r="6495">
          <cell r="A6495" t="str">
            <v>1CM1ARBPC1A12580</v>
          </cell>
          <cell r="B6495" t="str">
            <v>SMT</v>
          </cell>
          <cell r="E6495">
            <v>8210</v>
          </cell>
          <cell r="F6495" t="str">
            <v>V501</v>
          </cell>
          <cell r="G6495" t="str">
            <v>Auto</v>
          </cell>
          <cell r="H6495">
            <v>311</v>
          </cell>
          <cell r="I6495">
            <v>8210</v>
          </cell>
          <cell r="J6495">
            <v>8220</v>
          </cell>
          <cell r="K6495" t="str">
            <v>V501</v>
          </cell>
        </row>
        <row r="6496">
          <cell r="A6496" t="str">
            <v>1RH1ARBPC1A12580</v>
          </cell>
          <cell r="B6496" t="str">
            <v>SMT</v>
          </cell>
        </row>
        <row r="6497">
          <cell r="A6497" t="str">
            <v>1AE1ARBPC1A12580</v>
          </cell>
          <cell r="B6497" t="str">
            <v>SMT</v>
          </cell>
        </row>
        <row r="6498">
          <cell r="A6498" t="str">
            <v>1RE1ARBP0DA02189</v>
          </cell>
          <cell r="B6498" t="str">
            <v>SMT</v>
          </cell>
        </row>
        <row r="6499">
          <cell r="A6499" t="str">
            <v>1RE2ARBP0DA02189</v>
          </cell>
          <cell r="B6499" t="str">
            <v>SMT</v>
          </cell>
          <cell r="E6499">
            <v>8210</v>
          </cell>
          <cell r="F6499" t="str">
            <v>V501</v>
          </cell>
          <cell r="G6499" t="str">
            <v>Auto</v>
          </cell>
          <cell r="H6499">
            <v>311</v>
          </cell>
          <cell r="I6499">
            <v>8210</v>
          </cell>
          <cell r="J6499">
            <v>8220</v>
          </cell>
          <cell r="K6499" t="str">
            <v>V501</v>
          </cell>
        </row>
        <row r="6500">
          <cell r="A6500" t="str">
            <v>1CM1TP4NA7724AF-1</v>
          </cell>
          <cell r="B6500" t="str">
            <v>SMT</v>
          </cell>
          <cell r="E6500">
            <v>3210</v>
          </cell>
          <cell r="F6500" t="str">
            <v>VV01</v>
          </cell>
          <cell r="G6500" t="str">
            <v>Auto</v>
          </cell>
          <cell r="H6500">
            <v>311</v>
          </cell>
          <cell r="I6500">
            <v>3210</v>
          </cell>
          <cell r="J6500">
            <v>3220</v>
          </cell>
          <cell r="K6500" t="str">
            <v>VV01</v>
          </cell>
        </row>
        <row r="6501">
          <cell r="A6501" t="str">
            <v>1RH1TP5NA7724AF-1</v>
          </cell>
          <cell r="B6501" t="str">
            <v>SMT</v>
          </cell>
        </row>
        <row r="6502">
          <cell r="A6502" t="str">
            <v>1AE1TP7NA7724AF-1</v>
          </cell>
          <cell r="B6502" t="str">
            <v>SMT</v>
          </cell>
        </row>
        <row r="6503">
          <cell r="A6503" t="str">
            <v>1HT1TP6NA7724AF-1</v>
          </cell>
          <cell r="B6503" t="str">
            <v>SMT</v>
          </cell>
        </row>
        <row r="6504">
          <cell r="A6504" t="str">
            <v>1CM1TP4NA7724AG-1</v>
          </cell>
          <cell r="B6504" t="str">
            <v>SMT</v>
          </cell>
          <cell r="E6504">
            <v>3210</v>
          </cell>
          <cell r="F6504" t="str">
            <v>VV01</v>
          </cell>
          <cell r="G6504" t="str">
            <v>Auto</v>
          </cell>
          <cell r="H6504">
            <v>311</v>
          </cell>
          <cell r="I6504">
            <v>3210</v>
          </cell>
          <cell r="J6504">
            <v>3220</v>
          </cell>
          <cell r="K6504" t="str">
            <v>VV01</v>
          </cell>
        </row>
        <row r="6505">
          <cell r="A6505" t="str">
            <v>1RH1TP5NA7724AG-1</v>
          </cell>
          <cell r="B6505" t="str">
            <v>SMT</v>
          </cell>
        </row>
        <row r="6506">
          <cell r="A6506" t="str">
            <v>1AE1TP7NA7724AG-1</v>
          </cell>
          <cell r="B6506" t="str">
            <v>SMT</v>
          </cell>
        </row>
        <row r="6507">
          <cell r="A6507" t="str">
            <v>1HT1TP6NA7724AG-1</v>
          </cell>
          <cell r="B6507" t="str">
            <v>SMT</v>
          </cell>
        </row>
        <row r="6508">
          <cell r="A6508" t="str">
            <v>1CM1TP4NA7958DA-1</v>
          </cell>
          <cell r="B6508" t="str">
            <v>SMT</v>
          </cell>
          <cell r="E6508">
            <v>3210</v>
          </cell>
          <cell r="F6508" t="str">
            <v>VV01</v>
          </cell>
          <cell r="G6508" t="str">
            <v>Auto</v>
          </cell>
          <cell r="H6508">
            <v>311</v>
          </cell>
          <cell r="I6508">
            <v>3210</v>
          </cell>
          <cell r="J6508">
            <v>3220</v>
          </cell>
          <cell r="K6508" t="str">
            <v>VV01</v>
          </cell>
        </row>
        <row r="6509">
          <cell r="A6509" t="str">
            <v>1RH1TP5NA7958DA-1</v>
          </cell>
          <cell r="B6509" t="str">
            <v>SMT</v>
          </cell>
        </row>
        <row r="6510">
          <cell r="A6510" t="str">
            <v>1AE1TP7NA7958DA-1</v>
          </cell>
          <cell r="B6510" t="str">
            <v>SMT</v>
          </cell>
        </row>
        <row r="6511">
          <cell r="A6511" t="str">
            <v>1HT1TP6NA7958DA-1</v>
          </cell>
          <cell r="B6511" t="str">
            <v>SMT</v>
          </cell>
        </row>
        <row r="6512">
          <cell r="A6512" t="str">
            <v>TNPA7958-1</v>
          </cell>
          <cell r="B6512" t="str">
            <v>SMT</v>
          </cell>
        </row>
        <row r="6513">
          <cell r="A6513" t="str">
            <v>1CM1TP4NA7958DB-1</v>
          </cell>
          <cell r="B6513" t="str">
            <v>SMT</v>
          </cell>
          <cell r="E6513">
            <v>3210</v>
          </cell>
          <cell r="F6513" t="str">
            <v>VV01</v>
          </cell>
          <cell r="G6513" t="str">
            <v>Auto</v>
          </cell>
          <cell r="H6513">
            <v>311</v>
          </cell>
          <cell r="I6513">
            <v>3210</v>
          </cell>
          <cell r="J6513">
            <v>3220</v>
          </cell>
          <cell r="K6513" t="str">
            <v>VV01</v>
          </cell>
        </row>
        <row r="6514">
          <cell r="A6514" t="str">
            <v>1RH1TP5NA7958DB-1</v>
          </cell>
          <cell r="B6514" t="str">
            <v>SMT</v>
          </cell>
        </row>
        <row r="6515">
          <cell r="A6515" t="str">
            <v>1AE1TP7NA7958DB-1</v>
          </cell>
          <cell r="B6515" t="str">
            <v>SMT</v>
          </cell>
        </row>
        <row r="6516">
          <cell r="A6516" t="str">
            <v>1HT1TP6NA7958DB-1</v>
          </cell>
          <cell r="B6516" t="str">
            <v>SMT</v>
          </cell>
        </row>
        <row r="6517">
          <cell r="A6517" t="str">
            <v>1CM1TP4NA7960DA-1</v>
          </cell>
          <cell r="B6517" t="str">
            <v>SMT</v>
          </cell>
          <cell r="E6517">
            <v>3210</v>
          </cell>
          <cell r="F6517" t="str">
            <v>VV01</v>
          </cell>
          <cell r="G6517" t="str">
            <v>Auto</v>
          </cell>
          <cell r="H6517">
            <v>311</v>
          </cell>
          <cell r="I6517">
            <v>3210</v>
          </cell>
          <cell r="J6517">
            <v>3220</v>
          </cell>
          <cell r="K6517" t="str">
            <v>VV01</v>
          </cell>
        </row>
        <row r="6518">
          <cell r="A6518" t="str">
            <v>1RH1TP5NA7960DA-1</v>
          </cell>
          <cell r="B6518" t="str">
            <v>SMT</v>
          </cell>
        </row>
        <row r="6519">
          <cell r="A6519" t="str">
            <v>1AE1TP7NA7960DA-1</v>
          </cell>
          <cell r="B6519" t="str">
            <v>SMT</v>
          </cell>
        </row>
        <row r="6520">
          <cell r="A6520" t="str">
            <v>1HT1TP6NA7960DA-1</v>
          </cell>
          <cell r="B6520" t="str">
            <v>SMT</v>
          </cell>
        </row>
        <row r="6521">
          <cell r="A6521" t="str">
            <v>1RE1TP8NA7872AA-1</v>
          </cell>
          <cell r="B6521" t="str">
            <v>SMT</v>
          </cell>
          <cell r="E6521">
            <v>3210</v>
          </cell>
          <cell r="F6521" t="str">
            <v>VV01</v>
          </cell>
          <cell r="G6521" t="str">
            <v>Auto</v>
          </cell>
          <cell r="H6521">
            <v>311</v>
          </cell>
          <cell r="I6521">
            <v>3210</v>
          </cell>
          <cell r="J6521">
            <v>3220</v>
          </cell>
          <cell r="K6521" t="str">
            <v>VV01</v>
          </cell>
        </row>
        <row r="6522">
          <cell r="A6522" t="str">
            <v>1RE1TP8NA7872AB-1</v>
          </cell>
          <cell r="B6522" t="str">
            <v>SMT</v>
          </cell>
          <cell r="E6522">
            <v>3210</v>
          </cell>
          <cell r="F6522" t="str">
            <v>VV01</v>
          </cell>
          <cell r="G6522" t="str">
            <v>Auto</v>
          </cell>
          <cell r="H6522">
            <v>311</v>
          </cell>
          <cell r="I6522">
            <v>3210</v>
          </cell>
          <cell r="J6522">
            <v>3220</v>
          </cell>
          <cell r="K6522" t="str">
            <v>VV01</v>
          </cell>
        </row>
        <row r="6523">
          <cell r="A6523" t="str">
            <v>1RE1TP8NA7872AC-1</v>
          </cell>
          <cell r="B6523" t="str">
            <v>SMT</v>
          </cell>
          <cell r="E6523">
            <v>3210</v>
          </cell>
          <cell r="F6523" t="str">
            <v>VV01</v>
          </cell>
          <cell r="G6523" t="str">
            <v>Auto</v>
          </cell>
          <cell r="H6523">
            <v>311</v>
          </cell>
          <cell r="I6523">
            <v>3210</v>
          </cell>
          <cell r="J6523">
            <v>3220</v>
          </cell>
          <cell r="K6523" t="str">
            <v>VV01</v>
          </cell>
        </row>
        <row r="6524">
          <cell r="A6524" t="str">
            <v>1RE2TP4NH1266EA-1</v>
          </cell>
          <cell r="B6524" t="str">
            <v>SMT</v>
          </cell>
          <cell r="E6524">
            <v>3210</v>
          </cell>
          <cell r="F6524" t="str">
            <v>VV01</v>
          </cell>
          <cell r="G6524" t="str">
            <v>Auto</v>
          </cell>
          <cell r="H6524">
            <v>311</v>
          </cell>
          <cell r="I6524">
            <v>3210</v>
          </cell>
          <cell r="J6524">
            <v>3220</v>
          </cell>
          <cell r="K6524" t="str">
            <v>VV01</v>
          </cell>
        </row>
        <row r="6525">
          <cell r="A6525" t="str">
            <v>1VI1TVRU490</v>
          </cell>
          <cell r="B6525" t="str">
            <v>SMT</v>
          </cell>
        </row>
        <row r="6526">
          <cell r="A6526" t="str">
            <v>1RE1TP8NH1266EA-1</v>
          </cell>
          <cell r="B6526" t="str">
            <v>SMT</v>
          </cell>
        </row>
        <row r="6527">
          <cell r="A6527" t="str">
            <v>1RE1ARBPLLA01040</v>
          </cell>
          <cell r="B6527" t="str">
            <v>SMT</v>
          </cell>
          <cell r="E6527">
            <v>8210</v>
          </cell>
          <cell r="F6527" t="str">
            <v>V501</v>
          </cell>
          <cell r="G6527" t="str">
            <v>Auto</v>
          </cell>
          <cell r="H6527">
            <v>311</v>
          </cell>
          <cell r="I6527">
            <v>8210</v>
          </cell>
          <cell r="J6527">
            <v>8310</v>
          </cell>
          <cell r="K6527" t="str">
            <v>V501</v>
          </cell>
        </row>
        <row r="6528">
          <cell r="A6528" t="str">
            <v>1RE1ARBPLPA00121</v>
          </cell>
          <cell r="B6528" t="str">
            <v>SMT</v>
          </cell>
          <cell r="E6528">
            <v>8210</v>
          </cell>
          <cell r="F6528" t="str">
            <v>V501</v>
          </cell>
          <cell r="G6528" t="str">
            <v>Auto</v>
          </cell>
          <cell r="H6528">
            <v>311</v>
          </cell>
          <cell r="I6528">
            <v>8210</v>
          </cell>
          <cell r="J6528">
            <v>8310</v>
          </cell>
          <cell r="K6528" t="str">
            <v>V501</v>
          </cell>
        </row>
        <row r="6529">
          <cell r="A6529" t="str">
            <v>PULB1025ZB-GL</v>
          </cell>
          <cell r="B6529" t="str">
            <v>SMT</v>
          </cell>
        </row>
        <row r="6530">
          <cell r="A6530" t="str">
            <v>1VJ1SR152R</v>
          </cell>
          <cell r="B6530" t="str">
            <v>SMT</v>
          </cell>
        </row>
        <row r="6531">
          <cell r="A6531" t="str">
            <v>2VJ1SR152R</v>
          </cell>
          <cell r="B6531" t="str">
            <v>SMT</v>
          </cell>
        </row>
        <row r="6532">
          <cell r="A6532" t="str">
            <v>1VJ2SR152R</v>
          </cell>
          <cell r="B6532" t="str">
            <v>SMT</v>
          </cell>
        </row>
        <row r="6533">
          <cell r="A6533" t="str">
            <v>2VJ2SR152R</v>
          </cell>
          <cell r="B6533" t="str">
            <v>SMT</v>
          </cell>
        </row>
        <row r="6534">
          <cell r="A6534" t="str">
            <v>3VJ2SR152R</v>
          </cell>
          <cell r="B6534" t="str">
            <v>SMT</v>
          </cell>
        </row>
        <row r="6535">
          <cell r="A6535" t="str">
            <v>1RE2SR152R</v>
          </cell>
          <cell r="B6535" t="str">
            <v>SMT</v>
          </cell>
          <cell r="E6535">
            <v>9210</v>
          </cell>
          <cell r="F6535" t="str">
            <v>VE01</v>
          </cell>
          <cell r="G6535" t="str">
            <v>Auto</v>
          </cell>
          <cell r="H6535">
            <v>311</v>
          </cell>
          <cell r="I6535">
            <v>9210</v>
          </cell>
          <cell r="J6535">
            <v>9340</v>
          </cell>
          <cell r="K6535" t="str">
            <v>VE01</v>
          </cell>
        </row>
        <row r="6536">
          <cell r="A6536" t="str">
            <v>1RE1SR152R</v>
          </cell>
          <cell r="B6536" t="str">
            <v>SMT</v>
          </cell>
        </row>
        <row r="6537">
          <cell r="A6537" t="str">
            <v>1CM1ARBPC1A05383</v>
          </cell>
          <cell r="B6537" t="str">
            <v>SMT</v>
          </cell>
          <cell r="E6537">
            <v>8210</v>
          </cell>
          <cell r="F6537" t="str">
            <v>V501</v>
          </cell>
          <cell r="G6537" t="str">
            <v>Auto</v>
          </cell>
          <cell r="H6537">
            <v>311</v>
          </cell>
          <cell r="I6537">
            <v>8210</v>
          </cell>
          <cell r="J6537">
            <v>8220</v>
          </cell>
          <cell r="K6537" t="str">
            <v>V501</v>
          </cell>
        </row>
        <row r="6538">
          <cell r="A6538" t="str">
            <v>1RH1ARBPC1A05383</v>
          </cell>
          <cell r="B6538" t="str">
            <v>SMT</v>
          </cell>
        </row>
        <row r="6539">
          <cell r="A6539" t="str">
            <v>1AE1ARBPC1A04072</v>
          </cell>
          <cell r="B6539" t="str">
            <v>SMT</v>
          </cell>
        </row>
        <row r="6540">
          <cell r="A6540" t="str">
            <v>1CM1ARBPC1A07131</v>
          </cell>
          <cell r="B6540" t="str">
            <v>SMT</v>
          </cell>
          <cell r="E6540">
            <v>8210</v>
          </cell>
          <cell r="F6540" t="str">
            <v>V501</v>
          </cell>
          <cell r="G6540" t="str">
            <v>Auto</v>
          </cell>
          <cell r="H6540">
            <v>311</v>
          </cell>
          <cell r="I6540">
            <v>8210</v>
          </cell>
          <cell r="J6540">
            <v>8220</v>
          </cell>
          <cell r="K6540" t="str">
            <v>V501</v>
          </cell>
        </row>
        <row r="6541">
          <cell r="A6541" t="str">
            <v>1RH1ARBPC1A07131</v>
          </cell>
          <cell r="B6541" t="str">
            <v>SMT</v>
          </cell>
        </row>
        <row r="6542">
          <cell r="A6542" t="str">
            <v>1AE1ARBPC1A07131</v>
          </cell>
          <cell r="B6542" t="str">
            <v>SMT</v>
          </cell>
        </row>
        <row r="6543">
          <cell r="A6543" t="str">
            <v>1CM1ARBPC1A09713</v>
          </cell>
          <cell r="B6543" t="str">
            <v>SMT</v>
          </cell>
          <cell r="E6543">
            <v>8210</v>
          </cell>
          <cell r="F6543" t="str">
            <v>V501</v>
          </cell>
          <cell r="G6543" t="str">
            <v>Auto</v>
          </cell>
          <cell r="H6543">
            <v>311</v>
          </cell>
          <cell r="I6543">
            <v>8210</v>
          </cell>
          <cell r="J6543">
            <v>8220</v>
          </cell>
          <cell r="K6543" t="str">
            <v>V501</v>
          </cell>
        </row>
        <row r="6544">
          <cell r="A6544" t="str">
            <v>1RH1ARBPC1A09713</v>
          </cell>
          <cell r="B6544" t="str">
            <v>SMT</v>
          </cell>
        </row>
        <row r="6545">
          <cell r="A6545" t="str">
            <v>1AE1ARBPC1A09713</v>
          </cell>
          <cell r="B6545" t="str">
            <v>SMT</v>
          </cell>
        </row>
        <row r="6546">
          <cell r="A6546" t="str">
            <v>1RE1ARBPC1A09713</v>
          </cell>
          <cell r="B6546" t="str">
            <v>SMT</v>
          </cell>
        </row>
        <row r="6547">
          <cell r="A6547" t="str">
            <v>1CM1ARBPC1A09972</v>
          </cell>
          <cell r="B6547" t="str">
            <v>SMT</v>
          </cell>
          <cell r="E6547">
            <v>8210</v>
          </cell>
          <cell r="F6547" t="str">
            <v>V501</v>
          </cell>
          <cell r="G6547" t="str">
            <v>Auto</v>
          </cell>
          <cell r="H6547">
            <v>311</v>
          </cell>
          <cell r="I6547">
            <v>8210</v>
          </cell>
          <cell r="J6547">
            <v>8220</v>
          </cell>
          <cell r="K6547" t="str">
            <v>V501</v>
          </cell>
        </row>
        <row r="6548">
          <cell r="A6548" t="str">
            <v>1RH1ARBPC1A09972</v>
          </cell>
          <cell r="B6548" t="str">
            <v>SMT</v>
          </cell>
        </row>
        <row r="6549">
          <cell r="A6549" t="str">
            <v>1AE1ARBPC1A09972</v>
          </cell>
          <cell r="B6549" t="str">
            <v>SMT</v>
          </cell>
        </row>
        <row r="6550">
          <cell r="A6550" t="str">
            <v>1RE1ARBPC1A09972</v>
          </cell>
          <cell r="B6550" t="str">
            <v>SMT</v>
          </cell>
        </row>
        <row r="6551">
          <cell r="A6551" t="str">
            <v>1RH1ARBPC1A09950</v>
          </cell>
          <cell r="B6551" t="str">
            <v>SMT</v>
          </cell>
          <cell r="E6551">
            <v>8210</v>
          </cell>
          <cell r="F6551" t="str">
            <v>V501</v>
          </cell>
          <cell r="G6551" t="str">
            <v>Auto</v>
          </cell>
          <cell r="H6551">
            <v>311</v>
          </cell>
          <cell r="I6551">
            <v>8210</v>
          </cell>
          <cell r="J6551">
            <v>8220</v>
          </cell>
          <cell r="K6551" t="str">
            <v>V501</v>
          </cell>
        </row>
        <row r="6552">
          <cell r="A6552" t="str">
            <v>1AE1ARBPC1A09950</v>
          </cell>
          <cell r="B6552" t="str">
            <v>SMT</v>
          </cell>
        </row>
        <row r="6553">
          <cell r="A6553" t="str">
            <v>1RE1ARBPC1A09950</v>
          </cell>
          <cell r="B6553" t="str">
            <v>SMT</v>
          </cell>
        </row>
        <row r="6554">
          <cell r="A6554" t="str">
            <v>1AE1ARBPC1A11191</v>
          </cell>
          <cell r="B6554" t="str">
            <v>SMT</v>
          </cell>
        </row>
        <row r="6555">
          <cell r="A6555" t="str">
            <v>1RH1ARBPC1A11191</v>
          </cell>
          <cell r="B6555" t="str">
            <v>SMT</v>
          </cell>
          <cell r="E6555">
            <v>8210</v>
          </cell>
          <cell r="F6555" t="str">
            <v>V501</v>
          </cell>
          <cell r="G6555" t="str">
            <v>Auto</v>
          </cell>
          <cell r="H6555">
            <v>311</v>
          </cell>
          <cell r="I6555">
            <v>8210</v>
          </cell>
          <cell r="J6555">
            <v>8220</v>
          </cell>
          <cell r="K6555" t="str">
            <v>V501</v>
          </cell>
        </row>
        <row r="6556">
          <cell r="A6556" t="str">
            <v>1RE1ARBPC1A11191</v>
          </cell>
          <cell r="B6556" t="str">
            <v>SMT</v>
          </cell>
        </row>
        <row r="6557">
          <cell r="A6557" t="str">
            <v>1AE1ARBPC1A10911</v>
          </cell>
          <cell r="B6557" t="str">
            <v>SMT</v>
          </cell>
        </row>
        <row r="6558">
          <cell r="A6558" t="str">
            <v>1RH1ARBPC1A10911</v>
          </cell>
          <cell r="B6558" t="str">
            <v>SMT</v>
          </cell>
          <cell r="E6558">
            <v>8210</v>
          </cell>
          <cell r="F6558" t="str">
            <v>V501</v>
          </cell>
          <cell r="G6558" t="str">
            <v>Auto</v>
          </cell>
          <cell r="H6558">
            <v>311</v>
          </cell>
          <cell r="I6558">
            <v>8210</v>
          </cell>
          <cell r="J6558">
            <v>8220</v>
          </cell>
          <cell r="K6558" t="str">
            <v>V501</v>
          </cell>
        </row>
        <row r="6559">
          <cell r="A6559" t="str">
            <v>1RE1ARBPC1A10911</v>
          </cell>
          <cell r="B6559" t="str">
            <v>SMT</v>
          </cell>
        </row>
        <row r="6560">
          <cell r="A6560" t="str">
            <v>1VI1TVRU484AA</v>
          </cell>
          <cell r="B6560" t="str">
            <v>SMT</v>
          </cell>
        </row>
        <row r="6561">
          <cell r="A6561" t="str">
            <v>5VJ1AM800DANTE</v>
          </cell>
          <cell r="B6561" t="str">
            <v>SMT</v>
          </cell>
        </row>
        <row r="6562">
          <cell r="A6562" t="str">
            <v>1RH1ARBPC1A10911</v>
          </cell>
          <cell r="B6562" t="str">
            <v>SMT</v>
          </cell>
          <cell r="E6562">
            <v>8210</v>
          </cell>
          <cell r="F6562" t="str">
            <v>V501</v>
          </cell>
          <cell r="G6562" t="str">
            <v>Auto</v>
          </cell>
          <cell r="H6562">
            <v>311</v>
          </cell>
          <cell r="I6562">
            <v>8210</v>
          </cell>
          <cell r="J6562">
            <v>8220</v>
          </cell>
          <cell r="K6562" t="str">
            <v>V501</v>
          </cell>
        </row>
        <row r="6563">
          <cell r="A6563" t="str">
            <v>1AE1ARBPC1A10911</v>
          </cell>
          <cell r="B6563" t="str">
            <v>SMT</v>
          </cell>
        </row>
        <row r="6564">
          <cell r="A6564" t="str">
            <v>1RE1ARBPC1A10911</v>
          </cell>
          <cell r="B6564" t="str">
            <v>SMT</v>
          </cell>
        </row>
        <row r="6565">
          <cell r="A6565" t="str">
            <v>1RH1ARBPC1A11191</v>
          </cell>
          <cell r="B6565" t="str">
            <v>SMT</v>
          </cell>
          <cell r="E6565">
            <v>8210</v>
          </cell>
          <cell r="F6565" t="str">
            <v>V501</v>
          </cell>
          <cell r="G6565" t="str">
            <v>Auto</v>
          </cell>
          <cell r="H6565">
            <v>311</v>
          </cell>
          <cell r="I6565">
            <v>8210</v>
          </cell>
          <cell r="J6565">
            <v>8220</v>
          </cell>
          <cell r="K6565" t="str">
            <v>V501</v>
          </cell>
        </row>
        <row r="6566">
          <cell r="A6566" t="str">
            <v>1AE1ARBPC1A11191</v>
          </cell>
          <cell r="B6566" t="str">
            <v>SMT</v>
          </cell>
        </row>
        <row r="6567">
          <cell r="A6567" t="str">
            <v>1RE1ARBPC1A11191</v>
          </cell>
          <cell r="B6567" t="str">
            <v>SMT</v>
          </cell>
        </row>
        <row r="6568">
          <cell r="A6568" t="str">
            <v>1RH1ARBPC1A11231</v>
          </cell>
          <cell r="B6568" t="str">
            <v>SMT</v>
          </cell>
          <cell r="E6568">
            <v>8210</v>
          </cell>
          <cell r="F6568" t="str">
            <v>V501</v>
          </cell>
          <cell r="G6568" t="str">
            <v>Auto</v>
          </cell>
          <cell r="H6568">
            <v>311</v>
          </cell>
          <cell r="I6568">
            <v>8210</v>
          </cell>
          <cell r="J6568">
            <v>8220</v>
          </cell>
          <cell r="K6568" t="str">
            <v>V501</v>
          </cell>
        </row>
        <row r="6569">
          <cell r="A6569" t="str">
            <v>1AE1ARBPC1A11231</v>
          </cell>
          <cell r="B6569" t="str">
            <v>SMT</v>
          </cell>
        </row>
        <row r="6570">
          <cell r="A6570" t="str">
            <v>1RE1ARBPC1A11231</v>
          </cell>
          <cell r="B6570" t="str">
            <v>SMT</v>
          </cell>
        </row>
        <row r="6571">
          <cell r="A6571" t="str">
            <v>1RH1ARBPC1A09174</v>
          </cell>
          <cell r="B6571" t="str">
            <v>SMT</v>
          </cell>
          <cell r="E6571">
            <v>8210</v>
          </cell>
          <cell r="F6571" t="str">
            <v>V501</v>
          </cell>
          <cell r="G6571" t="str">
            <v>Auto</v>
          </cell>
          <cell r="H6571">
            <v>311</v>
          </cell>
          <cell r="I6571">
            <v>8210</v>
          </cell>
          <cell r="J6571">
            <v>8220</v>
          </cell>
          <cell r="K6571" t="str">
            <v>V501</v>
          </cell>
        </row>
        <row r="6572">
          <cell r="A6572" t="str">
            <v>1AE1ARBPC1A09174</v>
          </cell>
          <cell r="B6572" t="str">
            <v>SMT</v>
          </cell>
        </row>
        <row r="6573">
          <cell r="A6573" t="str">
            <v>1RE1ARBPC1A09174</v>
          </cell>
          <cell r="B6573" t="str">
            <v>SMT</v>
          </cell>
        </row>
        <row r="6574">
          <cell r="A6574" t="str">
            <v>1RH1ARBPC1A07172</v>
          </cell>
          <cell r="B6574" t="str">
            <v>SMT</v>
          </cell>
          <cell r="E6574">
            <v>8210</v>
          </cell>
          <cell r="F6574" t="str">
            <v>V501</v>
          </cell>
          <cell r="G6574" t="str">
            <v>Auto</v>
          </cell>
          <cell r="H6574">
            <v>311</v>
          </cell>
          <cell r="I6574">
            <v>8210</v>
          </cell>
          <cell r="J6574">
            <v>8220</v>
          </cell>
          <cell r="K6574" t="str">
            <v>V501</v>
          </cell>
        </row>
        <row r="6575">
          <cell r="A6575" t="str">
            <v>1AE1ARBPC1A07172</v>
          </cell>
          <cell r="B6575" t="str">
            <v>SMT</v>
          </cell>
        </row>
        <row r="6576">
          <cell r="A6576" t="str">
            <v>1RE1ARBPC1A07172</v>
          </cell>
          <cell r="B6576" t="str">
            <v>SMT</v>
          </cell>
        </row>
        <row r="6577">
          <cell r="A6577" t="str">
            <v>1CM1ARBPC1A07490</v>
          </cell>
          <cell r="B6577" t="str">
            <v>SMT</v>
          </cell>
          <cell r="E6577">
            <v>8210</v>
          </cell>
          <cell r="F6577" t="str">
            <v>V501</v>
          </cell>
          <cell r="G6577" t="str">
            <v>Auto</v>
          </cell>
          <cell r="H6577">
            <v>311</v>
          </cell>
          <cell r="I6577">
            <v>8210</v>
          </cell>
          <cell r="J6577">
            <v>8220</v>
          </cell>
          <cell r="K6577" t="str">
            <v>V501</v>
          </cell>
        </row>
        <row r="6578">
          <cell r="A6578" t="str">
            <v>1RH1ARBPC1A07490</v>
          </cell>
          <cell r="B6578" t="str">
            <v>SMT</v>
          </cell>
        </row>
        <row r="6579">
          <cell r="A6579" t="str">
            <v>1AE1ARBPC1A07490</v>
          </cell>
          <cell r="B6579" t="str">
            <v>SMT</v>
          </cell>
        </row>
        <row r="6580">
          <cell r="A6580" t="str">
            <v>1RH1ARBPC1A09832</v>
          </cell>
          <cell r="B6580" t="str">
            <v>SMT</v>
          </cell>
          <cell r="E6580">
            <v>8210</v>
          </cell>
          <cell r="F6580" t="str">
            <v>V501</v>
          </cell>
          <cell r="G6580" t="str">
            <v>Auto</v>
          </cell>
          <cell r="H6580">
            <v>311</v>
          </cell>
          <cell r="I6580">
            <v>8210</v>
          </cell>
          <cell r="J6580">
            <v>8220</v>
          </cell>
          <cell r="K6580" t="str">
            <v>V501</v>
          </cell>
        </row>
        <row r="6581">
          <cell r="A6581" t="str">
            <v>1AE1ARBPC1A09832</v>
          </cell>
          <cell r="B6581" t="str">
            <v>SMT</v>
          </cell>
        </row>
        <row r="6582">
          <cell r="A6582" t="str">
            <v>1RE1ARBPC1A09832</v>
          </cell>
          <cell r="B6582" t="str">
            <v>SMT</v>
          </cell>
        </row>
        <row r="6583">
          <cell r="A6583" t="str">
            <v>1RH1ARBPC1A11252</v>
          </cell>
          <cell r="B6583" t="str">
            <v>SMT</v>
          </cell>
          <cell r="E6583">
            <v>8210</v>
          </cell>
          <cell r="F6583" t="str">
            <v>V501</v>
          </cell>
          <cell r="G6583" t="str">
            <v>Auto</v>
          </cell>
          <cell r="H6583">
            <v>311</v>
          </cell>
          <cell r="I6583">
            <v>8210</v>
          </cell>
          <cell r="J6583">
            <v>8220</v>
          </cell>
          <cell r="K6583" t="str">
            <v>V501</v>
          </cell>
        </row>
        <row r="6584">
          <cell r="A6584" t="str">
            <v>1AE1ARBPC1A11252</v>
          </cell>
          <cell r="B6584" t="str">
            <v>SMT</v>
          </cell>
        </row>
        <row r="6585">
          <cell r="A6585" t="str">
            <v>1RE1ARBPC1A11252</v>
          </cell>
          <cell r="B6585" t="str">
            <v>SMT</v>
          </cell>
        </row>
        <row r="6586">
          <cell r="A6586" t="str">
            <v>1RE1ARBPLLA00770</v>
          </cell>
          <cell r="B6586" t="str">
            <v>SMT</v>
          </cell>
          <cell r="E6586">
            <v>8210</v>
          </cell>
          <cell r="F6586" t="str">
            <v>V501</v>
          </cell>
          <cell r="G6586" t="str">
            <v>Auto</v>
          </cell>
          <cell r="H6586">
            <v>311</v>
          </cell>
          <cell r="I6586">
            <v>8210</v>
          </cell>
          <cell r="J6586">
            <v>8310</v>
          </cell>
          <cell r="K6586" t="str">
            <v>V501</v>
          </cell>
        </row>
        <row r="6587">
          <cell r="A6587" t="str">
            <v>1AE1ARBPC1A12371</v>
          </cell>
          <cell r="B6587" t="str">
            <v>SMT</v>
          </cell>
        </row>
        <row r="6588">
          <cell r="A6588" t="str">
            <v>1RH1ARBPC1A12371</v>
          </cell>
          <cell r="B6588" t="str">
            <v>SMT</v>
          </cell>
        </row>
        <row r="6589">
          <cell r="A6589" t="str">
            <v>1RE1ARBPC1A12371</v>
          </cell>
          <cell r="B6589" t="str">
            <v>SMT</v>
          </cell>
        </row>
        <row r="6590">
          <cell r="A6590" t="str">
            <v>1CM1ARBPC1A12371</v>
          </cell>
          <cell r="B6590" t="str">
            <v>SMT</v>
          </cell>
          <cell r="E6590">
            <v>8210</v>
          </cell>
          <cell r="F6590" t="str">
            <v>V501</v>
          </cell>
          <cell r="G6590" t="str">
            <v>Auto</v>
          </cell>
          <cell r="H6590">
            <v>311</v>
          </cell>
          <cell r="I6590">
            <v>8210</v>
          </cell>
          <cell r="J6590">
            <v>8220</v>
          </cell>
          <cell r="K6590" t="str">
            <v>V501</v>
          </cell>
        </row>
        <row r="6591">
          <cell r="A6591" t="str">
            <v>1CM1ARBPC1A04075</v>
          </cell>
          <cell r="B6591" t="str">
            <v>SMT</v>
          </cell>
          <cell r="E6591">
            <v>8210</v>
          </cell>
          <cell r="F6591" t="str">
            <v>V501</v>
          </cell>
          <cell r="G6591" t="str">
            <v>Auto</v>
          </cell>
          <cell r="H6591">
            <v>311</v>
          </cell>
          <cell r="I6591">
            <v>8210</v>
          </cell>
          <cell r="J6591">
            <v>8220</v>
          </cell>
          <cell r="K6591" t="str">
            <v>V501</v>
          </cell>
        </row>
        <row r="6592">
          <cell r="A6592" t="str">
            <v>1RH1ARBPC1A04075</v>
          </cell>
          <cell r="B6592" t="str">
            <v>SMT</v>
          </cell>
        </row>
        <row r="6593">
          <cell r="A6593" t="str">
            <v>1AE1ARBPC1A04072</v>
          </cell>
          <cell r="B6593" t="str">
            <v>SMT</v>
          </cell>
        </row>
        <row r="6594">
          <cell r="A6594" t="str">
            <v>1RH1ARBPC1A09852</v>
          </cell>
          <cell r="B6594" t="str">
            <v>SMT</v>
          </cell>
          <cell r="E6594">
            <v>8210</v>
          </cell>
          <cell r="F6594" t="str">
            <v>V501</v>
          </cell>
          <cell r="G6594" t="str">
            <v>Auto</v>
          </cell>
          <cell r="H6594">
            <v>311</v>
          </cell>
          <cell r="I6594">
            <v>8210</v>
          </cell>
          <cell r="J6594">
            <v>8220</v>
          </cell>
          <cell r="K6594" t="str">
            <v>V501</v>
          </cell>
        </row>
        <row r="6595">
          <cell r="A6595" t="str">
            <v>1AE1ARBPC1A09852</v>
          </cell>
          <cell r="B6595" t="str">
            <v>SMT</v>
          </cell>
        </row>
        <row r="6596">
          <cell r="A6596" t="str">
            <v>1RE1ARBPC1A09852</v>
          </cell>
          <cell r="B6596" t="str">
            <v>SMT</v>
          </cell>
        </row>
        <row r="6597">
          <cell r="A6597" t="str">
            <v>1RH1ARBPC1A13200</v>
          </cell>
          <cell r="B6597" t="str">
            <v>SMT</v>
          </cell>
          <cell r="E6597">
            <v>8210</v>
          </cell>
          <cell r="F6597" t="str">
            <v>V501</v>
          </cell>
          <cell r="G6597" t="str">
            <v>Auto</v>
          </cell>
          <cell r="H6597">
            <v>311</v>
          </cell>
          <cell r="I6597">
            <v>8210</v>
          </cell>
          <cell r="J6597">
            <v>8220</v>
          </cell>
          <cell r="K6597" t="str">
            <v>V501</v>
          </cell>
        </row>
        <row r="6598">
          <cell r="A6598" t="str">
            <v>1AE1ARBPC1A13200</v>
          </cell>
          <cell r="B6598" t="str">
            <v>SMT</v>
          </cell>
        </row>
        <row r="6599">
          <cell r="A6599" t="str">
            <v>1RE1ARBPC1A13200</v>
          </cell>
          <cell r="B6599" t="str">
            <v>SMT</v>
          </cell>
        </row>
        <row r="6600">
          <cell r="A6600" t="str">
            <v>1CM1ARBPC1A12361</v>
          </cell>
          <cell r="B6600" t="str">
            <v>SMT</v>
          </cell>
          <cell r="E6600">
            <v>8210</v>
          </cell>
          <cell r="F6600" t="str">
            <v>V501</v>
          </cell>
          <cell r="G6600" t="str">
            <v>Auto</v>
          </cell>
          <cell r="H6600">
            <v>311</v>
          </cell>
          <cell r="I6600">
            <v>8210</v>
          </cell>
          <cell r="J6600">
            <v>8220</v>
          </cell>
          <cell r="K6600" t="str">
            <v>V501</v>
          </cell>
        </row>
        <row r="6601">
          <cell r="A6601" t="str">
            <v>1RH1ARBPC1A12361</v>
          </cell>
          <cell r="B6601" t="str">
            <v>SMT</v>
          </cell>
        </row>
        <row r="6602">
          <cell r="A6602" t="str">
            <v>1AE1ARBPC1A12361</v>
          </cell>
          <cell r="B6602" t="str">
            <v>SMT</v>
          </cell>
        </row>
        <row r="6603">
          <cell r="A6603" t="str">
            <v>1RE1ARBPC1A12361</v>
          </cell>
          <cell r="B6603" t="str">
            <v>SMT</v>
          </cell>
        </row>
        <row r="6604">
          <cell r="A6604" t="str">
            <v>1CM1ARBPC1A12631</v>
          </cell>
          <cell r="B6604" t="str">
            <v>SMT</v>
          </cell>
          <cell r="E6604">
            <v>8210</v>
          </cell>
          <cell r="F6604" t="str">
            <v>V501</v>
          </cell>
          <cell r="G6604" t="str">
            <v>Auto</v>
          </cell>
          <cell r="H6604">
            <v>311</v>
          </cell>
          <cell r="I6604">
            <v>8210</v>
          </cell>
          <cell r="J6604">
            <v>8220</v>
          </cell>
          <cell r="K6604" t="str">
            <v>V501</v>
          </cell>
        </row>
        <row r="6605">
          <cell r="A6605" t="str">
            <v>1RH1ARBPC1A12631</v>
          </cell>
          <cell r="B6605" t="str">
            <v>SMT</v>
          </cell>
        </row>
        <row r="6606">
          <cell r="A6606" t="str">
            <v>1AE1ARBPC1A12631</v>
          </cell>
          <cell r="B6606" t="str">
            <v>SMT</v>
          </cell>
        </row>
        <row r="6607">
          <cell r="A6607" t="str">
            <v>1RE1ARBPC1A12631</v>
          </cell>
          <cell r="B6607" t="str">
            <v>SMT</v>
          </cell>
        </row>
        <row r="6608">
          <cell r="A6608" t="str">
            <v>1CM1ARBPC1A12911</v>
          </cell>
          <cell r="B6608" t="str">
            <v>SMT</v>
          </cell>
          <cell r="E6608">
            <v>8210</v>
          </cell>
          <cell r="F6608" t="str">
            <v>V501</v>
          </cell>
          <cell r="G6608" t="str">
            <v>Auto</v>
          </cell>
          <cell r="H6608">
            <v>311</v>
          </cell>
          <cell r="I6608">
            <v>8210</v>
          </cell>
          <cell r="J6608">
            <v>8220</v>
          </cell>
          <cell r="K6608" t="str">
            <v>V501</v>
          </cell>
        </row>
        <row r="6609">
          <cell r="A6609" t="str">
            <v>1RH1ARBPC1A12911</v>
          </cell>
          <cell r="B6609" t="str">
            <v>SMT</v>
          </cell>
        </row>
        <row r="6610">
          <cell r="A6610" t="str">
            <v>1AE1ARBPC1A12911</v>
          </cell>
          <cell r="B6610" t="str">
            <v>SMT</v>
          </cell>
        </row>
        <row r="6611">
          <cell r="A6611" t="str">
            <v>1RE1ARBPC1A12911</v>
          </cell>
          <cell r="B6611" t="str">
            <v>SMT</v>
          </cell>
        </row>
        <row r="6612">
          <cell r="A6612" t="str">
            <v>1RH1ARBPC1A13130</v>
          </cell>
          <cell r="B6612" t="str">
            <v>SMT</v>
          </cell>
          <cell r="E6612">
            <v>8210</v>
          </cell>
          <cell r="F6612" t="str">
            <v>V501</v>
          </cell>
          <cell r="G6612" t="str">
            <v>Auto</v>
          </cell>
          <cell r="H6612">
            <v>311</v>
          </cell>
          <cell r="I6612">
            <v>8210</v>
          </cell>
          <cell r="J6612">
            <v>8220</v>
          </cell>
          <cell r="K6612" t="str">
            <v>V501</v>
          </cell>
        </row>
        <row r="6613">
          <cell r="A6613" t="str">
            <v>1AE1ARBPC1A13130</v>
          </cell>
          <cell r="B6613" t="str">
            <v>SMT</v>
          </cell>
        </row>
        <row r="6614">
          <cell r="A6614" t="str">
            <v>1RE1ARBPC1A13130</v>
          </cell>
          <cell r="B6614" t="str">
            <v>SMT</v>
          </cell>
        </row>
        <row r="6615">
          <cell r="A6615" t="str">
            <v>1RH1ARBPC1A13220</v>
          </cell>
          <cell r="B6615" t="str">
            <v>SMT</v>
          </cell>
          <cell r="E6615">
            <v>8210</v>
          </cell>
          <cell r="F6615" t="str">
            <v>V501</v>
          </cell>
          <cell r="G6615" t="str">
            <v>Auto</v>
          </cell>
          <cell r="H6615">
            <v>311</v>
          </cell>
          <cell r="I6615">
            <v>8210</v>
          </cell>
          <cell r="J6615">
            <v>8220</v>
          </cell>
          <cell r="K6615" t="str">
            <v>V501</v>
          </cell>
        </row>
        <row r="6616">
          <cell r="A6616" t="str">
            <v>1AE1ARBPC1A13220</v>
          </cell>
          <cell r="B6616" t="str">
            <v>SMT</v>
          </cell>
        </row>
        <row r="6617">
          <cell r="A6617" t="str">
            <v>1RE1ARBPC1A13220</v>
          </cell>
          <cell r="B6617" t="str">
            <v>SMT</v>
          </cell>
        </row>
        <row r="6618">
          <cell r="A6618" t="str">
            <v>1RH1ARBPC1A13140</v>
          </cell>
          <cell r="B6618" t="str">
            <v>SMT</v>
          </cell>
          <cell r="E6618">
            <v>8210</v>
          </cell>
          <cell r="F6618" t="str">
            <v>V501</v>
          </cell>
          <cell r="G6618" t="str">
            <v>Auto</v>
          </cell>
          <cell r="H6618">
            <v>311</v>
          </cell>
          <cell r="I6618">
            <v>8210</v>
          </cell>
          <cell r="J6618">
            <v>8220</v>
          </cell>
          <cell r="K6618" t="str">
            <v>V501</v>
          </cell>
        </row>
        <row r="6619">
          <cell r="A6619" t="str">
            <v>1AE1ARBPC1A13140</v>
          </cell>
          <cell r="B6619" t="str">
            <v>SMT</v>
          </cell>
        </row>
        <row r="6620">
          <cell r="A6620" t="str">
            <v>1RE1ARBPC1A13140</v>
          </cell>
          <cell r="B6620" t="str">
            <v>SMT</v>
          </cell>
        </row>
        <row r="6621">
          <cell r="A6621" t="str">
            <v>1RH1ARBPC1A13110</v>
          </cell>
          <cell r="B6621" t="str">
            <v>SMT</v>
          </cell>
          <cell r="E6621">
            <v>8210</v>
          </cell>
          <cell r="F6621" t="str">
            <v>V501</v>
          </cell>
          <cell r="G6621" t="str">
            <v>Auto</v>
          </cell>
          <cell r="H6621">
            <v>311</v>
          </cell>
          <cell r="I6621">
            <v>8210</v>
          </cell>
          <cell r="J6621">
            <v>8220</v>
          </cell>
          <cell r="K6621" t="str">
            <v>V501</v>
          </cell>
        </row>
        <row r="6622">
          <cell r="A6622" t="str">
            <v>1AE1ARBPC1A13110</v>
          </cell>
          <cell r="B6622" t="str">
            <v>SMT</v>
          </cell>
        </row>
        <row r="6623">
          <cell r="A6623" t="str">
            <v>1RE1ARBPC1A13110</v>
          </cell>
          <cell r="B6623" t="str">
            <v>SMT</v>
          </cell>
        </row>
        <row r="6624">
          <cell r="A6624" t="str">
            <v>1RH1ARBPC1A13170</v>
          </cell>
          <cell r="B6624" t="str">
            <v>SMT</v>
          </cell>
          <cell r="E6624">
            <v>8210</v>
          </cell>
          <cell r="F6624" t="str">
            <v>V501</v>
          </cell>
          <cell r="G6624" t="str">
            <v>Auto</v>
          </cell>
          <cell r="H6624">
            <v>311</v>
          </cell>
          <cell r="I6624">
            <v>8210</v>
          </cell>
          <cell r="J6624">
            <v>8220</v>
          </cell>
          <cell r="K6624" t="str">
            <v>V501</v>
          </cell>
        </row>
        <row r="6625">
          <cell r="A6625" t="str">
            <v>1AE1ARBPC1A13170</v>
          </cell>
          <cell r="B6625" t="str">
            <v>SMT</v>
          </cell>
        </row>
        <row r="6626">
          <cell r="A6626" t="str">
            <v>1RE1ARBPC1A13170</v>
          </cell>
          <cell r="B6626" t="str">
            <v>SMT</v>
          </cell>
        </row>
        <row r="6627">
          <cell r="A6627" t="str">
            <v>1RH1ARBPC1A11401</v>
          </cell>
          <cell r="B6627" t="str">
            <v>SMT</v>
          </cell>
          <cell r="E6627">
            <v>8210</v>
          </cell>
          <cell r="F6627" t="str">
            <v>V501</v>
          </cell>
          <cell r="G6627" t="str">
            <v>Auto</v>
          </cell>
          <cell r="H6627">
            <v>311</v>
          </cell>
          <cell r="I6627">
            <v>8210</v>
          </cell>
          <cell r="J6627">
            <v>8220</v>
          </cell>
          <cell r="K6627" t="str">
            <v>V501</v>
          </cell>
        </row>
        <row r="6628">
          <cell r="A6628" t="str">
            <v>1AE1ARBPC1A11401</v>
          </cell>
          <cell r="B6628" t="str">
            <v>SMT</v>
          </cell>
        </row>
        <row r="6629">
          <cell r="A6629" t="str">
            <v>1RE1ARBPC1A11401</v>
          </cell>
          <cell r="B6629" t="str">
            <v>SMT</v>
          </cell>
        </row>
        <row r="6630">
          <cell r="A6630" t="str">
            <v>1RH1ARBPC1A11411</v>
          </cell>
          <cell r="B6630" t="str">
            <v>SMT</v>
          </cell>
          <cell r="E6630">
            <v>8210</v>
          </cell>
          <cell r="F6630" t="str">
            <v>V501</v>
          </cell>
          <cell r="G6630" t="str">
            <v>Auto</v>
          </cell>
          <cell r="H6630">
            <v>311</v>
          </cell>
          <cell r="I6630">
            <v>8210</v>
          </cell>
          <cell r="J6630">
            <v>8220</v>
          </cell>
          <cell r="K6630" t="str">
            <v>V501</v>
          </cell>
        </row>
        <row r="6631">
          <cell r="A6631" t="str">
            <v>1AE1ARBPC1A11411</v>
          </cell>
          <cell r="B6631" t="str">
            <v>SMT</v>
          </cell>
        </row>
        <row r="6632">
          <cell r="A6632" t="str">
            <v>1RE1ARBPC1A11411</v>
          </cell>
          <cell r="B6632" t="str">
            <v>SMT</v>
          </cell>
        </row>
        <row r="6633">
          <cell r="A6633" t="str">
            <v>1RH1ARBPC1A11411</v>
          </cell>
          <cell r="B6633" t="str">
            <v>SMT</v>
          </cell>
          <cell r="E6633">
            <v>8210</v>
          </cell>
          <cell r="F6633" t="str">
            <v>V501</v>
          </cell>
          <cell r="G6633" t="str">
            <v>Auto</v>
          </cell>
          <cell r="H6633">
            <v>311</v>
          </cell>
          <cell r="I6633">
            <v>8210</v>
          </cell>
          <cell r="J6633">
            <v>8220</v>
          </cell>
          <cell r="K6633" t="str">
            <v>V501</v>
          </cell>
        </row>
        <row r="6634">
          <cell r="A6634" t="str">
            <v>1AE1ARBPC1A11411</v>
          </cell>
          <cell r="B6634" t="str">
            <v>SMT</v>
          </cell>
        </row>
        <row r="6635">
          <cell r="A6635" t="str">
            <v>1RE1ARBPC1A11411</v>
          </cell>
          <cell r="B6635" t="str">
            <v>SMT</v>
          </cell>
        </row>
        <row r="6636">
          <cell r="A6636" t="str">
            <v>1RH1ARBPC1A11463</v>
          </cell>
          <cell r="B6636" t="str">
            <v>SMT</v>
          </cell>
          <cell r="E6636">
            <v>8210</v>
          </cell>
          <cell r="F6636" t="str">
            <v>V501</v>
          </cell>
          <cell r="G6636" t="str">
            <v>Auto</v>
          </cell>
          <cell r="H6636">
            <v>311</v>
          </cell>
          <cell r="I6636">
            <v>8210</v>
          </cell>
          <cell r="J6636">
            <v>8220</v>
          </cell>
          <cell r="K6636" t="str">
            <v>V501</v>
          </cell>
        </row>
        <row r="6637">
          <cell r="A6637" t="str">
            <v>1AE1ARBPC1A11463</v>
          </cell>
          <cell r="B6637" t="str">
            <v>SMT</v>
          </cell>
        </row>
        <row r="6638">
          <cell r="A6638" t="str">
            <v>1RE1ARBPC1A11463</v>
          </cell>
          <cell r="B6638" t="str">
            <v>SMT</v>
          </cell>
        </row>
        <row r="6639">
          <cell r="A6639" t="str">
            <v>1CM1ARBPC1A04075</v>
          </cell>
          <cell r="B6639" t="str">
            <v>SMT</v>
          </cell>
          <cell r="E6639">
            <v>8210</v>
          </cell>
          <cell r="F6639" t="str">
            <v>V501</v>
          </cell>
          <cell r="G6639" t="str">
            <v>Auto</v>
          </cell>
          <cell r="H6639">
            <v>311</v>
          </cell>
          <cell r="I6639">
            <v>8210</v>
          </cell>
          <cell r="J6639">
            <v>8220</v>
          </cell>
          <cell r="K6639" t="str">
            <v>V501</v>
          </cell>
        </row>
        <row r="6640">
          <cell r="A6640" t="str">
            <v>1RH1ARBPC1A04075</v>
          </cell>
          <cell r="B6640" t="str">
            <v>SMT</v>
          </cell>
        </row>
        <row r="6641">
          <cell r="A6641" t="str">
            <v>1RH1ARBPC1A09823</v>
          </cell>
          <cell r="B6641" t="str">
            <v>SMT</v>
          </cell>
          <cell r="E6641">
            <v>8210</v>
          </cell>
          <cell r="F6641" t="str">
            <v>V501</v>
          </cell>
          <cell r="G6641" t="str">
            <v>Auto</v>
          </cell>
          <cell r="H6641">
            <v>311</v>
          </cell>
          <cell r="I6641">
            <v>8210</v>
          </cell>
          <cell r="J6641">
            <v>8220</v>
          </cell>
          <cell r="K6641" t="str">
            <v>V501</v>
          </cell>
        </row>
        <row r="6642">
          <cell r="A6642" t="str">
            <v>1AE1ARBPC1A09823</v>
          </cell>
          <cell r="B6642" t="str">
            <v>SMT</v>
          </cell>
        </row>
        <row r="6643">
          <cell r="A6643" t="str">
            <v>1RE1ARBPC1A09823</v>
          </cell>
          <cell r="B6643" t="str">
            <v>SMT</v>
          </cell>
        </row>
        <row r="6644">
          <cell r="A6644" t="str">
            <v>1RH1ARBPC1A13130</v>
          </cell>
          <cell r="B6644" t="str">
            <v>SMT</v>
          </cell>
          <cell r="E6644">
            <v>8210</v>
          </cell>
          <cell r="F6644" t="str">
            <v>V501</v>
          </cell>
          <cell r="G6644" t="str">
            <v>Auto</v>
          </cell>
          <cell r="H6644">
            <v>311</v>
          </cell>
          <cell r="I6644">
            <v>8210</v>
          </cell>
          <cell r="J6644">
            <v>8220</v>
          </cell>
          <cell r="K6644" t="str">
            <v>V501</v>
          </cell>
        </row>
        <row r="6645">
          <cell r="A6645" t="str">
            <v>1AE1ARBPC1A13130</v>
          </cell>
          <cell r="B6645" t="str">
            <v>SMT</v>
          </cell>
        </row>
        <row r="6646">
          <cell r="A6646" t="str">
            <v>1RE1ARBPC1A13130</v>
          </cell>
          <cell r="B6646" t="str">
            <v>SMT</v>
          </cell>
        </row>
        <row r="6647">
          <cell r="A6647" t="str">
            <v>1RH1ARBPC1A13160</v>
          </cell>
          <cell r="B6647" t="str">
            <v>SMT</v>
          </cell>
          <cell r="E6647">
            <v>8210</v>
          </cell>
          <cell r="F6647" t="str">
            <v>V501</v>
          </cell>
          <cell r="G6647" t="str">
            <v>Auto</v>
          </cell>
          <cell r="H6647">
            <v>311</v>
          </cell>
          <cell r="I6647">
            <v>8210</v>
          </cell>
          <cell r="J6647">
            <v>8220</v>
          </cell>
          <cell r="K6647" t="str">
            <v>V501</v>
          </cell>
        </row>
        <row r="6648">
          <cell r="A6648" t="str">
            <v>1AE1ARBPC1A13160</v>
          </cell>
          <cell r="B6648" t="str">
            <v>SMT</v>
          </cell>
        </row>
        <row r="6649">
          <cell r="A6649" t="str">
            <v>1RE1ARBPC1A13160</v>
          </cell>
          <cell r="B6649" t="str">
            <v>SMT</v>
          </cell>
        </row>
        <row r="6650">
          <cell r="A6650" t="str">
            <v>1RE2A605S-3J0Z-T</v>
          </cell>
          <cell r="B6650" t="str">
            <v>SMT</v>
          </cell>
          <cell r="E6650">
            <v>6210</v>
          </cell>
          <cell r="F6650" t="str">
            <v>VG01</v>
          </cell>
          <cell r="G6650" t="str">
            <v>Auto</v>
          </cell>
          <cell r="H6650">
            <v>311</v>
          </cell>
          <cell r="I6650">
            <v>6210</v>
          </cell>
          <cell r="J6650">
            <v>6220</v>
          </cell>
          <cell r="K6650" t="str">
            <v>VG01</v>
          </cell>
        </row>
        <row r="6651">
          <cell r="A6651" t="str">
            <v>1RH1ARBPC1A09852</v>
          </cell>
          <cell r="B6651" t="str">
            <v>SMT</v>
          </cell>
          <cell r="E6651">
            <v>8210</v>
          </cell>
          <cell r="F6651" t="str">
            <v>V501</v>
          </cell>
          <cell r="G6651" t="str">
            <v>Auto</v>
          </cell>
          <cell r="H6651">
            <v>311</v>
          </cell>
          <cell r="I6651">
            <v>8210</v>
          </cell>
          <cell r="J6651">
            <v>8220</v>
          </cell>
          <cell r="K6651" t="str">
            <v>V501</v>
          </cell>
        </row>
        <row r="6652">
          <cell r="A6652" t="str">
            <v>1AE1ARBPC1A09852</v>
          </cell>
          <cell r="B6652" t="str">
            <v>SMT</v>
          </cell>
        </row>
        <row r="6653">
          <cell r="A6653" t="str">
            <v>1RE1ARBPC1A09852</v>
          </cell>
          <cell r="B6653" t="str">
            <v>SMT</v>
          </cell>
        </row>
        <row r="6654">
          <cell r="A6654" t="str">
            <v>1RH1ARBPC1A13200</v>
          </cell>
          <cell r="B6654" t="str">
            <v>SMT</v>
          </cell>
          <cell r="E6654">
            <v>8210</v>
          </cell>
          <cell r="F6654" t="str">
            <v>V501</v>
          </cell>
          <cell r="G6654" t="str">
            <v>Auto</v>
          </cell>
          <cell r="H6654">
            <v>311</v>
          </cell>
          <cell r="I6654">
            <v>8210</v>
          </cell>
          <cell r="J6654">
            <v>8220</v>
          </cell>
          <cell r="K6654" t="str">
            <v>V501</v>
          </cell>
        </row>
        <row r="6655">
          <cell r="A6655" t="str">
            <v>1AE1ARBPC1A13200</v>
          </cell>
          <cell r="B6655" t="str">
            <v>SMT</v>
          </cell>
        </row>
        <row r="6656">
          <cell r="A6656" t="str">
            <v>1RE1ARBPC1A13200</v>
          </cell>
          <cell r="B6656" t="str">
            <v>SMT</v>
          </cell>
        </row>
        <row r="6657">
          <cell r="A6657" t="str">
            <v>1CM1ARBPC1A12361</v>
          </cell>
          <cell r="B6657" t="str">
            <v>SMT</v>
          </cell>
          <cell r="E6657">
            <v>8210</v>
          </cell>
          <cell r="F6657" t="str">
            <v>V501</v>
          </cell>
          <cell r="G6657" t="str">
            <v>Auto</v>
          </cell>
          <cell r="H6657">
            <v>311</v>
          </cell>
          <cell r="I6657">
            <v>8210</v>
          </cell>
          <cell r="J6657">
            <v>8220</v>
          </cell>
          <cell r="K6657" t="str">
            <v>V501</v>
          </cell>
        </row>
        <row r="6658">
          <cell r="A6658" t="str">
            <v>1RH1ARBPC1A12361</v>
          </cell>
          <cell r="B6658" t="str">
            <v>SMT</v>
          </cell>
        </row>
        <row r="6659">
          <cell r="A6659" t="str">
            <v>1AE1ARBPC1A12361</v>
          </cell>
          <cell r="B6659" t="str">
            <v>SMT</v>
          </cell>
        </row>
        <row r="6660">
          <cell r="A6660" t="str">
            <v>1RE1ARBPC1A12361</v>
          </cell>
          <cell r="B6660" t="str">
            <v>SMT</v>
          </cell>
        </row>
        <row r="6661">
          <cell r="A6661" t="str">
            <v>1RH1ARBPC1A13220</v>
          </cell>
          <cell r="B6661" t="str">
            <v>SMT</v>
          </cell>
          <cell r="E6661">
            <v>8210</v>
          </cell>
          <cell r="F6661" t="str">
            <v>V501</v>
          </cell>
          <cell r="G6661" t="str">
            <v>Auto</v>
          </cell>
          <cell r="H6661">
            <v>311</v>
          </cell>
          <cell r="I6661">
            <v>8210</v>
          </cell>
          <cell r="J6661">
            <v>8220</v>
          </cell>
          <cell r="K6661" t="str">
            <v>V501</v>
          </cell>
        </row>
        <row r="6662">
          <cell r="A6662" t="str">
            <v>1AE1ARBPC1A13220</v>
          </cell>
          <cell r="B6662" t="str">
            <v>SMT</v>
          </cell>
        </row>
        <row r="6663">
          <cell r="A6663" t="str">
            <v>1RE1ARBPC1A13220</v>
          </cell>
          <cell r="B6663" t="str">
            <v>SMT</v>
          </cell>
        </row>
        <row r="6664">
          <cell r="A6664" t="str">
            <v>1RH1ARBPC1A13140</v>
          </cell>
          <cell r="B6664" t="str">
            <v>SMT</v>
          </cell>
          <cell r="E6664">
            <v>8210</v>
          </cell>
          <cell r="F6664" t="str">
            <v>V501</v>
          </cell>
          <cell r="G6664" t="str">
            <v>Auto</v>
          </cell>
          <cell r="H6664">
            <v>311</v>
          </cell>
          <cell r="I6664">
            <v>8210</v>
          </cell>
          <cell r="J6664">
            <v>8220</v>
          </cell>
          <cell r="K6664" t="str">
            <v>V501</v>
          </cell>
        </row>
        <row r="6665">
          <cell r="A6665" t="str">
            <v>1AE1ARBPC1A13140</v>
          </cell>
          <cell r="B6665" t="str">
            <v>SMT</v>
          </cell>
        </row>
        <row r="6666">
          <cell r="A6666" t="str">
            <v>1RE1ARBPC1A13140</v>
          </cell>
          <cell r="B6666" t="str">
            <v>SMT</v>
          </cell>
        </row>
        <row r="6667">
          <cell r="A6667" t="str">
            <v>1RH1ARBPC1A13110</v>
          </cell>
          <cell r="B6667" t="str">
            <v>SMT</v>
          </cell>
          <cell r="E6667">
            <v>8210</v>
          </cell>
          <cell r="F6667" t="str">
            <v>V501</v>
          </cell>
          <cell r="G6667" t="str">
            <v>Auto</v>
          </cell>
          <cell r="H6667">
            <v>311</v>
          </cell>
          <cell r="I6667">
            <v>8210</v>
          </cell>
          <cell r="J6667">
            <v>8220</v>
          </cell>
          <cell r="K6667" t="str">
            <v>V501</v>
          </cell>
        </row>
        <row r="6668">
          <cell r="A6668" t="str">
            <v>1AE1ARBPC1A13110</v>
          </cell>
          <cell r="B6668" t="str">
            <v>SMT</v>
          </cell>
        </row>
        <row r="6669">
          <cell r="A6669" t="str">
            <v>1RE1ARBPC1A13110</v>
          </cell>
          <cell r="B6669" t="str">
            <v>SMT</v>
          </cell>
        </row>
        <row r="6670">
          <cell r="A6670" t="str">
            <v>1RH1ARBPC1A13170</v>
          </cell>
          <cell r="B6670" t="str">
            <v>SMT</v>
          </cell>
          <cell r="E6670">
            <v>8210</v>
          </cell>
          <cell r="F6670" t="str">
            <v>V501</v>
          </cell>
          <cell r="G6670" t="str">
            <v>Auto</v>
          </cell>
          <cell r="H6670">
            <v>311</v>
          </cell>
          <cell r="I6670">
            <v>8210</v>
          </cell>
          <cell r="J6670">
            <v>8220</v>
          </cell>
          <cell r="K6670" t="str">
            <v>V501</v>
          </cell>
        </row>
        <row r="6671">
          <cell r="A6671" t="str">
            <v>1AE1ARBPC1A13170</v>
          </cell>
          <cell r="B6671" t="str">
            <v>SMT</v>
          </cell>
        </row>
        <row r="6672">
          <cell r="A6672" t="str">
            <v>1RE1ARBPC1A13170</v>
          </cell>
          <cell r="B6672" t="str">
            <v>SMT</v>
          </cell>
        </row>
        <row r="6673">
          <cell r="A6673" t="str">
            <v>1RH1ARBPC1A13120</v>
          </cell>
          <cell r="B6673" t="str">
            <v>SMT</v>
          </cell>
          <cell r="E6673">
            <v>8210</v>
          </cell>
          <cell r="F6673" t="str">
            <v>V501</v>
          </cell>
          <cell r="G6673" t="str">
            <v>Auto</v>
          </cell>
          <cell r="H6673">
            <v>311</v>
          </cell>
          <cell r="I6673">
            <v>8210</v>
          </cell>
          <cell r="J6673">
            <v>8220</v>
          </cell>
          <cell r="K6673" t="str">
            <v>V501</v>
          </cell>
        </row>
        <row r="6674">
          <cell r="A6674" t="str">
            <v>1AE1ARBPC1A13120</v>
          </cell>
          <cell r="B6674" t="str">
            <v>SMT</v>
          </cell>
        </row>
        <row r="6675">
          <cell r="A6675" t="str">
            <v>1RE1ARBPC1A13120</v>
          </cell>
          <cell r="B6675" t="str">
            <v>SMT</v>
          </cell>
        </row>
        <row r="6676">
          <cell r="A6676" t="str">
            <v>1CM1ARBPC1A07514</v>
          </cell>
          <cell r="B6676" t="str">
            <v>SMT</v>
          </cell>
          <cell r="E6676">
            <v>8210</v>
          </cell>
          <cell r="F6676" t="str">
            <v>V501</v>
          </cell>
          <cell r="G6676" t="str">
            <v>Auto</v>
          </cell>
          <cell r="H6676">
            <v>311</v>
          </cell>
          <cell r="I6676">
            <v>8210</v>
          </cell>
          <cell r="J6676">
            <v>8220</v>
          </cell>
          <cell r="K6676" t="str">
            <v>V501</v>
          </cell>
        </row>
        <row r="6677">
          <cell r="A6677" t="str">
            <v>1RH1ARBPC1A07514</v>
          </cell>
          <cell r="B6677" t="str">
            <v>SMT</v>
          </cell>
        </row>
        <row r="6678">
          <cell r="A6678" t="str">
            <v>1AE1ARBPC1A07514</v>
          </cell>
          <cell r="B6678" t="str">
            <v>SMT</v>
          </cell>
        </row>
        <row r="6679">
          <cell r="A6679" t="str">
            <v>1RE1ARBPC1A07514</v>
          </cell>
          <cell r="B6679" t="str">
            <v>SMT</v>
          </cell>
        </row>
        <row r="6680">
          <cell r="A6680" t="str">
            <v>1CM1ARBPC1A13210</v>
          </cell>
          <cell r="B6680" t="str">
            <v>SMT</v>
          </cell>
          <cell r="E6680">
            <v>8210</v>
          </cell>
          <cell r="F6680" t="str">
            <v>V501</v>
          </cell>
          <cell r="G6680" t="str">
            <v>Auto</v>
          </cell>
          <cell r="H6680">
            <v>311</v>
          </cell>
          <cell r="I6680">
            <v>8210</v>
          </cell>
          <cell r="J6680">
            <v>8220</v>
          </cell>
          <cell r="K6680" t="str">
            <v>V501</v>
          </cell>
        </row>
        <row r="6681">
          <cell r="A6681" t="str">
            <v>1RH1ARBPC1A13210</v>
          </cell>
          <cell r="B6681" t="str">
            <v>SMT</v>
          </cell>
        </row>
        <row r="6682">
          <cell r="A6682" t="str">
            <v>1AE1ARBPC1A13210</v>
          </cell>
          <cell r="B6682" t="str">
            <v>SMT</v>
          </cell>
        </row>
        <row r="6683">
          <cell r="A6683" t="str">
            <v>1RE1ARBPC1A13210</v>
          </cell>
          <cell r="B6683" t="str">
            <v>SMT</v>
          </cell>
        </row>
        <row r="6684">
          <cell r="A6684" t="str">
            <v>1RH1ARBPC1A09895</v>
          </cell>
          <cell r="B6684" t="str">
            <v>SMT</v>
          </cell>
          <cell r="E6684">
            <v>8210</v>
          </cell>
          <cell r="F6684" t="str">
            <v>V501</v>
          </cell>
          <cell r="G6684" t="str">
            <v>Auto</v>
          </cell>
          <cell r="H6684">
            <v>311</v>
          </cell>
          <cell r="I6684">
            <v>8210</v>
          </cell>
          <cell r="J6684">
            <v>8220</v>
          </cell>
          <cell r="K6684" t="str">
            <v>V501</v>
          </cell>
        </row>
        <row r="6685">
          <cell r="A6685" t="str">
            <v>1AE1ARBPC1A09895</v>
          </cell>
          <cell r="B6685" t="str">
            <v>SMT</v>
          </cell>
        </row>
        <row r="6686">
          <cell r="A6686" t="str">
            <v>1RE1ARBPC1A09895</v>
          </cell>
          <cell r="B6686" t="str">
            <v>SMT</v>
          </cell>
        </row>
        <row r="6687">
          <cell r="A6687" t="str">
            <v>1RH1ARBPC1A13150</v>
          </cell>
          <cell r="B6687" t="str">
            <v>SMT</v>
          </cell>
          <cell r="E6687">
            <v>8210</v>
          </cell>
          <cell r="F6687" t="str">
            <v>V501</v>
          </cell>
          <cell r="G6687" t="str">
            <v>Auto</v>
          </cell>
          <cell r="H6687">
            <v>311</v>
          </cell>
          <cell r="I6687">
            <v>8210</v>
          </cell>
          <cell r="J6687">
            <v>8220</v>
          </cell>
          <cell r="K6687" t="str">
            <v>V501</v>
          </cell>
        </row>
        <row r="6688">
          <cell r="A6688" t="str">
            <v>1AE1ARBPC1A13150</v>
          </cell>
          <cell r="B6688" t="str">
            <v>SMT</v>
          </cell>
        </row>
        <row r="6689">
          <cell r="A6689" t="str">
            <v>1RE1ARBPC1A13150</v>
          </cell>
          <cell r="B6689" t="str">
            <v>SMT</v>
          </cell>
        </row>
        <row r="6690">
          <cell r="A6690" t="str">
            <v>1RH1ARBPC1A11391</v>
          </cell>
          <cell r="B6690" t="str">
            <v>SMT</v>
          </cell>
          <cell r="E6690">
            <v>8210</v>
          </cell>
          <cell r="F6690" t="str">
            <v>V501</v>
          </cell>
          <cell r="G6690" t="str">
            <v>Auto</v>
          </cell>
          <cell r="H6690">
            <v>311</v>
          </cell>
          <cell r="I6690">
            <v>8210</v>
          </cell>
          <cell r="J6690">
            <v>8220</v>
          </cell>
          <cell r="K6690" t="str">
            <v>V501</v>
          </cell>
        </row>
        <row r="6691">
          <cell r="A6691" t="str">
            <v>1AE1ARBPC1A11391</v>
          </cell>
          <cell r="B6691" t="str">
            <v>SMT</v>
          </cell>
        </row>
        <row r="6692">
          <cell r="A6692" t="str">
            <v>1RE1ARBPC1A11391</v>
          </cell>
          <cell r="B6692" t="str">
            <v>SMT</v>
          </cell>
        </row>
        <row r="6693">
          <cell r="A6693" t="str">
            <v>1RH1ARBPC1A10831</v>
          </cell>
          <cell r="B6693" t="str">
            <v>SMT</v>
          </cell>
          <cell r="E6693">
            <v>8210</v>
          </cell>
          <cell r="F6693" t="str">
            <v>V501</v>
          </cell>
          <cell r="G6693" t="str">
            <v>Auto</v>
          </cell>
          <cell r="H6693">
            <v>311</v>
          </cell>
          <cell r="I6693">
            <v>8210</v>
          </cell>
          <cell r="J6693">
            <v>8220</v>
          </cell>
          <cell r="K6693" t="str">
            <v>V501</v>
          </cell>
        </row>
        <row r="6694">
          <cell r="A6694" t="str">
            <v>1AE1ARBPC1A10831</v>
          </cell>
          <cell r="B6694" t="str">
            <v>SMT</v>
          </cell>
        </row>
        <row r="6695">
          <cell r="A6695" t="str">
            <v>1RE1ARBPC1A10831</v>
          </cell>
          <cell r="B6695" t="str">
            <v>SMT</v>
          </cell>
        </row>
        <row r="6696">
          <cell r="A6696" t="str">
            <v>1RH1RBPC1A09190</v>
          </cell>
          <cell r="B6696" t="str">
            <v>SMT</v>
          </cell>
          <cell r="E6696">
            <v>8210</v>
          </cell>
          <cell r="F6696" t="str">
            <v>V501</v>
          </cell>
          <cell r="G6696" t="str">
            <v>Auto</v>
          </cell>
          <cell r="H6696">
            <v>311</v>
          </cell>
          <cell r="I6696">
            <v>8210</v>
          </cell>
          <cell r="J6696">
            <v>8220</v>
          </cell>
          <cell r="K6696" t="str">
            <v>V501</v>
          </cell>
        </row>
        <row r="6697">
          <cell r="A6697" t="str">
            <v>1AE1RBPC1A09190</v>
          </cell>
          <cell r="B6697" t="str">
            <v>SMT</v>
          </cell>
        </row>
        <row r="6698">
          <cell r="A6698" t="str">
            <v>1RE1RBPC1A09190</v>
          </cell>
          <cell r="B6698" t="str">
            <v>SMT</v>
          </cell>
        </row>
        <row r="6699">
          <cell r="A6699" t="str">
            <v>1CM1ARBP0DA01301</v>
          </cell>
          <cell r="B6699" t="str">
            <v>SMT</v>
          </cell>
          <cell r="E6699">
            <v>8210</v>
          </cell>
          <cell r="F6699" t="str">
            <v>V501</v>
          </cell>
          <cell r="G6699" t="str">
            <v>Auto</v>
          </cell>
          <cell r="H6699">
            <v>311</v>
          </cell>
          <cell r="I6699">
            <v>8210</v>
          </cell>
          <cell r="J6699">
            <v>8220</v>
          </cell>
          <cell r="K6699" t="str">
            <v>V501</v>
          </cell>
        </row>
        <row r="6700">
          <cell r="A6700" t="str">
            <v>1RH1ARBP0DA01301</v>
          </cell>
          <cell r="B6700" t="str">
            <v>SMT</v>
          </cell>
        </row>
        <row r="6701">
          <cell r="A6701" t="str">
            <v>1RE1ARBP0DA01301</v>
          </cell>
          <cell r="B6701" t="str">
            <v>SMT</v>
          </cell>
        </row>
        <row r="6702">
          <cell r="A6702" t="str">
            <v>1RH1ARBPC1A05244</v>
          </cell>
          <cell r="B6702" t="str">
            <v>SMT</v>
          </cell>
          <cell r="E6702">
            <v>8210</v>
          </cell>
          <cell r="F6702" t="str">
            <v>V501</v>
          </cell>
          <cell r="G6702" t="str">
            <v>Auto</v>
          </cell>
          <cell r="H6702">
            <v>311</v>
          </cell>
          <cell r="I6702">
            <v>8210</v>
          </cell>
          <cell r="J6702">
            <v>8220</v>
          </cell>
          <cell r="K6702" t="str">
            <v>V501</v>
          </cell>
        </row>
        <row r="6703">
          <cell r="A6703" t="str">
            <v>1AE1ARBPC1A05242</v>
          </cell>
          <cell r="B6703" t="str">
            <v>SMT</v>
          </cell>
        </row>
        <row r="6704">
          <cell r="A6704" t="str">
            <v>1RE1ARBPC1A05242</v>
          </cell>
          <cell r="B6704" t="str">
            <v>SMT</v>
          </cell>
        </row>
        <row r="6705">
          <cell r="A6705" t="str">
            <v>1CM1ARBPC1A12680</v>
          </cell>
          <cell r="B6705" t="str">
            <v>SMT</v>
          </cell>
          <cell r="E6705">
            <v>8210</v>
          </cell>
          <cell r="F6705" t="str">
            <v>V501</v>
          </cell>
          <cell r="G6705" t="str">
            <v>Auto</v>
          </cell>
          <cell r="H6705">
            <v>311</v>
          </cell>
          <cell r="I6705">
            <v>8210</v>
          </cell>
          <cell r="J6705">
            <v>8220</v>
          </cell>
          <cell r="K6705" t="str">
            <v>V501</v>
          </cell>
        </row>
        <row r="6706">
          <cell r="A6706" t="str">
            <v>1RH1ARBPC1A12680</v>
          </cell>
          <cell r="B6706" t="str">
            <v>SMT</v>
          </cell>
        </row>
        <row r="6707">
          <cell r="A6707" t="str">
            <v>1AE1ARBPC1A12680</v>
          </cell>
          <cell r="B6707" t="str">
            <v>SMT</v>
          </cell>
        </row>
        <row r="6708">
          <cell r="A6708" t="str">
            <v>1RE1ARBPC1A12680</v>
          </cell>
          <cell r="B6708" t="str">
            <v>SMT</v>
          </cell>
        </row>
        <row r="6709">
          <cell r="A6709" t="str">
            <v>1RH1ARBPC1A13180</v>
          </cell>
          <cell r="B6709" t="str">
            <v>SMT</v>
          </cell>
          <cell r="E6709">
            <v>8210</v>
          </cell>
          <cell r="F6709" t="str">
            <v>V501</v>
          </cell>
          <cell r="G6709" t="str">
            <v>Auto</v>
          </cell>
          <cell r="H6709">
            <v>311</v>
          </cell>
          <cell r="I6709">
            <v>8210</v>
          </cell>
          <cell r="J6709">
            <v>8220</v>
          </cell>
          <cell r="K6709" t="str">
            <v>V501</v>
          </cell>
        </row>
        <row r="6710">
          <cell r="A6710" t="str">
            <v>1AE1ARBPC1A13180</v>
          </cell>
          <cell r="B6710" t="str">
            <v>SMT</v>
          </cell>
        </row>
        <row r="6711">
          <cell r="A6711" t="str">
            <v>1RE1ARBPC1A13180</v>
          </cell>
          <cell r="B6711" t="str">
            <v>SMT</v>
          </cell>
        </row>
        <row r="6712">
          <cell r="A6712" t="str">
            <v>1CM1ARBPC1A12362</v>
          </cell>
          <cell r="B6712" t="str">
            <v>SMT</v>
          </cell>
          <cell r="E6712">
            <v>8210</v>
          </cell>
          <cell r="F6712" t="str">
            <v>V501</v>
          </cell>
          <cell r="G6712" t="str">
            <v>Auto</v>
          </cell>
          <cell r="H6712">
            <v>311</v>
          </cell>
          <cell r="I6712">
            <v>8210</v>
          </cell>
          <cell r="J6712">
            <v>8220</v>
          </cell>
          <cell r="K6712" t="str">
            <v>V501</v>
          </cell>
        </row>
        <row r="6713">
          <cell r="A6713" t="str">
            <v>1RH1ARBPC1A12362</v>
          </cell>
          <cell r="B6713" t="str">
            <v>SMT</v>
          </cell>
        </row>
        <row r="6714">
          <cell r="A6714" t="str">
            <v>1AE1ARBPC1A12362</v>
          </cell>
          <cell r="B6714" t="str">
            <v>SMT</v>
          </cell>
        </row>
        <row r="6715">
          <cell r="A6715" t="str">
            <v>1RE1ARBPC1A12362</v>
          </cell>
          <cell r="B6715" t="str">
            <v>SMT</v>
          </cell>
        </row>
        <row r="6716">
          <cell r="A6716" t="str">
            <v>1CM1ARBPC1A12372</v>
          </cell>
          <cell r="B6716" t="str">
            <v>SMT</v>
          </cell>
          <cell r="E6716">
            <v>8210</v>
          </cell>
          <cell r="F6716" t="str">
            <v>V501</v>
          </cell>
          <cell r="G6716" t="str">
            <v>Auto</v>
          </cell>
          <cell r="H6716">
            <v>311</v>
          </cell>
          <cell r="I6716">
            <v>8210</v>
          </cell>
          <cell r="J6716">
            <v>8220</v>
          </cell>
          <cell r="K6716" t="str">
            <v>V501</v>
          </cell>
        </row>
        <row r="6717">
          <cell r="A6717" t="str">
            <v>1RH1ARBPC1A12372</v>
          </cell>
          <cell r="B6717" t="str">
            <v>SMT</v>
          </cell>
        </row>
        <row r="6718">
          <cell r="A6718" t="str">
            <v>1AE1ARBPC1A12372</v>
          </cell>
          <cell r="B6718" t="str">
            <v>SMT</v>
          </cell>
        </row>
        <row r="6719">
          <cell r="A6719" t="str">
            <v>1RE1ARBPC1A12372</v>
          </cell>
          <cell r="B6719" t="str">
            <v>SMT</v>
          </cell>
        </row>
        <row r="6720">
          <cell r="A6720" t="str">
            <v>1AE1ARBPC1A12632</v>
          </cell>
          <cell r="B6720" t="str">
            <v>SMT</v>
          </cell>
        </row>
        <row r="6721">
          <cell r="A6721" t="str">
            <v>1CM1ARBPC1A12632</v>
          </cell>
          <cell r="B6721" t="str">
            <v>SMT</v>
          </cell>
          <cell r="E6721">
            <v>8210</v>
          </cell>
          <cell r="F6721" t="str">
            <v>V501</v>
          </cell>
          <cell r="G6721" t="str">
            <v>Auto</v>
          </cell>
          <cell r="H6721">
            <v>311</v>
          </cell>
          <cell r="I6721">
            <v>8210</v>
          </cell>
          <cell r="J6721">
            <v>8220</v>
          </cell>
          <cell r="K6721" t="str">
            <v>V501</v>
          </cell>
        </row>
        <row r="6722">
          <cell r="A6722" t="str">
            <v>1RE1ARBPC1A12632</v>
          </cell>
          <cell r="B6722" t="str">
            <v>SMT</v>
          </cell>
        </row>
        <row r="6723">
          <cell r="A6723" t="str">
            <v>1RH1ARBPC1A12632</v>
          </cell>
          <cell r="B6723" t="str">
            <v>SMT</v>
          </cell>
        </row>
        <row r="6724">
          <cell r="A6724" t="str">
            <v>1AE1H603L3J82P1-T</v>
          </cell>
          <cell r="B6724" t="str">
            <v>SMT</v>
          </cell>
        </row>
        <row r="6725">
          <cell r="A6725" t="str">
            <v>H62603J81P1</v>
          </cell>
          <cell r="B6725" t="str">
            <v>SMT</v>
          </cell>
        </row>
        <row r="6726">
          <cell r="A6726" t="str">
            <v>1RH1H603L3J82P1-T</v>
          </cell>
          <cell r="B6726" t="str">
            <v>SMT</v>
          </cell>
        </row>
        <row r="6727">
          <cell r="A6727" t="str">
            <v>1RE1H603L3J82P1-T</v>
          </cell>
          <cell r="B6727" t="str">
            <v>SMT</v>
          </cell>
        </row>
        <row r="6728">
          <cell r="A6728" t="str">
            <v>1CM1H603L3J82P1-T</v>
          </cell>
          <cell r="B6728" t="str">
            <v>SMT</v>
          </cell>
          <cell r="E6728">
            <v>6210</v>
          </cell>
          <cell r="F6728" t="str">
            <v>VG01</v>
          </cell>
          <cell r="G6728" t="str">
            <v>Auto</v>
          </cell>
          <cell r="H6728">
            <v>311</v>
          </cell>
          <cell r="I6728">
            <v>6210</v>
          </cell>
          <cell r="J6728">
            <v>6220</v>
          </cell>
          <cell r="K6728" t="str">
            <v>VG01</v>
          </cell>
        </row>
        <row r="6729">
          <cell r="A6729" t="str">
            <v>1RE1A607B3J81P1-T</v>
          </cell>
          <cell r="B6729" t="str">
            <v>SMT</v>
          </cell>
        </row>
        <row r="6730">
          <cell r="A6730" t="str">
            <v>1RE2A607B3J81P1-T</v>
          </cell>
          <cell r="B6730" t="str">
            <v>SMT</v>
          </cell>
          <cell r="E6730">
            <v>6210</v>
          </cell>
          <cell r="F6730" t="str">
            <v>VG01</v>
          </cell>
          <cell r="G6730" t="str">
            <v>Auto</v>
          </cell>
          <cell r="H6730">
            <v>311</v>
          </cell>
          <cell r="I6730">
            <v>6210</v>
          </cell>
          <cell r="J6730">
            <v>6220</v>
          </cell>
          <cell r="K6730" t="str">
            <v>VG01</v>
          </cell>
        </row>
        <row r="6731">
          <cell r="A6731" t="str">
            <v>1RE1H608D-3J80-T</v>
          </cell>
          <cell r="B6731" t="str">
            <v>SMT</v>
          </cell>
        </row>
        <row r="6732">
          <cell r="A6732" t="str">
            <v>1RE2H608D-3J80-T</v>
          </cell>
          <cell r="B6732" t="str">
            <v>SMT</v>
          </cell>
          <cell r="E6732">
            <v>6210</v>
          </cell>
          <cell r="F6732" t="str">
            <v>VG01</v>
          </cell>
          <cell r="G6732" t="str">
            <v>Auto</v>
          </cell>
          <cell r="H6732">
            <v>311</v>
          </cell>
          <cell r="I6732">
            <v>6210</v>
          </cell>
          <cell r="J6732">
            <v>6220</v>
          </cell>
          <cell r="K6732" t="str">
            <v>VG01</v>
          </cell>
        </row>
        <row r="6733">
          <cell r="A6733" t="str">
            <v>H6748-3J80</v>
          </cell>
          <cell r="B6733" t="str">
            <v>SMT</v>
          </cell>
        </row>
        <row r="6734">
          <cell r="A6734" t="str">
            <v>1CM1ARBPC1A08804</v>
          </cell>
          <cell r="B6734" t="str">
            <v>SMT</v>
          </cell>
          <cell r="E6734">
            <v>8210</v>
          </cell>
          <cell r="F6734" t="str">
            <v>V501</v>
          </cell>
          <cell r="G6734" t="str">
            <v>Auto</v>
          </cell>
          <cell r="H6734">
            <v>311</v>
          </cell>
          <cell r="I6734">
            <v>8210</v>
          </cell>
          <cell r="J6734">
            <v>8220</v>
          </cell>
          <cell r="K6734" t="str">
            <v>V501</v>
          </cell>
        </row>
        <row r="6735">
          <cell r="A6735" t="str">
            <v>1RH1ARBPC1A08804</v>
          </cell>
          <cell r="B6735" t="str">
            <v>SMT</v>
          </cell>
        </row>
        <row r="6736">
          <cell r="A6736" t="str">
            <v>1AE1ARBPC1A08804</v>
          </cell>
          <cell r="B6736" t="str">
            <v>SMT</v>
          </cell>
        </row>
        <row r="6737">
          <cell r="A6737" t="str">
            <v>1RE1ARBPC1A08804</v>
          </cell>
          <cell r="B6737" t="str">
            <v>SMT</v>
          </cell>
        </row>
        <row r="6738">
          <cell r="A6738" t="str">
            <v>1CM1ARBPC1A12632</v>
          </cell>
          <cell r="B6738" t="str">
            <v>SMT</v>
          </cell>
          <cell r="E6738">
            <v>8210</v>
          </cell>
          <cell r="F6738" t="str">
            <v>V501</v>
          </cell>
          <cell r="G6738" t="str">
            <v>Auto</v>
          </cell>
          <cell r="H6738">
            <v>311</v>
          </cell>
          <cell r="I6738">
            <v>8210</v>
          </cell>
          <cell r="J6738">
            <v>8220</v>
          </cell>
          <cell r="K6738" t="str">
            <v>V501</v>
          </cell>
        </row>
        <row r="6739">
          <cell r="A6739" t="str">
            <v>1RH1ARBPC1A12632</v>
          </cell>
          <cell r="B6739" t="str">
            <v>SMT</v>
          </cell>
        </row>
        <row r="6740">
          <cell r="A6740" t="str">
            <v>1AE1ARBPC1A12632</v>
          </cell>
          <cell r="B6740" t="str">
            <v>SMT</v>
          </cell>
        </row>
        <row r="6741">
          <cell r="A6741" t="str">
            <v>1RE1ARBPC1A12632</v>
          </cell>
          <cell r="B6741" t="str">
            <v>SMT</v>
          </cell>
        </row>
        <row r="6742">
          <cell r="A6742" t="str">
            <v>1RH1ARBPC1A05246</v>
          </cell>
          <cell r="B6742" t="str">
            <v>SMT</v>
          </cell>
          <cell r="E6742">
            <v>8210</v>
          </cell>
          <cell r="F6742" t="str">
            <v>V501</v>
          </cell>
          <cell r="G6742" t="str">
            <v>Auto</v>
          </cell>
          <cell r="H6742">
            <v>311</v>
          </cell>
          <cell r="I6742">
            <v>8210</v>
          </cell>
          <cell r="J6742">
            <v>8220</v>
          </cell>
          <cell r="K6742" t="str">
            <v>V501</v>
          </cell>
        </row>
        <row r="6743">
          <cell r="A6743" t="str">
            <v>1AE1ARBPC1A05246</v>
          </cell>
          <cell r="B6743" t="str">
            <v>SMT</v>
          </cell>
        </row>
        <row r="6744">
          <cell r="A6744" t="str">
            <v>1RE1ARBPC1A05246</v>
          </cell>
          <cell r="B6744" t="str">
            <v>SMT</v>
          </cell>
        </row>
        <row r="6745">
          <cell r="A6745" t="str">
            <v>1RH1ARBPC1A10014</v>
          </cell>
          <cell r="B6745" t="str">
            <v>SMT</v>
          </cell>
          <cell r="E6745">
            <v>8210</v>
          </cell>
          <cell r="F6745" t="str">
            <v>V501</v>
          </cell>
          <cell r="G6745" t="str">
            <v>Auto</v>
          </cell>
          <cell r="H6745">
            <v>311</v>
          </cell>
          <cell r="I6745">
            <v>8210</v>
          </cell>
          <cell r="J6745">
            <v>8220</v>
          </cell>
          <cell r="K6745" t="str">
            <v>V501</v>
          </cell>
        </row>
        <row r="6746">
          <cell r="A6746" t="str">
            <v>1AE1ARBPC1A10014</v>
          </cell>
          <cell r="B6746" t="str">
            <v>SMT</v>
          </cell>
        </row>
        <row r="6747">
          <cell r="A6747" t="str">
            <v>1RE1ARBPC1A10014</v>
          </cell>
          <cell r="B6747" t="str">
            <v>SMT</v>
          </cell>
        </row>
        <row r="6748">
          <cell r="A6748" t="str">
            <v>1RH1ARBPC1A11792</v>
          </cell>
          <cell r="B6748" t="str">
            <v>SMT</v>
          </cell>
          <cell r="E6748">
            <v>8210</v>
          </cell>
          <cell r="F6748" t="str">
            <v>V501</v>
          </cell>
          <cell r="G6748" t="str">
            <v>Auto</v>
          </cell>
          <cell r="H6748">
            <v>311</v>
          </cell>
          <cell r="I6748">
            <v>8210</v>
          </cell>
          <cell r="J6748">
            <v>8220</v>
          </cell>
          <cell r="K6748" t="str">
            <v>V501</v>
          </cell>
        </row>
        <row r="6749">
          <cell r="A6749" t="str">
            <v>1AE1ARBPC1A11792</v>
          </cell>
          <cell r="B6749" t="str">
            <v>SMT</v>
          </cell>
        </row>
        <row r="6750">
          <cell r="A6750" t="str">
            <v>1RE1ARBPC1A11792</v>
          </cell>
          <cell r="B6750" t="str">
            <v>SMT</v>
          </cell>
        </row>
        <row r="6751">
          <cell r="A6751" t="str">
            <v>1RH1ARBPC1A09505</v>
          </cell>
          <cell r="B6751" t="str">
            <v>SMT</v>
          </cell>
          <cell r="E6751">
            <v>8210</v>
          </cell>
          <cell r="F6751" t="str">
            <v>V501</v>
          </cell>
          <cell r="G6751" t="str">
            <v>Auto</v>
          </cell>
          <cell r="H6751">
            <v>311</v>
          </cell>
          <cell r="I6751">
            <v>8210</v>
          </cell>
          <cell r="J6751">
            <v>8220</v>
          </cell>
          <cell r="K6751" t="str">
            <v>V501</v>
          </cell>
        </row>
        <row r="6752">
          <cell r="A6752" t="str">
            <v>1AE1ARBPC1A09505</v>
          </cell>
          <cell r="B6752" t="str">
            <v>SMT</v>
          </cell>
        </row>
        <row r="6753">
          <cell r="A6753" t="str">
            <v>1RE1ARBPC1A09505</v>
          </cell>
          <cell r="B6753" t="str">
            <v>SMT</v>
          </cell>
        </row>
        <row r="6754">
          <cell r="A6754" t="str">
            <v>1CM1ARBPC1A11811</v>
          </cell>
          <cell r="B6754" t="str">
            <v>SMT</v>
          </cell>
          <cell r="E6754">
            <v>8210</v>
          </cell>
          <cell r="F6754" t="str">
            <v>V501</v>
          </cell>
          <cell r="G6754" t="str">
            <v>Auto</v>
          </cell>
          <cell r="H6754">
            <v>311</v>
          </cell>
          <cell r="I6754">
            <v>8210</v>
          </cell>
          <cell r="J6754">
            <v>8220</v>
          </cell>
          <cell r="K6754" t="str">
            <v>V501</v>
          </cell>
        </row>
        <row r="6755">
          <cell r="A6755" t="str">
            <v>1RH1ARBPC1A11811</v>
          </cell>
          <cell r="B6755" t="str">
            <v>SMT</v>
          </cell>
        </row>
        <row r="6756">
          <cell r="A6756" t="str">
            <v>1AE1ARBPC1A11811</v>
          </cell>
          <cell r="B6756" t="str">
            <v>SMT</v>
          </cell>
        </row>
        <row r="6757">
          <cell r="A6757" t="str">
            <v>1RE1ARBPC1A11811</v>
          </cell>
          <cell r="B6757" t="str">
            <v>SMT</v>
          </cell>
        </row>
        <row r="6758">
          <cell r="A6758" t="str">
            <v>1CM1ARBPC1A10023</v>
          </cell>
          <cell r="B6758" t="str">
            <v>SMT</v>
          </cell>
          <cell r="E6758">
            <v>8210</v>
          </cell>
          <cell r="F6758" t="str">
            <v>V501</v>
          </cell>
          <cell r="G6758" t="str">
            <v>Auto</v>
          </cell>
          <cell r="H6758">
            <v>311</v>
          </cell>
          <cell r="I6758">
            <v>8210</v>
          </cell>
          <cell r="J6758">
            <v>8220</v>
          </cell>
          <cell r="K6758" t="str">
            <v>V501</v>
          </cell>
        </row>
        <row r="6759">
          <cell r="A6759" t="str">
            <v>1RH1ARBPC1A10023</v>
          </cell>
          <cell r="B6759" t="str">
            <v>SMT</v>
          </cell>
        </row>
        <row r="6760">
          <cell r="A6760" t="str">
            <v>1AE1ARBPC1A10023</v>
          </cell>
          <cell r="B6760" t="str">
            <v>SMT</v>
          </cell>
        </row>
        <row r="6761">
          <cell r="A6761" t="str">
            <v>1RE1ARBPC1A10023</v>
          </cell>
          <cell r="B6761" t="str">
            <v>SMT</v>
          </cell>
        </row>
        <row r="6762">
          <cell r="A6762" t="str">
            <v>1RE2TP3MH1250BM-1</v>
          </cell>
          <cell r="B6762" t="str">
            <v>SMT</v>
          </cell>
          <cell r="E6762">
            <v>3210</v>
          </cell>
          <cell r="F6762" t="str">
            <v>VV01</v>
          </cell>
          <cell r="G6762" t="str">
            <v>Auto</v>
          </cell>
          <cell r="H6762">
            <v>311</v>
          </cell>
          <cell r="I6762">
            <v>3210</v>
          </cell>
          <cell r="J6762">
            <v>3220</v>
          </cell>
          <cell r="K6762" t="str">
            <v>VV01</v>
          </cell>
        </row>
        <row r="6763">
          <cell r="A6763" t="str">
            <v>1RE2TP3MH1250BM-1</v>
          </cell>
          <cell r="B6763" t="str">
            <v>SMT</v>
          </cell>
          <cell r="E6763">
            <v>3210</v>
          </cell>
          <cell r="F6763" t="str">
            <v>VV01</v>
          </cell>
          <cell r="G6763" t="str">
            <v>Auto</v>
          </cell>
          <cell r="H6763">
            <v>311</v>
          </cell>
          <cell r="I6763">
            <v>3210</v>
          </cell>
          <cell r="J6763">
            <v>3220</v>
          </cell>
          <cell r="K6763" t="str">
            <v>VV01</v>
          </cell>
        </row>
        <row r="6764">
          <cell r="A6764" t="str">
            <v>1RE1TP8MH1250BM-1</v>
          </cell>
          <cell r="B6764" t="str">
            <v>SMT</v>
          </cell>
        </row>
        <row r="6765">
          <cell r="A6765" t="str">
            <v>1RH1ARBP0DA01940-1</v>
          </cell>
          <cell r="B6765" t="str">
            <v>SMT</v>
          </cell>
          <cell r="E6765">
            <v>8210</v>
          </cell>
          <cell r="F6765" t="str">
            <v>V501</v>
          </cell>
          <cell r="G6765" t="str">
            <v>Auto</v>
          </cell>
          <cell r="H6765">
            <v>311</v>
          </cell>
          <cell r="I6765">
            <v>8210</v>
          </cell>
          <cell r="J6765">
            <v>8220</v>
          </cell>
          <cell r="K6765" t="str">
            <v>V501</v>
          </cell>
        </row>
        <row r="6766">
          <cell r="A6766" t="str">
            <v>1CM1ARBP0DA01940-1</v>
          </cell>
          <cell r="B6766" t="str">
            <v>SMT</v>
          </cell>
        </row>
        <row r="6767">
          <cell r="A6767" t="str">
            <v>1RE1ARBP0DA01940-1</v>
          </cell>
          <cell r="B6767" t="str">
            <v>SMT</v>
          </cell>
        </row>
        <row r="6768">
          <cell r="A6768" t="str">
            <v>1RH1ARBP0DA01950-1</v>
          </cell>
          <cell r="B6768" t="str">
            <v>SMT</v>
          </cell>
          <cell r="E6768">
            <v>8210</v>
          </cell>
          <cell r="F6768" t="str">
            <v>V501</v>
          </cell>
          <cell r="G6768" t="str">
            <v>Auto</v>
          </cell>
          <cell r="H6768">
            <v>311</v>
          </cell>
          <cell r="I6768">
            <v>8210</v>
          </cell>
          <cell r="J6768">
            <v>8220</v>
          </cell>
          <cell r="K6768" t="str">
            <v>V501</v>
          </cell>
        </row>
        <row r="6769">
          <cell r="A6769" t="str">
            <v>1CM1ARBP0DA01950-1</v>
          </cell>
          <cell r="B6769" t="str">
            <v>SMT</v>
          </cell>
        </row>
        <row r="6770">
          <cell r="A6770" t="str">
            <v>1RE1ARBP0DA01950-1</v>
          </cell>
          <cell r="B6770" t="str">
            <v>SMT</v>
          </cell>
        </row>
        <row r="6771">
          <cell r="A6771" t="str">
            <v>1RH1ARBP0DA01470-1</v>
          </cell>
          <cell r="B6771" t="str">
            <v>SMT</v>
          </cell>
          <cell r="E6771">
            <v>8210</v>
          </cell>
          <cell r="F6771" t="str">
            <v>V501</v>
          </cell>
          <cell r="G6771" t="str">
            <v>Auto</v>
          </cell>
          <cell r="H6771">
            <v>311</v>
          </cell>
          <cell r="I6771">
            <v>8210</v>
          </cell>
          <cell r="J6771">
            <v>8220</v>
          </cell>
          <cell r="K6771" t="str">
            <v>V501</v>
          </cell>
        </row>
        <row r="6772">
          <cell r="A6772" t="str">
            <v>1CM1ARBP0DA01470-1</v>
          </cell>
          <cell r="B6772" t="str">
            <v>SMT</v>
          </cell>
        </row>
        <row r="6773">
          <cell r="A6773" t="str">
            <v>1RE1ARBP0DA01470-1</v>
          </cell>
          <cell r="B6773" t="str">
            <v>SMT</v>
          </cell>
        </row>
        <row r="6774">
          <cell r="A6774" t="str">
            <v>1RE1A605S-3J0A-T</v>
          </cell>
          <cell r="B6774" t="str">
            <v>SMT</v>
          </cell>
          <cell r="E6774">
            <v>6210</v>
          </cell>
          <cell r="F6774" t="str">
            <v>VG01</v>
          </cell>
          <cell r="G6774" t="str">
            <v>Auto</v>
          </cell>
          <cell r="H6774">
            <v>311</v>
          </cell>
          <cell r="I6774">
            <v>6210</v>
          </cell>
          <cell r="J6774">
            <v>6220</v>
          </cell>
          <cell r="K6774" t="str">
            <v>VG01</v>
          </cell>
        </row>
        <row r="6775">
          <cell r="A6775" t="str">
            <v>1RE1A605S-3J8A-T</v>
          </cell>
          <cell r="B6775" t="str">
            <v>SMT</v>
          </cell>
          <cell r="E6775">
            <v>6210</v>
          </cell>
          <cell r="F6775" t="str">
            <v>VG01</v>
          </cell>
          <cell r="G6775" t="str">
            <v>Auto</v>
          </cell>
          <cell r="H6775">
            <v>311</v>
          </cell>
          <cell r="I6775">
            <v>6210</v>
          </cell>
          <cell r="J6775">
            <v>6220</v>
          </cell>
          <cell r="K6775" t="str">
            <v>VG01</v>
          </cell>
        </row>
        <row r="6776">
          <cell r="A6776" t="str">
            <v>1RE1A608T-3G6A-T</v>
          </cell>
          <cell r="B6776" t="str">
            <v>SMT</v>
          </cell>
          <cell r="E6776">
            <v>6210</v>
          </cell>
          <cell r="F6776" t="str">
            <v>VG01</v>
          </cell>
          <cell r="G6776" t="str">
            <v>Auto</v>
          </cell>
          <cell r="H6776">
            <v>311</v>
          </cell>
          <cell r="I6776">
            <v>6210</v>
          </cell>
          <cell r="J6776">
            <v>6220</v>
          </cell>
          <cell r="K6776" t="str">
            <v>VG01</v>
          </cell>
        </row>
        <row r="6777">
          <cell r="A6777" t="str">
            <v>1RH1ARBPC1A13230</v>
          </cell>
          <cell r="B6777" t="str">
            <v>SMT</v>
          </cell>
          <cell r="E6777">
            <v>8210</v>
          </cell>
          <cell r="F6777" t="str">
            <v>V501</v>
          </cell>
          <cell r="G6777" t="str">
            <v>Auto</v>
          </cell>
          <cell r="H6777">
            <v>311</v>
          </cell>
          <cell r="I6777">
            <v>8210</v>
          </cell>
          <cell r="J6777">
            <v>8220</v>
          </cell>
          <cell r="K6777" t="str">
            <v>V501</v>
          </cell>
        </row>
        <row r="6778">
          <cell r="A6778" t="str">
            <v>1AE1ARBPC1A13230</v>
          </cell>
          <cell r="B6778" t="str">
            <v>SMT</v>
          </cell>
        </row>
        <row r="6779">
          <cell r="A6779" t="str">
            <v>1RE1ARBPC1A13230</v>
          </cell>
          <cell r="B6779" t="str">
            <v>SMT</v>
          </cell>
        </row>
        <row r="6780">
          <cell r="A6780" t="str">
            <v>1CM1ARBPC1A12680</v>
          </cell>
          <cell r="B6780" t="str">
            <v>SMT</v>
          </cell>
          <cell r="E6780">
            <v>8210</v>
          </cell>
          <cell r="F6780" t="str">
            <v>V501</v>
          </cell>
          <cell r="G6780" t="str">
            <v>Auto</v>
          </cell>
          <cell r="H6780">
            <v>311</v>
          </cell>
          <cell r="I6780">
            <v>8210</v>
          </cell>
          <cell r="J6780">
            <v>8220</v>
          </cell>
          <cell r="K6780" t="str">
            <v>V501</v>
          </cell>
        </row>
        <row r="6781">
          <cell r="A6781" t="str">
            <v>1RH1ARBPC1A12680</v>
          </cell>
          <cell r="B6781" t="str">
            <v>SMT</v>
          </cell>
        </row>
        <row r="6782">
          <cell r="A6782" t="str">
            <v>1AE1ARBPC1A12680</v>
          </cell>
          <cell r="B6782" t="str">
            <v>SMT</v>
          </cell>
        </row>
        <row r="6783">
          <cell r="A6783" t="str">
            <v>1RE1ARBPC1A12680</v>
          </cell>
          <cell r="B6783" t="str">
            <v>SMT</v>
          </cell>
        </row>
        <row r="6784">
          <cell r="A6784" t="str">
            <v>2RE2AAB25-ES1</v>
          </cell>
          <cell r="B6784" t="str">
            <v>SMT</v>
          </cell>
          <cell r="E6784">
            <v>9210</v>
          </cell>
          <cell r="F6784" t="str">
            <v>VE01</v>
          </cell>
          <cell r="G6784" t="str">
            <v>Auto</v>
          </cell>
          <cell r="H6784">
            <v>311</v>
          </cell>
          <cell r="I6784">
            <v>9210</v>
          </cell>
          <cell r="J6784">
            <v>9220</v>
          </cell>
          <cell r="K6784" t="str">
            <v>VE01</v>
          </cell>
        </row>
        <row r="6785">
          <cell r="A6785" t="str">
            <v>1RH1ARBPC1A11464</v>
          </cell>
          <cell r="B6785" t="str">
            <v>SMT</v>
          </cell>
          <cell r="E6785">
            <v>8210</v>
          </cell>
          <cell r="F6785" t="str">
            <v>V501</v>
          </cell>
          <cell r="G6785" t="str">
            <v>Auto</v>
          </cell>
          <cell r="H6785">
            <v>311</v>
          </cell>
          <cell r="I6785">
            <v>8210</v>
          </cell>
          <cell r="J6785">
            <v>8220</v>
          </cell>
          <cell r="K6785" t="str">
            <v>V501</v>
          </cell>
        </row>
        <row r="6786">
          <cell r="A6786" t="str">
            <v>1AE1ARBPC1A11464</v>
          </cell>
          <cell r="B6786" t="str">
            <v>SMT</v>
          </cell>
        </row>
        <row r="6787">
          <cell r="A6787" t="str">
            <v>1RE1ARBPC1A11464</v>
          </cell>
          <cell r="B6787" t="str">
            <v>SMT</v>
          </cell>
        </row>
        <row r="6788">
          <cell r="A6788" t="str">
            <v>1RH1ARBPC1A13231</v>
          </cell>
          <cell r="B6788" t="str">
            <v>SMT</v>
          </cell>
          <cell r="E6788">
            <v>8210</v>
          </cell>
          <cell r="F6788" t="str">
            <v>V501</v>
          </cell>
          <cell r="G6788" t="str">
            <v>Auto</v>
          </cell>
          <cell r="H6788">
            <v>311</v>
          </cell>
          <cell r="I6788">
            <v>8210</v>
          </cell>
          <cell r="J6788">
            <v>8220</v>
          </cell>
          <cell r="K6788" t="str">
            <v>V501</v>
          </cell>
        </row>
        <row r="6789">
          <cell r="A6789" t="str">
            <v>1AE1ARBPC1A13231</v>
          </cell>
          <cell r="B6789" t="str">
            <v>SMT</v>
          </cell>
        </row>
        <row r="6790">
          <cell r="A6790" t="str">
            <v>1RE1ARBPC1A13231</v>
          </cell>
          <cell r="B6790" t="str">
            <v>SMT</v>
          </cell>
        </row>
        <row r="6791">
          <cell r="A6791" t="str">
            <v>1CM1ARBPC1A13050</v>
          </cell>
          <cell r="B6791" t="str">
            <v>SMT</v>
          </cell>
          <cell r="E6791">
            <v>8210</v>
          </cell>
          <cell r="F6791" t="str">
            <v>V501</v>
          </cell>
          <cell r="G6791" t="str">
            <v>Auto</v>
          </cell>
          <cell r="H6791">
            <v>311</v>
          </cell>
          <cell r="I6791">
            <v>8210</v>
          </cell>
          <cell r="J6791">
            <v>8220</v>
          </cell>
          <cell r="K6791" t="str">
            <v>V501</v>
          </cell>
        </row>
        <row r="6792">
          <cell r="A6792" t="str">
            <v>1RH1ARBPC1A13050</v>
          </cell>
          <cell r="B6792" t="str">
            <v>SMT</v>
          </cell>
        </row>
        <row r="6793">
          <cell r="A6793" t="str">
            <v>1AE1ARBPC1A13050</v>
          </cell>
          <cell r="B6793" t="str">
            <v>SMT</v>
          </cell>
        </row>
        <row r="6794">
          <cell r="A6794" t="str">
            <v>1RE1ARBPC1A13050</v>
          </cell>
          <cell r="B6794" t="str">
            <v>SMT</v>
          </cell>
        </row>
        <row r="6795">
          <cell r="A6795" t="str">
            <v>1CM1ARBPC1A05973</v>
          </cell>
          <cell r="B6795" t="str">
            <v>SMT</v>
          </cell>
          <cell r="E6795">
            <v>8210</v>
          </cell>
          <cell r="F6795" t="str">
            <v>V501</v>
          </cell>
          <cell r="G6795" t="str">
            <v>Auto</v>
          </cell>
          <cell r="H6795">
            <v>311</v>
          </cell>
          <cell r="I6795">
            <v>8210</v>
          </cell>
          <cell r="J6795">
            <v>8220</v>
          </cell>
          <cell r="K6795" t="str">
            <v>V501</v>
          </cell>
        </row>
        <row r="6796">
          <cell r="A6796" t="str">
            <v>1RH1ARBPC1A05973</v>
          </cell>
          <cell r="B6796" t="str">
            <v>SMT</v>
          </cell>
        </row>
        <row r="6797">
          <cell r="A6797" t="str">
            <v>1AE1ARBPC1A05970</v>
          </cell>
          <cell r="B6797" t="str">
            <v>SMT</v>
          </cell>
        </row>
        <row r="6798">
          <cell r="A6798" t="str">
            <v>1VJ3H685Q-3K20</v>
          </cell>
          <cell r="B6798" t="str">
            <v>SMT</v>
          </cell>
        </row>
        <row r="6799">
          <cell r="A6799" t="str">
            <v>1RE1ARBP01A01231</v>
          </cell>
          <cell r="B6799" t="str">
            <v>SMT</v>
          </cell>
          <cell r="C6799">
            <v>2</v>
          </cell>
          <cell r="D6799">
            <v>76</v>
          </cell>
        </row>
        <row r="6800">
          <cell r="A6800" t="str">
            <v>1RE2ARBP01A01231</v>
          </cell>
          <cell r="B6800" t="str">
            <v>SMT</v>
          </cell>
          <cell r="C6800">
            <v>1</v>
          </cell>
          <cell r="D6800">
            <v>28</v>
          </cell>
          <cell r="E6800">
            <v>8210</v>
          </cell>
          <cell r="F6800" t="str">
            <v>V501</v>
          </cell>
          <cell r="G6800" t="str">
            <v>Auto</v>
          </cell>
          <cell r="H6800">
            <v>311</v>
          </cell>
          <cell r="I6800">
            <v>8210</v>
          </cell>
          <cell r="J6800">
            <v>8220</v>
          </cell>
          <cell r="K6800" t="str">
            <v>V501</v>
          </cell>
        </row>
        <row r="6801">
          <cell r="A6801" t="str">
            <v>1CM1ARBPC1A13530</v>
          </cell>
          <cell r="B6801" t="str">
            <v>SMT</v>
          </cell>
          <cell r="E6801">
            <v>8210</v>
          </cell>
          <cell r="F6801" t="str">
            <v>V501</v>
          </cell>
          <cell r="G6801" t="str">
            <v>Auto</v>
          </cell>
          <cell r="H6801">
            <v>311</v>
          </cell>
          <cell r="I6801">
            <v>8210</v>
          </cell>
          <cell r="J6801">
            <v>8220</v>
          </cell>
          <cell r="K6801" t="str">
            <v>V501</v>
          </cell>
        </row>
        <row r="6802">
          <cell r="A6802" t="str">
            <v>1RH1ARBPC1A13530</v>
          </cell>
          <cell r="B6802" t="str">
            <v>SMT</v>
          </cell>
        </row>
        <row r="6803">
          <cell r="A6803" t="str">
            <v>1AE1ARBPC1A13530</v>
          </cell>
          <cell r="B6803" t="str">
            <v>SMT</v>
          </cell>
        </row>
        <row r="6804">
          <cell r="A6804" t="str">
            <v>1RE1ARBPC1A13530</v>
          </cell>
          <cell r="B6804" t="str">
            <v>SMT</v>
          </cell>
        </row>
        <row r="6805">
          <cell r="A6805" t="str">
            <v>1CM1ARBPC1A13550</v>
          </cell>
          <cell r="B6805" t="str">
            <v>SMT</v>
          </cell>
          <cell r="E6805">
            <v>8210</v>
          </cell>
          <cell r="F6805" t="str">
            <v>V501</v>
          </cell>
          <cell r="G6805" t="str">
            <v>Auto</v>
          </cell>
          <cell r="H6805">
            <v>311</v>
          </cell>
          <cell r="I6805">
            <v>8210</v>
          </cell>
          <cell r="J6805">
            <v>8220</v>
          </cell>
          <cell r="K6805" t="str">
            <v>V501</v>
          </cell>
        </row>
        <row r="6806">
          <cell r="A6806" t="str">
            <v>1RH1ARBPC1A13550</v>
          </cell>
          <cell r="B6806" t="str">
            <v>SMT</v>
          </cell>
        </row>
        <row r="6807">
          <cell r="A6807" t="str">
            <v>1RE1ARBPC1A13550</v>
          </cell>
          <cell r="B6807" t="str">
            <v>SMT</v>
          </cell>
        </row>
        <row r="6808">
          <cell r="A6808" t="str">
            <v>1VI1TVRU484AC</v>
          </cell>
          <cell r="B6808" t="str">
            <v>SMT</v>
          </cell>
        </row>
        <row r="6809">
          <cell r="A6809" t="str">
            <v>1RH1ARBPC1A09482</v>
          </cell>
          <cell r="B6809" t="str">
            <v>SMT</v>
          </cell>
          <cell r="E6809">
            <v>8210</v>
          </cell>
          <cell r="F6809" t="str">
            <v>V501</v>
          </cell>
          <cell r="G6809" t="str">
            <v>Auto</v>
          </cell>
          <cell r="H6809">
            <v>311</v>
          </cell>
          <cell r="I6809">
            <v>8210</v>
          </cell>
          <cell r="J6809">
            <v>8220</v>
          </cell>
          <cell r="K6809" t="str">
            <v>V501</v>
          </cell>
        </row>
        <row r="6810">
          <cell r="A6810" t="str">
            <v>1AE1ARBPC1A09482</v>
          </cell>
          <cell r="B6810" t="str">
            <v>SMT</v>
          </cell>
        </row>
        <row r="6811">
          <cell r="A6811" t="str">
            <v>1RE1ARBPC1A09482</v>
          </cell>
          <cell r="B6811" t="str">
            <v>SMT</v>
          </cell>
        </row>
        <row r="6812">
          <cell r="A6812" t="str">
            <v>1CM1ARBPC1A13051</v>
          </cell>
          <cell r="B6812" t="str">
            <v>SMT</v>
          </cell>
          <cell r="E6812">
            <v>8210</v>
          </cell>
          <cell r="F6812" t="str">
            <v>V501</v>
          </cell>
          <cell r="G6812" t="str">
            <v>Auto</v>
          </cell>
          <cell r="H6812">
            <v>311</v>
          </cell>
          <cell r="I6812">
            <v>8210</v>
          </cell>
          <cell r="J6812">
            <v>8220</v>
          </cell>
          <cell r="K6812" t="str">
            <v>V501</v>
          </cell>
        </row>
        <row r="6813">
          <cell r="A6813" t="str">
            <v>1RH1ARBPC1A13051</v>
          </cell>
          <cell r="B6813" t="str">
            <v>SMT</v>
          </cell>
        </row>
        <row r="6814">
          <cell r="A6814" t="str">
            <v>1AE1ARBPC1A13051</v>
          </cell>
          <cell r="B6814" t="str">
            <v>SMT</v>
          </cell>
        </row>
        <row r="6815">
          <cell r="A6815" t="str">
            <v>1RE1ARBPC1A13051</v>
          </cell>
          <cell r="B6815" t="str">
            <v>SMT</v>
          </cell>
        </row>
        <row r="6816">
          <cell r="A6816" t="str">
            <v>1CM1ARBPC1A07544</v>
          </cell>
          <cell r="B6816" t="str">
            <v>SMT</v>
          </cell>
          <cell r="E6816">
            <v>8210</v>
          </cell>
          <cell r="F6816" t="str">
            <v>V501</v>
          </cell>
          <cell r="G6816" t="str">
            <v>Auto</v>
          </cell>
          <cell r="H6816">
            <v>311</v>
          </cell>
          <cell r="I6816">
            <v>8210</v>
          </cell>
          <cell r="J6816">
            <v>8220</v>
          </cell>
          <cell r="K6816" t="str">
            <v>V501</v>
          </cell>
        </row>
        <row r="6817">
          <cell r="A6817" t="str">
            <v>1RH1ARBPC1A07544</v>
          </cell>
          <cell r="B6817" t="str">
            <v>SMT</v>
          </cell>
        </row>
        <row r="6818">
          <cell r="A6818" t="str">
            <v>1AE1ARBPC1A07544</v>
          </cell>
          <cell r="B6818" t="str">
            <v>SMT</v>
          </cell>
        </row>
        <row r="6819">
          <cell r="A6819" t="str">
            <v>1RE1ARBPC1A07544</v>
          </cell>
          <cell r="B6819" t="str">
            <v>SMT</v>
          </cell>
        </row>
        <row r="6820">
          <cell r="A6820" t="str">
            <v>1RH1ARBPC1A09482</v>
          </cell>
          <cell r="B6820" t="str">
            <v>SMT</v>
          </cell>
          <cell r="E6820">
            <v>8210</v>
          </cell>
          <cell r="F6820" t="str">
            <v>V501</v>
          </cell>
          <cell r="G6820" t="str">
            <v>Auto</v>
          </cell>
          <cell r="H6820">
            <v>311</v>
          </cell>
          <cell r="I6820">
            <v>8210</v>
          </cell>
          <cell r="J6820">
            <v>8220</v>
          </cell>
          <cell r="K6820" t="str">
            <v>V501</v>
          </cell>
        </row>
        <row r="6821">
          <cell r="A6821" t="str">
            <v>1AE1ARBPC1A09482</v>
          </cell>
          <cell r="B6821" t="str">
            <v>SMT</v>
          </cell>
        </row>
        <row r="6822">
          <cell r="A6822" t="str">
            <v>1RE1ARBPC1A09482</v>
          </cell>
          <cell r="B6822" t="str">
            <v>SMT</v>
          </cell>
        </row>
        <row r="6823">
          <cell r="A6823" t="str">
            <v>1RE1ARBP01A01231</v>
          </cell>
          <cell r="B6823" t="str">
            <v>SMT</v>
          </cell>
        </row>
        <row r="6824">
          <cell r="A6824" t="str">
            <v>1CM1ARBP0DA00963</v>
          </cell>
          <cell r="B6824" t="str">
            <v>SMT</v>
          </cell>
          <cell r="E6824">
            <v>8210</v>
          </cell>
          <cell r="F6824" t="str">
            <v>V501</v>
          </cell>
          <cell r="G6824" t="str">
            <v>Auto</v>
          </cell>
          <cell r="H6824">
            <v>311</v>
          </cell>
          <cell r="I6824">
            <v>8210</v>
          </cell>
          <cell r="J6824">
            <v>8220</v>
          </cell>
          <cell r="K6824" t="str">
            <v>V501</v>
          </cell>
        </row>
        <row r="6825">
          <cell r="A6825" t="str">
            <v>1RH1ARBP0DA00963</v>
          </cell>
          <cell r="B6825" t="str">
            <v>SMT</v>
          </cell>
        </row>
        <row r="6826">
          <cell r="A6826" t="str">
            <v>1RE1ARBP0DA00963</v>
          </cell>
          <cell r="B6826" t="str">
            <v>SMT</v>
          </cell>
        </row>
        <row r="6827">
          <cell r="A6827" t="str">
            <v>1RH1ARBPC1A05235</v>
          </cell>
          <cell r="B6827" t="str">
            <v>SMT</v>
          </cell>
          <cell r="E6827">
            <v>8210</v>
          </cell>
          <cell r="F6827" t="str">
            <v>V501</v>
          </cell>
          <cell r="G6827" t="str">
            <v>Auto</v>
          </cell>
          <cell r="H6827">
            <v>311</v>
          </cell>
          <cell r="I6827">
            <v>8210</v>
          </cell>
          <cell r="J6827">
            <v>8220</v>
          </cell>
          <cell r="K6827" t="str">
            <v>V501</v>
          </cell>
        </row>
        <row r="6828">
          <cell r="A6828" t="str">
            <v>1AE1ARBPC1A05235</v>
          </cell>
          <cell r="B6828" t="str">
            <v>SMT</v>
          </cell>
        </row>
        <row r="6829">
          <cell r="A6829" t="str">
            <v>1RE1ARBPC1A05235</v>
          </cell>
          <cell r="B6829" t="str">
            <v>SMT</v>
          </cell>
        </row>
        <row r="6830">
          <cell r="A6830" t="str">
            <v>1RH1ARBPC1A05234</v>
          </cell>
          <cell r="B6830" t="str">
            <v>SMT</v>
          </cell>
          <cell r="E6830">
            <v>8210</v>
          </cell>
          <cell r="F6830" t="str">
            <v>V501</v>
          </cell>
          <cell r="G6830" t="str">
            <v>Auto</v>
          </cell>
          <cell r="H6830">
            <v>311</v>
          </cell>
          <cell r="I6830">
            <v>8210</v>
          </cell>
          <cell r="J6830">
            <v>8220</v>
          </cell>
          <cell r="K6830" t="str">
            <v>V501</v>
          </cell>
        </row>
        <row r="6831">
          <cell r="A6831" t="str">
            <v>1AE1ARBPC1A05232</v>
          </cell>
          <cell r="B6831" t="str">
            <v>SMT</v>
          </cell>
        </row>
        <row r="6832">
          <cell r="A6832" t="str">
            <v>1RE1ARBPC1A05232</v>
          </cell>
          <cell r="B6832" t="str">
            <v>SMT</v>
          </cell>
        </row>
        <row r="6833">
          <cell r="A6833" t="str">
            <v>1RH1ARBPC1A08481</v>
          </cell>
          <cell r="B6833" t="str">
            <v>SMT</v>
          </cell>
          <cell r="E6833">
            <v>8210</v>
          </cell>
          <cell r="F6833" t="str">
            <v>V501</v>
          </cell>
          <cell r="G6833" t="str">
            <v>Auto</v>
          </cell>
          <cell r="H6833">
            <v>311</v>
          </cell>
          <cell r="I6833">
            <v>8210</v>
          </cell>
          <cell r="J6833">
            <v>8220</v>
          </cell>
          <cell r="K6833" t="str">
            <v>V501</v>
          </cell>
        </row>
        <row r="6834">
          <cell r="A6834" t="str">
            <v>1AE1ARBPC1A08481</v>
          </cell>
          <cell r="B6834" t="str">
            <v>SMT</v>
          </cell>
        </row>
        <row r="6835">
          <cell r="A6835" t="str">
            <v>1RE1ARBPC1A08481</v>
          </cell>
          <cell r="B6835" t="str">
            <v>SMT</v>
          </cell>
        </row>
        <row r="6836">
          <cell r="A6836" t="str">
            <v>1RE1TP8NA7911AA</v>
          </cell>
          <cell r="B6836" t="str">
            <v>SMT</v>
          </cell>
          <cell r="E6836">
            <v>3210</v>
          </cell>
          <cell r="F6836" t="str">
            <v>VV01</v>
          </cell>
          <cell r="G6836" t="str">
            <v>Auto</v>
          </cell>
          <cell r="H6836">
            <v>311</v>
          </cell>
          <cell r="I6836">
            <v>3210</v>
          </cell>
          <cell r="J6836">
            <v>3220</v>
          </cell>
          <cell r="K6836" t="str">
            <v>VV01</v>
          </cell>
        </row>
        <row r="6837">
          <cell r="A6837" t="str">
            <v>TNPA7911-1</v>
          </cell>
          <cell r="B6837" t="str">
            <v>SMT</v>
          </cell>
        </row>
        <row r="6838">
          <cell r="A6838" t="str">
            <v>1CM1ARBPC1A03944</v>
          </cell>
          <cell r="B6838" t="str">
            <v>SMT</v>
          </cell>
          <cell r="E6838">
            <v>8210</v>
          </cell>
          <cell r="F6838" t="str">
            <v>V501</v>
          </cell>
          <cell r="G6838" t="str">
            <v>Auto</v>
          </cell>
          <cell r="H6838">
            <v>311</v>
          </cell>
          <cell r="I6838">
            <v>8210</v>
          </cell>
          <cell r="J6838">
            <v>8220</v>
          </cell>
          <cell r="K6838" t="str">
            <v>V501</v>
          </cell>
        </row>
        <row r="6839">
          <cell r="A6839" t="str">
            <v>1RH1ARBPC1A03944</v>
          </cell>
          <cell r="B6839" t="str">
            <v>SMT</v>
          </cell>
        </row>
        <row r="6840">
          <cell r="A6840" t="str">
            <v>1AE1ARBPC1A03940</v>
          </cell>
          <cell r="B6840" t="str">
            <v>SMT</v>
          </cell>
        </row>
        <row r="6841">
          <cell r="A6841" t="str">
            <v>1CM1ARBPC1A03741</v>
          </cell>
          <cell r="B6841" t="str">
            <v>SMT</v>
          </cell>
          <cell r="E6841">
            <v>8210</v>
          </cell>
          <cell r="F6841" t="str">
            <v>V501</v>
          </cell>
          <cell r="G6841" t="str">
            <v>Auto</v>
          </cell>
          <cell r="H6841">
            <v>311</v>
          </cell>
          <cell r="I6841">
            <v>8210</v>
          </cell>
          <cell r="J6841">
            <v>8220</v>
          </cell>
          <cell r="K6841" t="str">
            <v>V501</v>
          </cell>
        </row>
        <row r="6842">
          <cell r="A6842" t="str">
            <v>1RH1ARBPC1A03741</v>
          </cell>
          <cell r="B6842" t="str">
            <v>SMT</v>
          </cell>
        </row>
        <row r="6843">
          <cell r="A6843" t="str">
            <v>1AE1ARBPC1A03741</v>
          </cell>
          <cell r="B6843" t="str">
            <v>SMT</v>
          </cell>
        </row>
        <row r="6844">
          <cell r="A6844" t="str">
            <v>1RH1ARBPC1A05235</v>
          </cell>
          <cell r="B6844" t="str">
            <v>SMT</v>
          </cell>
          <cell r="E6844">
            <v>8210</v>
          </cell>
          <cell r="F6844" t="str">
            <v>V501</v>
          </cell>
          <cell r="G6844" t="str">
            <v>Auto</v>
          </cell>
          <cell r="H6844">
            <v>311</v>
          </cell>
          <cell r="I6844">
            <v>8210</v>
          </cell>
          <cell r="J6844">
            <v>8220</v>
          </cell>
          <cell r="K6844" t="str">
            <v>V501</v>
          </cell>
        </row>
        <row r="6845">
          <cell r="A6845" t="str">
            <v>1AE1ARBPC1A05235</v>
          </cell>
          <cell r="B6845" t="str">
            <v>SMT</v>
          </cell>
        </row>
        <row r="6846">
          <cell r="A6846" t="str">
            <v>1RE1ARBPC1A05235</v>
          </cell>
          <cell r="B6846" t="str">
            <v>SMT</v>
          </cell>
        </row>
        <row r="6847">
          <cell r="A6847" t="str">
            <v>1RH1ARBPC1A09212</v>
          </cell>
          <cell r="B6847" t="str">
            <v>SMT</v>
          </cell>
          <cell r="E6847">
            <v>8210</v>
          </cell>
          <cell r="F6847" t="str">
            <v>V501</v>
          </cell>
          <cell r="G6847" t="str">
            <v>Auto</v>
          </cell>
          <cell r="H6847">
            <v>311</v>
          </cell>
          <cell r="I6847">
            <v>8210</v>
          </cell>
          <cell r="J6847">
            <v>8220</v>
          </cell>
          <cell r="K6847" t="str">
            <v>V501</v>
          </cell>
        </row>
        <row r="6848">
          <cell r="A6848" t="str">
            <v>1AE1ARBPC1A09212</v>
          </cell>
          <cell r="B6848" t="str">
            <v>SMT</v>
          </cell>
        </row>
        <row r="6849">
          <cell r="A6849" t="str">
            <v>1RE1ARBPC1A09212</v>
          </cell>
          <cell r="B6849" t="str">
            <v>SMT</v>
          </cell>
        </row>
        <row r="6850">
          <cell r="A6850" t="str">
            <v>1CM1ARBPC1A07544</v>
          </cell>
          <cell r="B6850" t="str">
            <v>SMT</v>
          </cell>
          <cell r="E6850">
            <v>8210</v>
          </cell>
          <cell r="F6850" t="str">
            <v>V501</v>
          </cell>
          <cell r="G6850" t="str">
            <v>Auto</v>
          </cell>
          <cell r="H6850">
            <v>311</v>
          </cell>
          <cell r="I6850">
            <v>8210</v>
          </cell>
          <cell r="J6850">
            <v>8220</v>
          </cell>
          <cell r="K6850" t="str">
            <v>V501</v>
          </cell>
        </row>
        <row r="6851">
          <cell r="A6851" t="str">
            <v>1RH1ARBPC1A07544</v>
          </cell>
          <cell r="B6851" t="str">
            <v>SMT</v>
          </cell>
        </row>
        <row r="6852">
          <cell r="A6852" t="str">
            <v>1AE1ARBPC1A07544</v>
          </cell>
          <cell r="B6852" t="str">
            <v>SMT</v>
          </cell>
        </row>
        <row r="6853">
          <cell r="A6853" t="str">
            <v>1RE1ARBPC1A07544</v>
          </cell>
          <cell r="B6853" t="str">
            <v>SMT</v>
          </cell>
        </row>
        <row r="6854">
          <cell r="A6854" t="str">
            <v>1RH1ARBPC1A09482</v>
          </cell>
          <cell r="B6854" t="str">
            <v>SMT</v>
          </cell>
          <cell r="E6854">
            <v>8210</v>
          </cell>
          <cell r="F6854" t="str">
            <v>V501</v>
          </cell>
          <cell r="G6854" t="str">
            <v>Auto</v>
          </cell>
          <cell r="H6854">
            <v>311</v>
          </cell>
          <cell r="I6854">
            <v>8210</v>
          </cell>
          <cell r="J6854">
            <v>8220</v>
          </cell>
          <cell r="K6854" t="str">
            <v>V501</v>
          </cell>
        </row>
        <row r="6855">
          <cell r="A6855" t="str">
            <v>1AE1ARBPC1A09482</v>
          </cell>
          <cell r="B6855" t="str">
            <v>SMT</v>
          </cell>
        </row>
        <row r="6856">
          <cell r="A6856" t="str">
            <v>1RE1ARBPC1A09482</v>
          </cell>
          <cell r="B6856" t="str">
            <v>SMT</v>
          </cell>
        </row>
        <row r="6857">
          <cell r="A6857" t="str">
            <v>1CM1ARBPC1A13051</v>
          </cell>
          <cell r="B6857" t="str">
            <v>SMT</v>
          </cell>
          <cell r="E6857">
            <v>8210</v>
          </cell>
          <cell r="F6857" t="str">
            <v>V501</v>
          </cell>
          <cell r="G6857" t="str">
            <v>Auto</v>
          </cell>
          <cell r="H6857">
            <v>311</v>
          </cell>
          <cell r="I6857">
            <v>8210</v>
          </cell>
          <cell r="J6857">
            <v>8220</v>
          </cell>
          <cell r="K6857" t="str">
            <v>V501</v>
          </cell>
        </row>
        <row r="6858">
          <cell r="A6858" t="str">
            <v>1RH1ARBPC1A13051</v>
          </cell>
          <cell r="B6858" t="str">
            <v>SMT</v>
          </cell>
        </row>
        <row r="6859">
          <cell r="A6859" t="str">
            <v>1AE1ARBPC1A13051</v>
          </cell>
          <cell r="B6859" t="str">
            <v>SMT</v>
          </cell>
        </row>
        <row r="6860">
          <cell r="A6860" t="str">
            <v>1RE1ARBPC1A13051</v>
          </cell>
          <cell r="B6860" t="str">
            <v>SMT</v>
          </cell>
        </row>
        <row r="6861">
          <cell r="A6861" t="str">
            <v>1RH1ARBPC1A06372</v>
          </cell>
          <cell r="B6861" t="str">
            <v>SMT</v>
          </cell>
          <cell r="E6861">
            <v>8210</v>
          </cell>
          <cell r="F6861" t="str">
            <v>V501</v>
          </cell>
          <cell r="G6861" t="str">
            <v>Auto</v>
          </cell>
          <cell r="H6861">
            <v>311</v>
          </cell>
          <cell r="I6861">
            <v>8210</v>
          </cell>
          <cell r="J6861">
            <v>8220</v>
          </cell>
          <cell r="K6861" t="str">
            <v>V501</v>
          </cell>
        </row>
        <row r="6862">
          <cell r="A6862" t="str">
            <v>1AE1ARBPC1A06372</v>
          </cell>
          <cell r="B6862" t="str">
            <v>SMT</v>
          </cell>
        </row>
        <row r="6863">
          <cell r="A6863" t="str">
            <v>1RE1ARBPC1A06372</v>
          </cell>
          <cell r="B6863" t="str">
            <v>SMT</v>
          </cell>
        </row>
        <row r="6864">
          <cell r="A6864" t="str">
            <v>1CM1H603L3K70BP-T</v>
          </cell>
          <cell r="B6864" t="str">
            <v>SMT</v>
          </cell>
          <cell r="E6864">
            <v>6210</v>
          </cell>
          <cell r="F6864" t="str">
            <v>VG01</v>
          </cell>
          <cell r="G6864" t="str">
            <v>Auto</v>
          </cell>
          <cell r="H6864">
            <v>311</v>
          </cell>
          <cell r="I6864">
            <v>6210</v>
          </cell>
          <cell r="J6864">
            <v>6220</v>
          </cell>
          <cell r="K6864" t="str">
            <v>VG01</v>
          </cell>
        </row>
        <row r="6865">
          <cell r="A6865" t="str">
            <v>1RH1H603L3K70BP-T</v>
          </cell>
          <cell r="B6865" t="str">
            <v>SMT</v>
          </cell>
        </row>
        <row r="6866">
          <cell r="A6866" t="str">
            <v>1AE1H603L3K70BP-T</v>
          </cell>
          <cell r="B6866" t="str">
            <v>SMT</v>
          </cell>
        </row>
        <row r="6867">
          <cell r="A6867" t="str">
            <v>H62603K80EU</v>
          </cell>
          <cell r="B6867" t="str">
            <v>SMT</v>
          </cell>
        </row>
        <row r="6868">
          <cell r="A6868" t="str">
            <v>1CM1H603L3K90TP-T</v>
          </cell>
          <cell r="B6868" t="str">
            <v>SMT</v>
          </cell>
          <cell r="E6868">
            <v>6210</v>
          </cell>
          <cell r="F6868" t="str">
            <v>VG01</v>
          </cell>
          <cell r="G6868" t="str">
            <v>Auto</v>
          </cell>
          <cell r="H6868">
            <v>311</v>
          </cell>
          <cell r="I6868">
            <v>6210</v>
          </cell>
          <cell r="J6868">
            <v>6220</v>
          </cell>
          <cell r="K6868" t="str">
            <v>VG01</v>
          </cell>
        </row>
        <row r="6869">
          <cell r="A6869" t="str">
            <v>1RH1H603L3K90TP-T</v>
          </cell>
          <cell r="B6869" t="str">
            <v>SMT</v>
          </cell>
        </row>
        <row r="6870">
          <cell r="A6870" t="str">
            <v>1AE1H603L3K90TP-T</v>
          </cell>
          <cell r="B6870" t="str">
            <v>SMT</v>
          </cell>
        </row>
        <row r="6871">
          <cell r="A6871" t="str">
            <v>1CM1H603L3K70BP-T</v>
          </cell>
          <cell r="B6871" t="str">
            <v>SMT</v>
          </cell>
          <cell r="E6871">
            <v>6210</v>
          </cell>
          <cell r="F6871" t="str">
            <v>VG01</v>
          </cell>
          <cell r="G6871" t="str">
            <v>Auto</v>
          </cell>
          <cell r="H6871">
            <v>311</v>
          </cell>
          <cell r="I6871">
            <v>6210</v>
          </cell>
          <cell r="J6871">
            <v>6220</v>
          </cell>
          <cell r="K6871" t="str">
            <v>VG01</v>
          </cell>
        </row>
        <row r="6872">
          <cell r="A6872" t="str">
            <v>1RH1H603L3K70BP-T</v>
          </cell>
          <cell r="B6872" t="str">
            <v>SMT</v>
          </cell>
        </row>
        <row r="6873">
          <cell r="A6873" t="str">
            <v>1AE1H603L3K70BP-T</v>
          </cell>
          <cell r="B6873" t="str">
            <v>SMT</v>
          </cell>
        </row>
        <row r="6874">
          <cell r="A6874" t="str">
            <v>H62603K80EU</v>
          </cell>
          <cell r="B6874" t="str">
            <v>SMT</v>
          </cell>
        </row>
        <row r="6875">
          <cell r="A6875" t="str">
            <v>1CM1H603L3K90TP-T</v>
          </cell>
          <cell r="B6875" t="str">
            <v>SMT</v>
          </cell>
          <cell r="E6875">
            <v>6210</v>
          </cell>
          <cell r="F6875" t="str">
            <v>VG01</v>
          </cell>
          <cell r="G6875" t="str">
            <v>Auto</v>
          </cell>
          <cell r="H6875">
            <v>311</v>
          </cell>
          <cell r="I6875">
            <v>6210</v>
          </cell>
          <cell r="J6875">
            <v>6220</v>
          </cell>
          <cell r="K6875" t="str">
            <v>VG01</v>
          </cell>
        </row>
        <row r="6876">
          <cell r="A6876" t="str">
            <v>1RH1H603L3K90TP-T</v>
          </cell>
          <cell r="B6876" t="str">
            <v>SMT</v>
          </cell>
        </row>
        <row r="6877">
          <cell r="A6877" t="str">
            <v>1AE1H603L3K90TP-T</v>
          </cell>
          <cell r="B6877" t="str">
            <v>SMT</v>
          </cell>
        </row>
        <row r="6878">
          <cell r="A6878" t="str">
            <v>1CM1A603L3K60EP-PP</v>
          </cell>
          <cell r="B6878" t="str">
            <v>SMT</v>
          </cell>
          <cell r="E6878">
            <v>6210</v>
          </cell>
          <cell r="F6878" t="str">
            <v>VG01</v>
          </cell>
          <cell r="G6878" t="str">
            <v>Auto</v>
          </cell>
          <cell r="H6878">
            <v>311</v>
          </cell>
          <cell r="I6878">
            <v>6210</v>
          </cell>
          <cell r="J6878">
            <v>6220</v>
          </cell>
          <cell r="K6878" t="str">
            <v>VG01</v>
          </cell>
        </row>
        <row r="6879">
          <cell r="A6879" t="str">
            <v>1RH1A603L3K60EP-PP</v>
          </cell>
          <cell r="B6879" t="str">
            <v>SMT</v>
          </cell>
        </row>
        <row r="6880">
          <cell r="A6880" t="str">
            <v>1AE1A603L3K60EP-PP</v>
          </cell>
          <cell r="B6880" t="str">
            <v>SMT</v>
          </cell>
        </row>
        <row r="6881">
          <cell r="A6881" t="str">
            <v>1CM1A603Y-3J8A-FE1</v>
          </cell>
          <cell r="B6881" t="str">
            <v>SMT</v>
          </cell>
          <cell r="E6881">
            <v>6210</v>
          </cell>
          <cell r="F6881" t="str">
            <v>VG01</v>
          </cell>
          <cell r="G6881" t="str">
            <v>Auto</v>
          </cell>
          <cell r="H6881">
            <v>311</v>
          </cell>
          <cell r="I6881">
            <v>6210</v>
          </cell>
          <cell r="J6881">
            <v>6220</v>
          </cell>
          <cell r="K6881" t="str">
            <v>VG01</v>
          </cell>
        </row>
        <row r="6882">
          <cell r="A6882" t="str">
            <v>1RH1A603Y-3J8A-FE1</v>
          </cell>
          <cell r="B6882" t="str">
            <v>SMT</v>
          </cell>
        </row>
        <row r="6883">
          <cell r="A6883" t="str">
            <v>1TE1A603Y-3J8A-FE1</v>
          </cell>
          <cell r="B6883" t="str">
            <v>SMT</v>
          </cell>
        </row>
        <row r="6884">
          <cell r="A6884" t="str">
            <v>1AE1A603Y-3J8A-FE1</v>
          </cell>
          <cell r="B6884" t="str">
            <v>SMT</v>
          </cell>
        </row>
        <row r="6885">
          <cell r="A6885" t="str">
            <v>1HT1A603Y-3J8A-FE1</v>
          </cell>
          <cell r="B6885" t="str">
            <v>SMT</v>
          </cell>
        </row>
        <row r="6886">
          <cell r="A6886" t="str">
            <v>1CM1H603L3J82P1-FE</v>
          </cell>
          <cell r="B6886" t="str">
            <v>SMT</v>
          </cell>
          <cell r="E6886">
            <v>6210</v>
          </cell>
          <cell r="F6886" t="str">
            <v>VG01</v>
          </cell>
          <cell r="G6886" t="str">
            <v>Auto</v>
          </cell>
          <cell r="H6886">
            <v>311</v>
          </cell>
          <cell r="I6886">
            <v>6210</v>
          </cell>
          <cell r="J6886">
            <v>6220</v>
          </cell>
          <cell r="K6886" t="str">
            <v>VG01</v>
          </cell>
        </row>
        <row r="6887">
          <cell r="A6887" t="str">
            <v>1RH1H603L3J82P1-FE</v>
          </cell>
          <cell r="B6887" t="str">
            <v>SMT</v>
          </cell>
        </row>
        <row r="6888">
          <cell r="A6888" t="str">
            <v>1AE1H603L3J82P1-FE</v>
          </cell>
          <cell r="B6888" t="str">
            <v>SMT</v>
          </cell>
        </row>
        <row r="6889">
          <cell r="A6889" t="str">
            <v>1RE1H603L3J82P1-FE</v>
          </cell>
          <cell r="B6889" t="str">
            <v>SMT</v>
          </cell>
        </row>
        <row r="6890">
          <cell r="A6890" t="str">
            <v>1CM1H683L3K20P2</v>
          </cell>
          <cell r="B6890" t="str">
            <v>SMT</v>
          </cell>
          <cell r="E6890">
            <v>6210</v>
          </cell>
          <cell r="F6890" t="str">
            <v>VG01</v>
          </cell>
          <cell r="G6890" t="str">
            <v>Auto</v>
          </cell>
          <cell r="H6890">
            <v>311</v>
          </cell>
          <cell r="I6890">
            <v>6210</v>
          </cell>
          <cell r="J6890">
            <v>6220</v>
          </cell>
          <cell r="K6890" t="str">
            <v>VG01</v>
          </cell>
        </row>
        <row r="6891">
          <cell r="A6891" t="str">
            <v>1RH1H683L3K20P2</v>
          </cell>
          <cell r="B6891" t="str">
            <v>SMT</v>
          </cell>
        </row>
        <row r="6892">
          <cell r="A6892" t="str">
            <v>1TE1H683L3K20P2</v>
          </cell>
          <cell r="B6892" t="str">
            <v>SMT</v>
          </cell>
        </row>
        <row r="6893">
          <cell r="A6893" t="str">
            <v>1AE1H683L3K20P2</v>
          </cell>
          <cell r="B6893" t="str">
            <v>SMT</v>
          </cell>
        </row>
        <row r="6894">
          <cell r="A6894" t="str">
            <v>1HT1H683L3K20P2</v>
          </cell>
          <cell r="B6894" t="str">
            <v>SMT</v>
          </cell>
        </row>
        <row r="6895">
          <cell r="A6895" t="str">
            <v>1RE2A607B3J81P1-FE</v>
          </cell>
          <cell r="B6895" t="str">
            <v>SMT</v>
          </cell>
          <cell r="E6895">
            <v>6210</v>
          </cell>
          <cell r="F6895" t="str">
            <v>VG01</v>
          </cell>
          <cell r="G6895" t="str">
            <v>Auto</v>
          </cell>
          <cell r="H6895">
            <v>311</v>
          </cell>
          <cell r="I6895">
            <v>6210</v>
          </cell>
          <cell r="J6895">
            <v>6220</v>
          </cell>
          <cell r="K6895" t="str">
            <v>VG01</v>
          </cell>
        </row>
        <row r="6896">
          <cell r="A6896" t="str">
            <v>1RE1A607B3J81P1-FE</v>
          </cell>
          <cell r="B6896" t="str">
            <v>SMT</v>
          </cell>
        </row>
        <row r="6897">
          <cell r="A6897" t="str">
            <v>1RE2H608D-3J80-FE</v>
          </cell>
          <cell r="B6897" t="str">
            <v>SMT</v>
          </cell>
          <cell r="E6897">
            <v>6210</v>
          </cell>
          <cell r="F6897" t="str">
            <v>VG01</v>
          </cell>
          <cell r="G6897" t="str">
            <v>Auto</v>
          </cell>
          <cell r="H6897">
            <v>311</v>
          </cell>
          <cell r="I6897">
            <v>6210</v>
          </cell>
          <cell r="J6897">
            <v>6220</v>
          </cell>
          <cell r="K6897" t="str">
            <v>VG01</v>
          </cell>
        </row>
        <row r="6898">
          <cell r="A6898" t="str">
            <v>1RE1H608D-3J80-FE</v>
          </cell>
          <cell r="B6898" t="str">
            <v>SMT</v>
          </cell>
        </row>
        <row r="6899">
          <cell r="A6899" t="str">
            <v>1RE2H685Q3K20P2</v>
          </cell>
          <cell r="B6899" t="str">
            <v>SMT</v>
          </cell>
          <cell r="E6899">
            <v>6210</v>
          </cell>
          <cell r="F6899" t="str">
            <v>VG01</v>
          </cell>
          <cell r="G6899" t="str">
            <v>Auto</v>
          </cell>
          <cell r="H6899">
            <v>311</v>
          </cell>
          <cell r="I6899">
            <v>6210</v>
          </cell>
          <cell r="J6899">
            <v>6220</v>
          </cell>
          <cell r="K6899" t="str">
            <v>VG01</v>
          </cell>
        </row>
        <row r="6900">
          <cell r="A6900" t="str">
            <v>1RE1H685Q3K20P2</v>
          </cell>
          <cell r="B6900" t="str">
            <v>SMT</v>
          </cell>
        </row>
        <row r="6901">
          <cell r="A6901" t="str">
            <v>1RH1ARBP0DA01973-1</v>
          </cell>
          <cell r="B6901" t="str">
            <v>SMT</v>
          </cell>
          <cell r="E6901">
            <v>8210</v>
          </cell>
          <cell r="F6901" t="str">
            <v>V501</v>
          </cell>
          <cell r="G6901" t="str">
            <v>Auto</v>
          </cell>
          <cell r="H6901">
            <v>311</v>
          </cell>
          <cell r="I6901">
            <v>8210</v>
          </cell>
          <cell r="J6901">
            <v>8220</v>
          </cell>
          <cell r="K6901" t="str">
            <v>V501</v>
          </cell>
        </row>
        <row r="6902">
          <cell r="A6902" t="str">
            <v>1CM1ARBP0DA01973-1</v>
          </cell>
          <cell r="B6902" t="str">
            <v>SMT</v>
          </cell>
        </row>
        <row r="6903">
          <cell r="A6903" t="str">
            <v>1RE1ARBP0DA01973-1</v>
          </cell>
          <cell r="B6903" t="str">
            <v>SMT</v>
          </cell>
        </row>
        <row r="6904">
          <cell r="A6904" t="str">
            <v>1CM1ARBP0DA02265</v>
          </cell>
          <cell r="B6904" t="str">
            <v>SMT</v>
          </cell>
          <cell r="E6904">
            <v>8210</v>
          </cell>
          <cell r="F6904" t="str">
            <v>V501</v>
          </cell>
          <cell r="G6904" t="str">
            <v>Auto</v>
          </cell>
          <cell r="H6904">
            <v>311</v>
          </cell>
          <cell r="I6904">
            <v>8210</v>
          </cell>
          <cell r="J6904">
            <v>8220</v>
          </cell>
          <cell r="K6904" t="str">
            <v>V501</v>
          </cell>
        </row>
        <row r="6905">
          <cell r="A6905" t="str">
            <v>1RH1ARBP0DA02265</v>
          </cell>
          <cell r="B6905" t="str">
            <v>SMT</v>
          </cell>
        </row>
        <row r="6906">
          <cell r="A6906" t="str">
            <v>1RE1ARBP0DA02265</v>
          </cell>
          <cell r="B6906" t="str">
            <v>SMT</v>
          </cell>
        </row>
        <row r="6907">
          <cell r="A6907" t="str">
            <v>1CM1ARBP0DA02274</v>
          </cell>
          <cell r="B6907" t="str">
            <v>SMT</v>
          </cell>
          <cell r="E6907">
            <v>8210</v>
          </cell>
          <cell r="F6907" t="str">
            <v>V501</v>
          </cell>
          <cell r="G6907" t="str">
            <v>Auto</v>
          </cell>
          <cell r="H6907">
            <v>311</v>
          </cell>
          <cell r="I6907">
            <v>8210</v>
          </cell>
          <cell r="J6907">
            <v>8220</v>
          </cell>
          <cell r="K6907" t="str">
            <v>V501</v>
          </cell>
        </row>
        <row r="6908">
          <cell r="A6908" t="str">
            <v>1RH1ARBP0DA02274</v>
          </cell>
          <cell r="B6908" t="str">
            <v>SMT</v>
          </cell>
        </row>
        <row r="6909">
          <cell r="A6909" t="str">
            <v>1RE1ARBP0DA02274</v>
          </cell>
          <cell r="B6909" t="str">
            <v>SMT</v>
          </cell>
        </row>
        <row r="6910">
          <cell r="A6910" t="str">
            <v>1RH1ARBP0DA01474-1</v>
          </cell>
          <cell r="B6910" t="str">
            <v>SMT</v>
          </cell>
          <cell r="E6910">
            <v>8210</v>
          </cell>
          <cell r="F6910" t="str">
            <v>V501</v>
          </cell>
          <cell r="G6910" t="str">
            <v>Auto</v>
          </cell>
          <cell r="H6910">
            <v>311</v>
          </cell>
          <cell r="I6910">
            <v>8210</v>
          </cell>
          <cell r="J6910">
            <v>8220</v>
          </cell>
          <cell r="K6910" t="str">
            <v>V501</v>
          </cell>
        </row>
        <row r="6911">
          <cell r="A6911" t="str">
            <v>1CM1ARBP0DA01474-1</v>
          </cell>
          <cell r="B6911" t="str">
            <v>SMT</v>
          </cell>
        </row>
        <row r="6912">
          <cell r="A6912" t="str">
            <v>1RE1ARBP0DA01474-1</v>
          </cell>
          <cell r="B6912" t="str">
            <v>SMT</v>
          </cell>
        </row>
        <row r="6913">
          <cell r="A6913" t="str">
            <v>1RH1ARBP0DA01963-1</v>
          </cell>
          <cell r="B6913" t="str">
            <v>SMT</v>
          </cell>
          <cell r="E6913">
            <v>8210</v>
          </cell>
          <cell r="F6913" t="str">
            <v>V501</v>
          </cell>
          <cell r="G6913" t="str">
            <v>Auto</v>
          </cell>
          <cell r="H6913">
            <v>311</v>
          </cell>
          <cell r="I6913">
            <v>8210</v>
          </cell>
          <cell r="J6913">
            <v>8220</v>
          </cell>
          <cell r="K6913" t="str">
            <v>V501</v>
          </cell>
        </row>
        <row r="6914">
          <cell r="A6914" t="str">
            <v>1CM1ARBP0DA01963-1</v>
          </cell>
          <cell r="B6914" t="str">
            <v>SMT</v>
          </cell>
        </row>
        <row r="6915">
          <cell r="A6915" t="str">
            <v>1RE1ARBP0DA01963-1</v>
          </cell>
          <cell r="B6915" t="str">
            <v>SMT</v>
          </cell>
        </row>
        <row r="6916">
          <cell r="A6916" t="str">
            <v>1RE2ARBP0DA02295</v>
          </cell>
          <cell r="B6916" t="str">
            <v>SMT</v>
          </cell>
          <cell r="E6916">
            <v>8210</v>
          </cell>
          <cell r="F6916" t="str">
            <v>V501</v>
          </cell>
          <cell r="G6916" t="str">
            <v>Auto</v>
          </cell>
          <cell r="H6916">
            <v>311</v>
          </cell>
          <cell r="I6916">
            <v>8210</v>
          </cell>
          <cell r="J6916">
            <v>8220</v>
          </cell>
          <cell r="K6916" t="str">
            <v>V501</v>
          </cell>
        </row>
        <row r="6917">
          <cell r="A6917" t="str">
            <v>1RE1ARBP0DA02295</v>
          </cell>
          <cell r="B6917" t="str">
            <v>SMT</v>
          </cell>
        </row>
        <row r="6918">
          <cell r="A6918" t="str">
            <v>1RE2ARBP0DA02284</v>
          </cell>
          <cell r="B6918" t="str">
            <v>SMT</v>
          </cell>
          <cell r="E6918">
            <v>8210</v>
          </cell>
          <cell r="F6918" t="str">
            <v>V501</v>
          </cell>
          <cell r="G6918" t="str">
            <v>Auto</v>
          </cell>
          <cell r="H6918">
            <v>311</v>
          </cell>
          <cell r="I6918">
            <v>8210</v>
          </cell>
          <cell r="J6918">
            <v>8220</v>
          </cell>
          <cell r="K6918" t="str">
            <v>V501</v>
          </cell>
        </row>
        <row r="6919">
          <cell r="A6919" t="str">
            <v>1RE1ARBP0DA02284</v>
          </cell>
          <cell r="B6919" t="str">
            <v>SMT</v>
          </cell>
        </row>
        <row r="6920">
          <cell r="A6920" t="str">
            <v>1RE2ARBP0DA02851</v>
          </cell>
          <cell r="B6920" t="str">
            <v>SMT</v>
          </cell>
          <cell r="E6920">
            <v>8210</v>
          </cell>
          <cell r="F6920" t="str">
            <v>V501</v>
          </cell>
          <cell r="G6920" t="str">
            <v>Auto</v>
          </cell>
          <cell r="H6920">
            <v>311</v>
          </cell>
          <cell r="I6920">
            <v>8210</v>
          </cell>
          <cell r="J6920">
            <v>8220</v>
          </cell>
          <cell r="K6920" t="str">
            <v>V501</v>
          </cell>
        </row>
        <row r="6921">
          <cell r="A6921" t="str">
            <v>1RE1ARBP0DA02851</v>
          </cell>
          <cell r="B6921" t="str">
            <v>SMT</v>
          </cell>
        </row>
        <row r="6922">
          <cell r="A6922" t="str">
            <v>1RH1ARBP01A00382-1</v>
          </cell>
          <cell r="B6922" t="str">
            <v>SMT</v>
          </cell>
          <cell r="E6922">
            <v>8210</v>
          </cell>
          <cell r="F6922" t="str">
            <v>V501</v>
          </cell>
          <cell r="G6922" t="str">
            <v>Auto</v>
          </cell>
          <cell r="H6922">
            <v>311</v>
          </cell>
          <cell r="I6922">
            <v>8210</v>
          </cell>
          <cell r="J6922">
            <v>8220</v>
          </cell>
          <cell r="K6922" t="str">
            <v>V501</v>
          </cell>
        </row>
        <row r="6923">
          <cell r="A6923" t="str">
            <v>1CM1ARBP01A00382-1</v>
          </cell>
          <cell r="B6923" t="str">
            <v>SMT</v>
          </cell>
        </row>
        <row r="6924">
          <cell r="A6924" t="str">
            <v>1AE1ARBP01A00382-1</v>
          </cell>
          <cell r="B6924" t="str">
            <v>SMT</v>
          </cell>
        </row>
        <row r="6925">
          <cell r="A6925" t="str">
            <v>1RH1ARBP01A00420-1</v>
          </cell>
          <cell r="B6925" t="str">
            <v>SMT</v>
          </cell>
          <cell r="E6925">
            <v>8210</v>
          </cell>
          <cell r="F6925" t="str">
            <v>V501</v>
          </cell>
          <cell r="G6925" t="str">
            <v>Auto</v>
          </cell>
          <cell r="H6925">
            <v>311</v>
          </cell>
          <cell r="I6925">
            <v>8210</v>
          </cell>
          <cell r="J6925">
            <v>8220</v>
          </cell>
          <cell r="K6925" t="str">
            <v>V501</v>
          </cell>
        </row>
        <row r="6926">
          <cell r="A6926" t="str">
            <v>1CM1ARBP01A00420-1</v>
          </cell>
          <cell r="B6926" t="str">
            <v>SMT</v>
          </cell>
        </row>
        <row r="6927">
          <cell r="A6927" t="str">
            <v>1AE1ARBP01A00420-1</v>
          </cell>
          <cell r="B6927" t="str">
            <v>SMT</v>
          </cell>
        </row>
        <row r="6928">
          <cell r="A6928" t="str">
            <v>1RH1ARBP01A00850-1</v>
          </cell>
          <cell r="B6928" t="str">
            <v>SMT</v>
          </cell>
          <cell r="E6928">
            <v>8210</v>
          </cell>
          <cell r="F6928" t="str">
            <v>V501</v>
          </cell>
          <cell r="G6928" t="str">
            <v>Auto</v>
          </cell>
          <cell r="H6928">
            <v>311</v>
          </cell>
          <cell r="I6928">
            <v>8210</v>
          </cell>
          <cell r="J6928">
            <v>8220</v>
          </cell>
          <cell r="K6928" t="str">
            <v>V501</v>
          </cell>
        </row>
        <row r="6929">
          <cell r="A6929" t="str">
            <v>1CM1ARBP01A00850-1</v>
          </cell>
          <cell r="B6929" t="str">
            <v>SMT</v>
          </cell>
        </row>
        <row r="6930">
          <cell r="A6930" t="str">
            <v>1AE1ARBP01A00850-1</v>
          </cell>
          <cell r="B6930" t="str">
            <v>SMT</v>
          </cell>
        </row>
        <row r="6931">
          <cell r="A6931" t="str">
            <v>1AE1ARBPC1A13060</v>
          </cell>
          <cell r="B6931" t="str">
            <v>SMT</v>
          </cell>
        </row>
        <row r="6932">
          <cell r="A6932" t="str">
            <v>1RH1ARBPC1A13060</v>
          </cell>
          <cell r="B6932" t="str">
            <v>SMT</v>
          </cell>
        </row>
        <row r="6933">
          <cell r="A6933" t="str">
            <v>1AE1ARBPC1A13070</v>
          </cell>
          <cell r="B6933" t="str">
            <v>SMT</v>
          </cell>
        </row>
        <row r="6934">
          <cell r="A6934" t="str">
            <v>1RH1ARBPC1A13070</v>
          </cell>
          <cell r="B6934" t="str">
            <v>SMT</v>
          </cell>
        </row>
        <row r="6935">
          <cell r="A6935" t="str">
            <v>1CM1ARBPC1A13060</v>
          </cell>
          <cell r="B6935" t="str">
            <v>SMT</v>
          </cell>
          <cell r="E6935">
            <v>8210</v>
          </cell>
          <cell r="F6935" t="str">
            <v>V501</v>
          </cell>
          <cell r="G6935" t="str">
            <v>Auto</v>
          </cell>
          <cell r="H6935">
            <v>311</v>
          </cell>
          <cell r="I6935">
            <v>8210</v>
          </cell>
          <cell r="J6935">
            <v>8220</v>
          </cell>
          <cell r="K6935" t="str">
            <v>V501</v>
          </cell>
        </row>
        <row r="6936">
          <cell r="A6936" t="str">
            <v>1CM1ARBPC1A13070</v>
          </cell>
          <cell r="B6936" t="str">
            <v>SMT</v>
          </cell>
          <cell r="E6936">
            <v>8210</v>
          </cell>
          <cell r="F6936" t="str">
            <v>V501</v>
          </cell>
          <cell r="G6936" t="str">
            <v>Auto</v>
          </cell>
          <cell r="H6936">
            <v>311</v>
          </cell>
          <cell r="I6936">
            <v>8210</v>
          </cell>
          <cell r="J6936">
            <v>8220</v>
          </cell>
          <cell r="K6936" t="str">
            <v>V501</v>
          </cell>
        </row>
        <row r="6937">
          <cell r="A6937" t="str">
            <v>1RH1ARBP01A00382-1</v>
          </cell>
          <cell r="B6937" t="str">
            <v>SMT</v>
          </cell>
          <cell r="E6937">
            <v>8210</v>
          </cell>
          <cell r="F6937" t="str">
            <v>V501</v>
          </cell>
          <cell r="G6937" t="str">
            <v>Auto</v>
          </cell>
          <cell r="H6937">
            <v>311</v>
          </cell>
          <cell r="I6937">
            <v>8210</v>
          </cell>
          <cell r="J6937">
            <v>8220</v>
          </cell>
          <cell r="K6937" t="str">
            <v>V501</v>
          </cell>
        </row>
        <row r="6938">
          <cell r="A6938" t="str">
            <v>1CM1ARBP01A00382-1</v>
          </cell>
          <cell r="B6938" t="str">
            <v>SMT</v>
          </cell>
        </row>
        <row r="6939">
          <cell r="A6939" t="str">
            <v>1AE1ARBP01A00382-1</v>
          </cell>
          <cell r="B6939" t="str">
            <v>SMT</v>
          </cell>
        </row>
        <row r="6940">
          <cell r="A6940" t="str">
            <v>1RH1ARBP01A00420-1</v>
          </cell>
          <cell r="B6940" t="str">
            <v>SMT</v>
          </cell>
          <cell r="E6940">
            <v>8210</v>
          </cell>
          <cell r="F6940" t="str">
            <v>V501</v>
          </cell>
          <cell r="G6940" t="str">
            <v>Auto</v>
          </cell>
          <cell r="H6940">
            <v>311</v>
          </cell>
          <cell r="I6940">
            <v>8210</v>
          </cell>
          <cell r="J6940">
            <v>8220</v>
          </cell>
          <cell r="K6940" t="str">
            <v>V501</v>
          </cell>
        </row>
        <row r="6941">
          <cell r="A6941" t="str">
            <v>1CM1ARBP01A00420-1</v>
          </cell>
          <cell r="B6941" t="str">
            <v>SMT</v>
          </cell>
        </row>
        <row r="6942">
          <cell r="A6942" t="str">
            <v>1AE1ARBP01A00420-1</v>
          </cell>
          <cell r="B6942" t="str">
            <v>SMT</v>
          </cell>
        </row>
        <row r="6943">
          <cell r="A6943" t="str">
            <v>1RH1ARBP01A00850-1</v>
          </cell>
          <cell r="B6943" t="str">
            <v>SMT</v>
          </cell>
          <cell r="E6943">
            <v>8210</v>
          </cell>
          <cell r="F6943" t="str">
            <v>V501</v>
          </cell>
          <cell r="G6943" t="str">
            <v>Auto</v>
          </cell>
          <cell r="H6943">
            <v>311</v>
          </cell>
          <cell r="I6943">
            <v>8210</v>
          </cell>
          <cell r="J6943">
            <v>8220</v>
          </cell>
          <cell r="K6943" t="str">
            <v>V501</v>
          </cell>
        </row>
        <row r="6944">
          <cell r="A6944" t="str">
            <v>1CM1ARBP01A00850-1</v>
          </cell>
          <cell r="B6944" t="str">
            <v>SMT</v>
          </cell>
        </row>
        <row r="6945">
          <cell r="A6945" t="str">
            <v>1AE1ARBP01A00850-1</v>
          </cell>
          <cell r="B6945" t="str">
            <v>SMT</v>
          </cell>
        </row>
        <row r="6946">
          <cell r="A6946" t="str">
            <v>1RH1ARBP0DA01474-1</v>
          </cell>
          <cell r="B6946" t="str">
            <v>SMT</v>
          </cell>
          <cell r="E6946">
            <v>8210</v>
          </cell>
          <cell r="F6946" t="str">
            <v>V501</v>
          </cell>
          <cell r="G6946" t="str">
            <v>Auto</v>
          </cell>
          <cell r="H6946">
            <v>311</v>
          </cell>
          <cell r="I6946">
            <v>8210</v>
          </cell>
          <cell r="J6946">
            <v>8220</v>
          </cell>
          <cell r="K6946" t="str">
            <v>V501</v>
          </cell>
        </row>
        <row r="6947">
          <cell r="A6947" t="str">
            <v>1CM1ARBP0DA01474-1</v>
          </cell>
          <cell r="B6947" t="str">
            <v>SMT</v>
          </cell>
        </row>
        <row r="6948">
          <cell r="A6948" t="str">
            <v>1RE1ARBP0DA01474-1</v>
          </cell>
          <cell r="B6948" t="str">
            <v>SMT</v>
          </cell>
        </row>
        <row r="6949">
          <cell r="A6949" t="str">
            <v>1RH1ARBP0DA01963-1</v>
          </cell>
          <cell r="B6949" t="str">
            <v>SMT</v>
          </cell>
          <cell r="E6949">
            <v>8210</v>
          </cell>
          <cell r="F6949" t="str">
            <v>V501</v>
          </cell>
          <cell r="G6949" t="str">
            <v>Auto</v>
          </cell>
          <cell r="H6949">
            <v>311</v>
          </cell>
          <cell r="I6949">
            <v>8210</v>
          </cell>
          <cell r="J6949">
            <v>8220</v>
          </cell>
          <cell r="K6949" t="str">
            <v>V501</v>
          </cell>
        </row>
        <row r="6950">
          <cell r="A6950" t="str">
            <v>1CM1ARBP0DA01963-1</v>
          </cell>
          <cell r="B6950" t="str">
            <v>SMT</v>
          </cell>
        </row>
        <row r="6951">
          <cell r="A6951" t="str">
            <v>1RE1ARBP0DA01963-1</v>
          </cell>
          <cell r="B6951" t="str">
            <v>SMT</v>
          </cell>
        </row>
        <row r="6952">
          <cell r="A6952" t="str">
            <v>1VJ1H685Q3K20P2</v>
          </cell>
          <cell r="B6952" t="str">
            <v>SMT</v>
          </cell>
        </row>
        <row r="6953">
          <cell r="A6953" t="str">
            <v>1VJ2H685Q3K20P2</v>
          </cell>
          <cell r="B6953" t="str">
            <v>SMT</v>
          </cell>
        </row>
        <row r="6954">
          <cell r="A6954" t="str">
            <v>1VJ3H685Q3K20P2</v>
          </cell>
          <cell r="B6954" t="str">
            <v>SMT</v>
          </cell>
        </row>
        <row r="6955">
          <cell r="A6955" t="str">
            <v>1CM1A603L3K60EP</v>
          </cell>
          <cell r="B6955" t="str">
            <v>SMT</v>
          </cell>
          <cell r="E6955">
            <v>6210</v>
          </cell>
          <cell r="F6955" t="str">
            <v>VG01</v>
          </cell>
          <cell r="G6955" t="str">
            <v>Auto</v>
          </cell>
          <cell r="H6955">
            <v>311</v>
          </cell>
          <cell r="I6955">
            <v>6210</v>
          </cell>
          <cell r="J6955">
            <v>6220</v>
          </cell>
          <cell r="K6955" t="str">
            <v>VG01</v>
          </cell>
        </row>
        <row r="6956">
          <cell r="A6956" t="str">
            <v>1RH1A603L3K60EP</v>
          </cell>
          <cell r="B6956" t="str">
            <v>SMT</v>
          </cell>
        </row>
        <row r="6957">
          <cell r="A6957" t="str">
            <v>1AE1A603L3K60EP</v>
          </cell>
          <cell r="B6957" t="str">
            <v>SMT</v>
          </cell>
        </row>
        <row r="6958">
          <cell r="A6958" t="str">
            <v>1RE1AAB25</v>
          </cell>
          <cell r="B6958" t="str">
            <v>SMT</v>
          </cell>
          <cell r="E6958">
            <v>9210</v>
          </cell>
          <cell r="F6958" t="str">
            <v>VE01</v>
          </cell>
          <cell r="G6958" t="str">
            <v>Auto</v>
          </cell>
          <cell r="H6958">
            <v>311</v>
          </cell>
          <cell r="I6958">
            <v>9210</v>
          </cell>
          <cell r="J6958">
            <v>9220</v>
          </cell>
          <cell r="K6958" t="str">
            <v>VE01</v>
          </cell>
        </row>
        <row r="6959">
          <cell r="A6959" t="str">
            <v>1RE2CH458-T1-V4</v>
          </cell>
          <cell r="B6959" t="str">
            <v>SMT</v>
          </cell>
          <cell r="E6959">
            <v>9210</v>
          </cell>
          <cell r="F6959" t="str">
            <v>VE01</v>
          </cell>
          <cell r="G6959" t="str">
            <v>Auto</v>
          </cell>
          <cell r="H6959">
            <v>311</v>
          </cell>
          <cell r="I6959">
            <v>9210</v>
          </cell>
          <cell r="J6959">
            <v>9390</v>
          </cell>
          <cell r="K6959" t="str">
            <v>VE01</v>
          </cell>
        </row>
        <row r="6960">
          <cell r="A6960" t="str">
            <v>PULB1125ZA-WK</v>
          </cell>
          <cell r="B6960" t="str">
            <v>SMT</v>
          </cell>
        </row>
        <row r="6961">
          <cell r="A6961" t="str">
            <v>1RE1ARBP01A01012</v>
          </cell>
          <cell r="B6961" t="str">
            <v>SMT</v>
          </cell>
          <cell r="E6961">
            <v>8210</v>
          </cell>
          <cell r="F6961" t="str">
            <v>V501</v>
          </cell>
          <cell r="G6961" t="str">
            <v>Auto</v>
          </cell>
          <cell r="H6961">
            <v>311</v>
          </cell>
          <cell r="I6961">
            <v>8210</v>
          </cell>
          <cell r="J6961">
            <v>8220</v>
          </cell>
          <cell r="K6961" t="str">
            <v>V501</v>
          </cell>
        </row>
        <row r="6962">
          <cell r="A6962" t="str">
            <v>1RE2ARBP0DA02178</v>
          </cell>
          <cell r="B6962" t="str">
            <v>SMT</v>
          </cell>
          <cell r="E6962">
            <v>8210</v>
          </cell>
          <cell r="F6962" t="str">
            <v>V501</v>
          </cell>
          <cell r="G6962" t="str">
            <v>Auto</v>
          </cell>
          <cell r="H6962">
            <v>311</v>
          </cell>
          <cell r="I6962">
            <v>8210</v>
          </cell>
          <cell r="J6962">
            <v>8220</v>
          </cell>
          <cell r="K6962" t="str">
            <v>V501</v>
          </cell>
        </row>
        <row r="6963">
          <cell r="A6963" t="str">
            <v>1RE1ARBP0DA02178</v>
          </cell>
          <cell r="B6963" t="str">
            <v>SMT</v>
          </cell>
        </row>
        <row r="6964">
          <cell r="A6964" t="str">
            <v>1RE2ARBP0DA02305</v>
          </cell>
          <cell r="B6964" t="str">
            <v>SMT</v>
          </cell>
          <cell r="E6964">
            <v>8210</v>
          </cell>
          <cell r="F6964" t="str">
            <v>V501</v>
          </cell>
          <cell r="G6964" t="str">
            <v>Auto</v>
          </cell>
          <cell r="H6964">
            <v>311</v>
          </cell>
          <cell r="I6964">
            <v>8210</v>
          </cell>
          <cell r="J6964">
            <v>8220</v>
          </cell>
          <cell r="K6964" t="str">
            <v>V501</v>
          </cell>
        </row>
        <row r="6965">
          <cell r="A6965" t="str">
            <v>1RE1ARBP0DA02305</v>
          </cell>
          <cell r="B6965" t="str">
            <v>SMT</v>
          </cell>
        </row>
        <row r="6966">
          <cell r="A6966" t="str">
            <v>1RE2ARBP0DA02722</v>
          </cell>
          <cell r="B6966" t="str">
            <v>SMT</v>
          </cell>
          <cell r="E6966">
            <v>8210</v>
          </cell>
          <cell r="F6966" t="str">
            <v>V501</v>
          </cell>
          <cell r="G6966" t="str">
            <v>Auto</v>
          </cell>
          <cell r="H6966">
            <v>311</v>
          </cell>
          <cell r="I6966">
            <v>8210</v>
          </cell>
          <cell r="J6966">
            <v>8220</v>
          </cell>
          <cell r="K6966" t="str">
            <v>V501</v>
          </cell>
        </row>
        <row r="6967">
          <cell r="A6967" t="str">
            <v>1RE1ARBP0DA02722</v>
          </cell>
          <cell r="B6967" t="str">
            <v>SMT</v>
          </cell>
        </row>
        <row r="6968">
          <cell r="A6968" t="str">
            <v>1RH1ARBP0DA02790-1</v>
          </cell>
          <cell r="B6968" t="str">
            <v>SMT</v>
          </cell>
          <cell r="E6968">
            <v>8210</v>
          </cell>
          <cell r="F6968" t="str">
            <v>V501</v>
          </cell>
          <cell r="G6968" t="str">
            <v>Auto</v>
          </cell>
          <cell r="H6968">
            <v>311</v>
          </cell>
          <cell r="I6968">
            <v>8210</v>
          </cell>
          <cell r="J6968">
            <v>8220</v>
          </cell>
          <cell r="K6968" t="str">
            <v>V501</v>
          </cell>
        </row>
        <row r="6969">
          <cell r="A6969" t="str">
            <v>1CM1ARBP0DA02790-1</v>
          </cell>
          <cell r="B6969" t="str">
            <v>SMT</v>
          </cell>
        </row>
        <row r="6970">
          <cell r="A6970" t="str">
            <v>1RE1ARBP0DA02790-1</v>
          </cell>
          <cell r="B6970" t="str">
            <v>SMT</v>
          </cell>
        </row>
        <row r="6971">
          <cell r="A6971" t="str">
            <v>1RH1ARBPC1A08952</v>
          </cell>
          <cell r="B6971" t="str">
            <v>SMT</v>
          </cell>
          <cell r="E6971">
            <v>8210</v>
          </cell>
          <cell r="F6971" t="str">
            <v>V501</v>
          </cell>
          <cell r="G6971" t="str">
            <v>Auto</v>
          </cell>
          <cell r="H6971">
            <v>311</v>
          </cell>
          <cell r="I6971">
            <v>8210</v>
          </cell>
          <cell r="J6971">
            <v>8220</v>
          </cell>
          <cell r="K6971" t="str">
            <v>V501</v>
          </cell>
        </row>
        <row r="6972">
          <cell r="A6972" t="str">
            <v>1AE1ARBPC1A08952</v>
          </cell>
          <cell r="B6972" t="str">
            <v>SMT</v>
          </cell>
        </row>
        <row r="6973">
          <cell r="A6973" t="str">
            <v>1RE1ARBPC1A08952</v>
          </cell>
          <cell r="B6973" t="str">
            <v>SMT</v>
          </cell>
        </row>
        <row r="6974">
          <cell r="A6974" t="str">
            <v>1RH1ARBPC1A09824</v>
          </cell>
          <cell r="B6974" t="str">
            <v>SMT</v>
          </cell>
          <cell r="E6974">
            <v>8210</v>
          </cell>
          <cell r="F6974" t="str">
            <v>V501</v>
          </cell>
          <cell r="G6974" t="str">
            <v>Auto</v>
          </cell>
          <cell r="H6974">
            <v>311</v>
          </cell>
          <cell r="I6974">
            <v>8210</v>
          </cell>
          <cell r="J6974">
            <v>8220</v>
          </cell>
          <cell r="K6974" t="str">
            <v>V501</v>
          </cell>
        </row>
        <row r="6975">
          <cell r="A6975" t="str">
            <v>1AE1ARBPC1A09824</v>
          </cell>
          <cell r="B6975" t="str">
            <v>SMT</v>
          </cell>
        </row>
        <row r="6976">
          <cell r="A6976" t="str">
            <v>1RE1ARBPC1A09824</v>
          </cell>
          <cell r="B6976" t="str">
            <v>SMT</v>
          </cell>
        </row>
        <row r="6977">
          <cell r="A6977" t="str">
            <v>1CM1ARBPC1A09995</v>
          </cell>
          <cell r="B6977" t="str">
            <v>SMT</v>
          </cell>
          <cell r="E6977">
            <v>8210</v>
          </cell>
          <cell r="F6977" t="str">
            <v>V501</v>
          </cell>
          <cell r="G6977" t="str">
            <v>Auto</v>
          </cell>
          <cell r="H6977">
            <v>311</v>
          </cell>
          <cell r="I6977">
            <v>8210</v>
          </cell>
          <cell r="J6977">
            <v>8220</v>
          </cell>
          <cell r="K6977" t="str">
            <v>V501</v>
          </cell>
        </row>
        <row r="6978">
          <cell r="A6978" t="str">
            <v>1RH1ARBPC1A09995</v>
          </cell>
          <cell r="B6978" t="str">
            <v>SMT</v>
          </cell>
        </row>
        <row r="6979">
          <cell r="A6979" t="str">
            <v>1AE1ARBPC1A09995</v>
          </cell>
          <cell r="B6979" t="str">
            <v>SMT</v>
          </cell>
        </row>
        <row r="6980">
          <cell r="A6980" t="str">
            <v>1RE1ARBPC1A09995</v>
          </cell>
          <cell r="B6980" t="str">
            <v>SMT</v>
          </cell>
        </row>
        <row r="6981">
          <cell r="A6981" t="str">
            <v>1CM1ARBPC1A06102</v>
          </cell>
          <cell r="B6981" t="str">
            <v>SMT</v>
          </cell>
          <cell r="E6981">
            <v>8210</v>
          </cell>
          <cell r="F6981" t="str">
            <v>V501</v>
          </cell>
          <cell r="G6981" t="str">
            <v>Auto</v>
          </cell>
          <cell r="H6981">
            <v>311</v>
          </cell>
          <cell r="I6981">
            <v>8210</v>
          </cell>
          <cell r="J6981">
            <v>8220</v>
          </cell>
          <cell r="K6981" t="str">
            <v>V501</v>
          </cell>
        </row>
        <row r="6982">
          <cell r="A6982" t="str">
            <v>1RH1ARBPC1A06102</v>
          </cell>
          <cell r="B6982" t="str">
            <v>SMT</v>
          </cell>
        </row>
        <row r="6983">
          <cell r="A6983" t="str">
            <v>1AE1ARBPC1A05301</v>
          </cell>
          <cell r="B6983" t="str">
            <v>SMT</v>
          </cell>
        </row>
        <row r="6984">
          <cell r="A6984" t="str">
            <v>1CM1ARBPC1A06880</v>
          </cell>
          <cell r="B6984" t="str">
            <v>SMT</v>
          </cell>
          <cell r="E6984">
            <v>8210</v>
          </cell>
          <cell r="F6984" t="str">
            <v>V501</v>
          </cell>
          <cell r="G6984" t="str">
            <v>Auto</v>
          </cell>
          <cell r="H6984">
            <v>311</v>
          </cell>
          <cell r="I6984">
            <v>8210</v>
          </cell>
          <cell r="J6984">
            <v>8220</v>
          </cell>
          <cell r="K6984" t="str">
            <v>V501</v>
          </cell>
        </row>
        <row r="6985">
          <cell r="A6985" t="str">
            <v>1RH1ARBPC1A06880</v>
          </cell>
          <cell r="B6985" t="str">
            <v>SMT</v>
          </cell>
        </row>
        <row r="6986">
          <cell r="A6986" t="str">
            <v>1AE1ARBPC1A06880</v>
          </cell>
          <cell r="B6986" t="str">
            <v>SMT</v>
          </cell>
        </row>
        <row r="6987">
          <cell r="A6987" t="str">
            <v>1CM1H603Y3J90BP-FE</v>
          </cell>
          <cell r="B6987" t="str">
            <v>SMT</v>
          </cell>
          <cell r="E6987">
            <v>6210</v>
          </cell>
          <cell r="F6987" t="str">
            <v>VG01</v>
          </cell>
          <cell r="G6987" t="str">
            <v>Auto</v>
          </cell>
          <cell r="H6987">
            <v>311</v>
          </cell>
          <cell r="I6987">
            <v>6210</v>
          </cell>
          <cell r="J6987">
            <v>6220</v>
          </cell>
          <cell r="K6987" t="str">
            <v>VG01</v>
          </cell>
        </row>
        <row r="6988">
          <cell r="A6988" t="str">
            <v>1RH1H603Y3J90BP-FE</v>
          </cell>
          <cell r="B6988" t="str">
            <v>SMT</v>
          </cell>
        </row>
        <row r="6989">
          <cell r="A6989" t="str">
            <v>1TE1H603Y3J90BP-FE</v>
          </cell>
          <cell r="B6989" t="str">
            <v>SMT</v>
          </cell>
        </row>
        <row r="6990">
          <cell r="A6990" t="str">
            <v>1AE1H603Y3J90BP-FE</v>
          </cell>
          <cell r="B6990" t="str">
            <v>SMT</v>
          </cell>
        </row>
        <row r="6991">
          <cell r="A6991" t="str">
            <v>1HT1H603Y3J90BP-FE</v>
          </cell>
          <cell r="B6991" t="str">
            <v>SMT</v>
          </cell>
        </row>
        <row r="6992">
          <cell r="A6992" t="str">
            <v>H65553J90BP</v>
          </cell>
          <cell r="B6992" t="str">
            <v>SMT</v>
          </cell>
        </row>
        <row r="6993">
          <cell r="A6993" t="str">
            <v>1CM1ARBPC1A03942</v>
          </cell>
          <cell r="B6993" t="str">
            <v>SMT</v>
          </cell>
          <cell r="E6993">
            <v>8210</v>
          </cell>
          <cell r="F6993" t="str">
            <v>V501</v>
          </cell>
          <cell r="G6993" t="str">
            <v>Auto</v>
          </cell>
          <cell r="H6993">
            <v>311</v>
          </cell>
          <cell r="I6993">
            <v>8210</v>
          </cell>
          <cell r="J6993">
            <v>8220</v>
          </cell>
          <cell r="K6993" t="str">
            <v>V501</v>
          </cell>
        </row>
        <row r="6994">
          <cell r="A6994" t="str">
            <v>1RH1ARBPC1A03940</v>
          </cell>
          <cell r="B6994" t="str">
            <v>SMT</v>
          </cell>
        </row>
        <row r="6995">
          <cell r="A6995" t="str">
            <v>1AE1ARBPC1A03940</v>
          </cell>
          <cell r="B6995" t="str">
            <v>SMT</v>
          </cell>
        </row>
        <row r="6996">
          <cell r="A6996" t="str">
            <v>1RE1ARBP01A01010</v>
          </cell>
          <cell r="B6996" t="str">
            <v>SMT</v>
          </cell>
          <cell r="E6996">
            <v>8210</v>
          </cell>
          <cell r="F6996" t="str">
            <v>V501</v>
          </cell>
          <cell r="G6996" t="str">
            <v>Auto</v>
          </cell>
          <cell r="H6996">
            <v>311</v>
          </cell>
          <cell r="I6996">
            <v>8210</v>
          </cell>
          <cell r="J6996">
            <v>8220</v>
          </cell>
          <cell r="K6996" t="str">
            <v>V501</v>
          </cell>
        </row>
        <row r="6997">
          <cell r="A6997" t="str">
            <v>1VI1TVRU484AF</v>
          </cell>
          <cell r="B6997" t="str">
            <v>SMT</v>
          </cell>
        </row>
        <row r="6998">
          <cell r="A6998" t="str">
            <v>1CM1ARBPC1A10775</v>
          </cell>
          <cell r="B6998" t="str">
            <v>SMT</v>
          </cell>
          <cell r="E6998">
            <v>8210</v>
          </cell>
          <cell r="F6998" t="str">
            <v>V501</v>
          </cell>
          <cell r="G6998" t="str">
            <v>Auto</v>
          </cell>
          <cell r="H6998">
            <v>311</v>
          </cell>
          <cell r="I6998">
            <v>8210</v>
          </cell>
          <cell r="J6998">
            <v>8220</v>
          </cell>
          <cell r="K6998" t="str">
            <v>V501</v>
          </cell>
        </row>
        <row r="6999">
          <cell r="A6999" t="str">
            <v>1RH1ARBPC1A10775</v>
          </cell>
          <cell r="B6999" t="str">
            <v>SMT</v>
          </cell>
        </row>
        <row r="7000">
          <cell r="A7000" t="str">
            <v>1AE1ARBPC1A10775</v>
          </cell>
          <cell r="B7000" t="str">
            <v>SMT</v>
          </cell>
        </row>
        <row r="7001">
          <cell r="A7001" t="str">
            <v>1RE1ARBPC1A10775</v>
          </cell>
          <cell r="B7001" t="str">
            <v>SMT</v>
          </cell>
        </row>
        <row r="7002">
          <cell r="A7002" t="str">
            <v>1CM1ARBPC1A10784</v>
          </cell>
          <cell r="B7002" t="str">
            <v>SMT</v>
          </cell>
          <cell r="E7002">
            <v>8210</v>
          </cell>
          <cell r="F7002" t="str">
            <v>V501</v>
          </cell>
          <cell r="G7002" t="str">
            <v>Auto</v>
          </cell>
          <cell r="H7002">
            <v>311</v>
          </cell>
          <cell r="I7002">
            <v>8210</v>
          </cell>
          <cell r="J7002">
            <v>8220</v>
          </cell>
          <cell r="K7002" t="str">
            <v>V501</v>
          </cell>
        </row>
        <row r="7003">
          <cell r="A7003" t="str">
            <v>1RH1ARBPC1A10784</v>
          </cell>
          <cell r="B7003" t="str">
            <v>SMT</v>
          </cell>
        </row>
        <row r="7004">
          <cell r="A7004" t="str">
            <v>1AE1ARBPC1A10784</v>
          </cell>
          <cell r="B7004" t="str">
            <v>SMT</v>
          </cell>
        </row>
        <row r="7005">
          <cell r="A7005" t="str">
            <v>1RE1ARBPC1A10784</v>
          </cell>
          <cell r="B7005" t="str">
            <v>SMT</v>
          </cell>
        </row>
        <row r="7006">
          <cell r="A7006" t="str">
            <v>1CM1ARBPC1A11952</v>
          </cell>
          <cell r="B7006" t="str">
            <v>SMT</v>
          </cell>
          <cell r="E7006">
            <v>8210</v>
          </cell>
          <cell r="F7006" t="str">
            <v>V501</v>
          </cell>
          <cell r="G7006" t="str">
            <v>Auto</v>
          </cell>
          <cell r="H7006">
            <v>311</v>
          </cell>
          <cell r="I7006">
            <v>8210</v>
          </cell>
          <cell r="J7006">
            <v>8220</v>
          </cell>
          <cell r="K7006" t="str">
            <v>V501</v>
          </cell>
        </row>
        <row r="7007">
          <cell r="A7007" t="str">
            <v>1RH1ARBPC1A11952</v>
          </cell>
          <cell r="B7007" t="str">
            <v>SMT</v>
          </cell>
        </row>
        <row r="7008">
          <cell r="A7008" t="str">
            <v>1AE1ARBPC1A11952</v>
          </cell>
          <cell r="B7008" t="str">
            <v>SMT</v>
          </cell>
        </row>
        <row r="7009">
          <cell r="A7009" t="str">
            <v>1RE1ARBPC1A11952</v>
          </cell>
          <cell r="B7009" t="str">
            <v>SMT</v>
          </cell>
        </row>
        <row r="7010">
          <cell r="A7010" t="str">
            <v>1RH1ARBPC1A09164</v>
          </cell>
          <cell r="B7010" t="str">
            <v>SMT</v>
          </cell>
          <cell r="E7010">
            <v>8210</v>
          </cell>
          <cell r="F7010" t="str">
            <v>V501</v>
          </cell>
          <cell r="G7010" t="str">
            <v>Auto</v>
          </cell>
          <cell r="H7010">
            <v>311</v>
          </cell>
          <cell r="I7010">
            <v>8210</v>
          </cell>
          <cell r="J7010">
            <v>8220</v>
          </cell>
          <cell r="K7010" t="str">
            <v>V501</v>
          </cell>
        </row>
        <row r="7011">
          <cell r="A7011" t="str">
            <v>1AE1ARBPC1A09164</v>
          </cell>
          <cell r="B7011" t="str">
            <v>SMT</v>
          </cell>
        </row>
        <row r="7012">
          <cell r="A7012" t="str">
            <v>1RE1ARBPC1A09164</v>
          </cell>
          <cell r="B7012" t="str">
            <v>SMT</v>
          </cell>
        </row>
        <row r="7013">
          <cell r="A7013" t="str">
            <v>1CM1A603L3G8BYP</v>
          </cell>
          <cell r="B7013" t="str">
            <v>SMT</v>
          </cell>
          <cell r="E7013">
            <v>6210</v>
          </cell>
          <cell r="F7013" t="str">
            <v>VG01</v>
          </cell>
          <cell r="G7013" t="str">
            <v>Auto</v>
          </cell>
          <cell r="H7013">
            <v>311</v>
          </cell>
          <cell r="I7013">
            <v>6210</v>
          </cell>
          <cell r="J7013">
            <v>6220</v>
          </cell>
          <cell r="K7013" t="str">
            <v>VG01</v>
          </cell>
        </row>
        <row r="7014">
          <cell r="A7014" t="str">
            <v>1RH1A603L3G8BYP</v>
          </cell>
          <cell r="B7014" t="str">
            <v>SMT</v>
          </cell>
        </row>
        <row r="7015">
          <cell r="A7015" t="str">
            <v>1TE1A603L3G8BYP</v>
          </cell>
          <cell r="B7015" t="str">
            <v>SMT</v>
          </cell>
        </row>
        <row r="7016">
          <cell r="A7016" t="str">
            <v>1AE1A603L3G8BYP</v>
          </cell>
          <cell r="B7016" t="str">
            <v>SMT</v>
          </cell>
        </row>
        <row r="7017">
          <cell r="A7017" t="str">
            <v>1HT1A603L3G8BYP</v>
          </cell>
          <cell r="B7017" t="str">
            <v>SMT</v>
          </cell>
        </row>
        <row r="7018">
          <cell r="A7018" t="str">
            <v>1CM1A603L-3G9B</v>
          </cell>
          <cell r="B7018" t="str">
            <v>SMT</v>
          </cell>
          <cell r="E7018">
            <v>6210</v>
          </cell>
          <cell r="F7018" t="str">
            <v>VG01</v>
          </cell>
          <cell r="G7018" t="str">
            <v>Auto</v>
          </cell>
          <cell r="H7018">
            <v>311</v>
          </cell>
          <cell r="I7018">
            <v>6210</v>
          </cell>
          <cell r="J7018">
            <v>6220</v>
          </cell>
          <cell r="K7018" t="str">
            <v>VG01</v>
          </cell>
        </row>
        <row r="7019">
          <cell r="A7019" t="str">
            <v>1RH1A603L-3G9B</v>
          </cell>
          <cell r="B7019" t="str">
            <v>SMT</v>
          </cell>
        </row>
        <row r="7020">
          <cell r="A7020" t="str">
            <v>1TE1A603L-3G9B</v>
          </cell>
          <cell r="B7020" t="str">
            <v>SMT</v>
          </cell>
        </row>
        <row r="7021">
          <cell r="A7021" t="str">
            <v>1AE1A603L-3G9B</v>
          </cell>
          <cell r="B7021" t="str">
            <v>SMT</v>
          </cell>
        </row>
        <row r="7022">
          <cell r="A7022" t="str">
            <v>1HT1A603L-3G9B</v>
          </cell>
          <cell r="B7022" t="str">
            <v>SMT</v>
          </cell>
        </row>
        <row r="7023">
          <cell r="A7023" t="str">
            <v>1CM1A603L3G9BP1</v>
          </cell>
          <cell r="B7023" t="str">
            <v>SMT</v>
          </cell>
          <cell r="E7023">
            <v>6210</v>
          </cell>
          <cell r="F7023" t="str">
            <v>VG01</v>
          </cell>
          <cell r="G7023" t="str">
            <v>Auto</v>
          </cell>
          <cell r="H7023">
            <v>311</v>
          </cell>
          <cell r="I7023">
            <v>6210</v>
          </cell>
          <cell r="J7023">
            <v>6220</v>
          </cell>
          <cell r="K7023" t="str">
            <v>VG01</v>
          </cell>
        </row>
        <row r="7024">
          <cell r="A7024" t="str">
            <v>1RH1A603L3G9BP1</v>
          </cell>
          <cell r="B7024" t="str">
            <v>SMT</v>
          </cell>
        </row>
        <row r="7025">
          <cell r="A7025" t="str">
            <v>1TE1A603L3G9BP1</v>
          </cell>
          <cell r="B7025" t="str">
            <v>SMT</v>
          </cell>
        </row>
        <row r="7026">
          <cell r="A7026" t="str">
            <v>1AE1A603L3G9BP1</v>
          </cell>
          <cell r="B7026" t="str">
            <v>SMT</v>
          </cell>
        </row>
        <row r="7027">
          <cell r="A7027" t="str">
            <v>1HT1A603L3G9BP1</v>
          </cell>
          <cell r="B7027" t="str">
            <v>SMT</v>
          </cell>
        </row>
        <row r="7028">
          <cell r="A7028" t="str">
            <v>1CM1A603L3G91P3</v>
          </cell>
          <cell r="B7028" t="str">
            <v>SMT</v>
          </cell>
          <cell r="E7028">
            <v>6210</v>
          </cell>
          <cell r="F7028" t="str">
            <v>VG01</v>
          </cell>
          <cell r="G7028" t="str">
            <v>Auto</v>
          </cell>
          <cell r="H7028">
            <v>311</v>
          </cell>
          <cell r="I7028">
            <v>6210</v>
          </cell>
          <cell r="J7028">
            <v>6220</v>
          </cell>
          <cell r="K7028" t="str">
            <v>VG01</v>
          </cell>
        </row>
        <row r="7029">
          <cell r="A7029" t="str">
            <v>1RH1A603L3G91P3</v>
          </cell>
          <cell r="B7029" t="str">
            <v>SMT</v>
          </cell>
        </row>
        <row r="7030">
          <cell r="A7030" t="str">
            <v>1TE1A603L3G91P3</v>
          </cell>
          <cell r="B7030" t="str">
            <v>SMT</v>
          </cell>
        </row>
        <row r="7031">
          <cell r="A7031" t="str">
            <v>1AE1A603L3G91P3</v>
          </cell>
          <cell r="B7031" t="str">
            <v>SMT</v>
          </cell>
        </row>
        <row r="7032">
          <cell r="A7032" t="str">
            <v>1HT1A603L3G91P3</v>
          </cell>
          <cell r="B7032" t="str">
            <v>SMT</v>
          </cell>
        </row>
        <row r="7033">
          <cell r="A7033" t="str">
            <v>1CM1ARBPC1A13531</v>
          </cell>
          <cell r="B7033" t="str">
            <v>SMT</v>
          </cell>
          <cell r="E7033">
            <v>8210</v>
          </cell>
          <cell r="F7033" t="str">
            <v>V501</v>
          </cell>
          <cell r="G7033" t="str">
            <v>Auto</v>
          </cell>
          <cell r="H7033">
            <v>311</v>
          </cell>
          <cell r="I7033">
            <v>8210</v>
          </cell>
          <cell r="J7033">
            <v>8220</v>
          </cell>
          <cell r="K7033" t="str">
            <v>V501</v>
          </cell>
        </row>
        <row r="7034">
          <cell r="A7034" t="str">
            <v>1RH1ARBPC1A13531</v>
          </cell>
          <cell r="B7034" t="str">
            <v>SMT</v>
          </cell>
        </row>
        <row r="7035">
          <cell r="A7035" t="str">
            <v>1RE1ARBPC1A13531</v>
          </cell>
          <cell r="B7035" t="str">
            <v>SMT</v>
          </cell>
        </row>
        <row r="7036">
          <cell r="A7036" t="str">
            <v>1CM1ARBPC1A13541</v>
          </cell>
          <cell r="B7036" t="str">
            <v>SMT</v>
          </cell>
          <cell r="E7036">
            <v>8210</v>
          </cell>
          <cell r="F7036" t="str">
            <v>V501</v>
          </cell>
          <cell r="G7036" t="str">
            <v>Auto</v>
          </cell>
          <cell r="H7036">
            <v>311</v>
          </cell>
          <cell r="I7036">
            <v>8210</v>
          </cell>
          <cell r="J7036">
            <v>8220</v>
          </cell>
          <cell r="K7036" t="str">
            <v>V501</v>
          </cell>
        </row>
        <row r="7037">
          <cell r="A7037" t="str">
            <v>1RH1ARBPC1A13541</v>
          </cell>
          <cell r="B7037" t="str">
            <v>SMT</v>
          </cell>
        </row>
        <row r="7038">
          <cell r="A7038" t="str">
            <v>1RE1ARBPC1A13541</v>
          </cell>
          <cell r="B7038" t="str">
            <v>SMT</v>
          </cell>
        </row>
        <row r="7039">
          <cell r="A7039" t="str">
            <v>1CM1ARBPC1A13760</v>
          </cell>
          <cell r="B7039" t="str">
            <v>SMT</v>
          </cell>
          <cell r="E7039">
            <v>8210</v>
          </cell>
          <cell r="F7039" t="str">
            <v>V501</v>
          </cell>
          <cell r="G7039" t="str">
            <v>Auto</v>
          </cell>
          <cell r="H7039">
            <v>311</v>
          </cell>
          <cell r="I7039">
            <v>8210</v>
          </cell>
          <cell r="J7039">
            <v>8220</v>
          </cell>
          <cell r="K7039" t="str">
            <v>V501</v>
          </cell>
        </row>
        <row r="7040">
          <cell r="A7040" t="str">
            <v>1RH1ARBPC1A13760</v>
          </cell>
          <cell r="B7040" t="str">
            <v>SMT</v>
          </cell>
        </row>
        <row r="7041">
          <cell r="A7041" t="str">
            <v>1AE1ARBPC1A13760</v>
          </cell>
          <cell r="B7041" t="str">
            <v>SMT</v>
          </cell>
        </row>
        <row r="7042">
          <cell r="A7042" t="str">
            <v>1RE1ARBPC1A13760</v>
          </cell>
          <cell r="B7042" t="str">
            <v>SMT</v>
          </cell>
        </row>
        <row r="7043">
          <cell r="A7043" t="str">
            <v>1CM1ARBPC1A13870</v>
          </cell>
          <cell r="B7043" t="str">
            <v>SMT</v>
          </cell>
          <cell r="E7043">
            <v>8210</v>
          </cell>
          <cell r="F7043" t="str">
            <v>V501</v>
          </cell>
          <cell r="G7043" t="str">
            <v>Auto</v>
          </cell>
          <cell r="H7043">
            <v>311</v>
          </cell>
          <cell r="I7043">
            <v>8210</v>
          </cell>
          <cell r="J7043">
            <v>8220</v>
          </cell>
          <cell r="K7043" t="str">
            <v>V501</v>
          </cell>
        </row>
        <row r="7044">
          <cell r="A7044" t="str">
            <v>1RH1ARBPC1A13870</v>
          </cell>
          <cell r="B7044" t="str">
            <v>SMT</v>
          </cell>
        </row>
        <row r="7045">
          <cell r="A7045" t="str">
            <v>1AE1ARBPC1A13870</v>
          </cell>
          <cell r="B7045" t="str">
            <v>SMT</v>
          </cell>
        </row>
        <row r="7046">
          <cell r="A7046" t="str">
            <v>1RE1ARBPC1A13870</v>
          </cell>
          <cell r="B7046" t="str">
            <v>SMT</v>
          </cell>
        </row>
        <row r="7047">
          <cell r="A7047" t="str">
            <v>1CM1ARR000B22460</v>
          </cell>
          <cell r="B7047" t="str">
            <v>SMT</v>
          </cell>
          <cell r="E7047">
            <v>8210</v>
          </cell>
          <cell r="F7047" t="str">
            <v>V501</v>
          </cell>
          <cell r="G7047" t="str">
            <v>Auto</v>
          </cell>
          <cell r="H7047">
            <v>311</v>
          </cell>
          <cell r="I7047">
            <v>8210</v>
          </cell>
          <cell r="J7047">
            <v>8220</v>
          </cell>
          <cell r="K7047" t="str">
            <v>V501</v>
          </cell>
        </row>
        <row r="7048">
          <cell r="A7048" t="str">
            <v>1RH1ARR000B22460</v>
          </cell>
          <cell r="B7048" t="str">
            <v>SMT</v>
          </cell>
        </row>
        <row r="7049">
          <cell r="A7049" t="str">
            <v>1AE1ARR000B22460</v>
          </cell>
          <cell r="B7049" t="str">
            <v>SMT</v>
          </cell>
        </row>
        <row r="7050">
          <cell r="A7050" t="str">
            <v>1RE1ARR000B22460</v>
          </cell>
          <cell r="B7050" t="str">
            <v>SMT</v>
          </cell>
        </row>
        <row r="7051">
          <cell r="A7051" t="str">
            <v>1CM1ARR000B22470</v>
          </cell>
          <cell r="B7051" t="str">
            <v>SMT</v>
          </cell>
          <cell r="E7051">
            <v>8210</v>
          </cell>
          <cell r="F7051" t="str">
            <v>V501</v>
          </cell>
          <cell r="G7051" t="str">
            <v>Auto</v>
          </cell>
          <cell r="H7051">
            <v>311</v>
          </cell>
          <cell r="I7051">
            <v>8210</v>
          </cell>
          <cell r="J7051">
            <v>8220</v>
          </cell>
          <cell r="K7051" t="str">
            <v>V501</v>
          </cell>
        </row>
        <row r="7052">
          <cell r="A7052" t="str">
            <v>1RH1ARR000B22470</v>
          </cell>
          <cell r="B7052" t="str">
            <v>SMT</v>
          </cell>
        </row>
        <row r="7053">
          <cell r="A7053" t="str">
            <v>1AE1ARR000B22470</v>
          </cell>
          <cell r="B7053" t="str">
            <v>SMT</v>
          </cell>
        </row>
        <row r="7054">
          <cell r="A7054" t="str">
            <v>1RE1ARR000B22470</v>
          </cell>
          <cell r="B7054" t="str">
            <v>SMT</v>
          </cell>
        </row>
        <row r="7055">
          <cell r="A7055" t="str">
            <v>1RE2ARBP0DA02179</v>
          </cell>
          <cell r="B7055" t="str">
            <v>SMT</v>
          </cell>
          <cell r="E7055">
            <v>8210</v>
          </cell>
          <cell r="F7055" t="str">
            <v>V501</v>
          </cell>
          <cell r="G7055" t="str">
            <v>Auto</v>
          </cell>
          <cell r="H7055">
            <v>311</v>
          </cell>
          <cell r="I7055">
            <v>8210</v>
          </cell>
          <cell r="J7055">
            <v>8220</v>
          </cell>
          <cell r="K7055" t="str">
            <v>V501</v>
          </cell>
        </row>
        <row r="7056">
          <cell r="A7056" t="str">
            <v>1RE1ARBP0DA02179</v>
          </cell>
          <cell r="B7056" t="str">
            <v>SMT</v>
          </cell>
        </row>
        <row r="7057">
          <cell r="A7057" t="str">
            <v>1RE2ARBP0DA0218A</v>
          </cell>
          <cell r="B7057" t="str">
            <v>SMT</v>
          </cell>
          <cell r="E7057">
            <v>8210</v>
          </cell>
          <cell r="F7057" t="str">
            <v>V501</v>
          </cell>
          <cell r="G7057" t="str">
            <v>Auto</v>
          </cell>
          <cell r="H7057">
            <v>311</v>
          </cell>
          <cell r="I7057">
            <v>8210</v>
          </cell>
          <cell r="J7057">
            <v>8220</v>
          </cell>
          <cell r="K7057" t="str">
            <v>V501</v>
          </cell>
        </row>
        <row r="7058">
          <cell r="A7058" t="str">
            <v>1RE1ARBP0DA0218A</v>
          </cell>
          <cell r="B7058" t="str">
            <v>SMT</v>
          </cell>
        </row>
        <row r="7059">
          <cell r="A7059" t="str">
            <v>1RE2ARBP0DA02296</v>
          </cell>
          <cell r="B7059" t="str">
            <v>SMT</v>
          </cell>
          <cell r="E7059">
            <v>8210</v>
          </cell>
          <cell r="F7059" t="str">
            <v>V501</v>
          </cell>
          <cell r="G7059" t="str">
            <v>Auto</v>
          </cell>
          <cell r="H7059">
            <v>311</v>
          </cell>
          <cell r="I7059">
            <v>8210</v>
          </cell>
          <cell r="J7059">
            <v>8220</v>
          </cell>
          <cell r="K7059" t="str">
            <v>V501</v>
          </cell>
        </row>
        <row r="7060">
          <cell r="A7060" t="str">
            <v>1RE1ARBP0DA02296</v>
          </cell>
          <cell r="B7060" t="str">
            <v>SMT</v>
          </cell>
        </row>
        <row r="7061">
          <cell r="A7061" t="str">
            <v>1RE2ARBP0DA02852</v>
          </cell>
          <cell r="B7061" t="str">
            <v>SMT</v>
          </cell>
          <cell r="E7061">
            <v>8210</v>
          </cell>
          <cell r="F7061" t="str">
            <v>V501</v>
          </cell>
          <cell r="G7061" t="str">
            <v>Auto</v>
          </cell>
          <cell r="H7061">
            <v>311</v>
          </cell>
          <cell r="I7061">
            <v>8210</v>
          </cell>
          <cell r="J7061">
            <v>8220</v>
          </cell>
          <cell r="K7061" t="str">
            <v>V501</v>
          </cell>
        </row>
        <row r="7062">
          <cell r="A7062" t="str">
            <v>1RE1ARBP0DA02852</v>
          </cell>
          <cell r="B7062" t="str">
            <v>SMT</v>
          </cell>
        </row>
        <row r="7063">
          <cell r="A7063" t="str">
            <v>1RE2ARBP0DA03080</v>
          </cell>
          <cell r="B7063" t="str">
            <v>SMT</v>
          </cell>
          <cell r="E7063">
            <v>8210</v>
          </cell>
          <cell r="F7063" t="str">
            <v>V501</v>
          </cell>
          <cell r="G7063" t="str">
            <v>Auto</v>
          </cell>
          <cell r="H7063">
            <v>311</v>
          </cell>
          <cell r="I7063">
            <v>8210</v>
          </cell>
          <cell r="J7063">
            <v>8220</v>
          </cell>
          <cell r="K7063" t="str">
            <v>V501</v>
          </cell>
        </row>
        <row r="7064">
          <cell r="A7064" t="str">
            <v>1RE1ARBP0DA03080</v>
          </cell>
          <cell r="B7064" t="str">
            <v>SMT</v>
          </cell>
        </row>
        <row r="7065">
          <cell r="A7065" t="str">
            <v>1RH1ART002T89520</v>
          </cell>
          <cell r="B7065" t="str">
            <v>SMT</v>
          </cell>
          <cell r="E7065">
            <v>8210</v>
          </cell>
          <cell r="F7065" t="str">
            <v>V501</v>
          </cell>
          <cell r="G7065" t="str">
            <v>Auto</v>
          </cell>
          <cell r="H7065">
            <v>311</v>
          </cell>
          <cell r="I7065">
            <v>8210</v>
          </cell>
          <cell r="J7065">
            <v>8220</v>
          </cell>
          <cell r="K7065" t="str">
            <v>V501</v>
          </cell>
        </row>
        <row r="7066">
          <cell r="A7066" t="str">
            <v>1AE1ART002T89520</v>
          </cell>
          <cell r="B7066" t="str">
            <v>SMT</v>
          </cell>
        </row>
        <row r="7067">
          <cell r="A7067" t="str">
            <v>1RE1ART002T89520</v>
          </cell>
          <cell r="B7067" t="str">
            <v>SMT</v>
          </cell>
        </row>
        <row r="7068">
          <cell r="A7068" t="str">
            <v>1VI1TVRU484AG</v>
          </cell>
          <cell r="B7068" t="str">
            <v>SMT</v>
          </cell>
        </row>
        <row r="7069">
          <cell r="A7069" t="str">
            <v>1CM1ARBPC1A13710</v>
          </cell>
          <cell r="B7069" t="str">
            <v>SMT</v>
          </cell>
          <cell r="E7069">
            <v>8210</v>
          </cell>
          <cell r="F7069" t="str">
            <v>V501</v>
          </cell>
          <cell r="G7069" t="str">
            <v>Auto</v>
          </cell>
          <cell r="H7069">
            <v>311</v>
          </cell>
          <cell r="I7069">
            <v>8210</v>
          </cell>
          <cell r="J7069">
            <v>8220</v>
          </cell>
          <cell r="K7069" t="str">
            <v>V501</v>
          </cell>
        </row>
        <row r="7070">
          <cell r="A7070" t="str">
            <v>1RH1ARBPC1A13710</v>
          </cell>
          <cell r="B7070" t="str">
            <v>SMT</v>
          </cell>
        </row>
        <row r="7071">
          <cell r="A7071" t="str">
            <v>1AE1ARBPC1A13710</v>
          </cell>
          <cell r="B7071" t="str">
            <v>SMT</v>
          </cell>
        </row>
        <row r="7072">
          <cell r="A7072" t="str">
            <v>1RE1ARBPC1A13710</v>
          </cell>
          <cell r="B7072" t="str">
            <v>SMT</v>
          </cell>
        </row>
        <row r="7073">
          <cell r="A7073" t="str">
            <v>1RH1ARBPC1A13680</v>
          </cell>
          <cell r="B7073" t="str">
            <v>SMT</v>
          </cell>
          <cell r="E7073">
            <v>8210</v>
          </cell>
          <cell r="F7073" t="str">
            <v>V501</v>
          </cell>
          <cell r="G7073" t="str">
            <v>Auto</v>
          </cell>
          <cell r="H7073">
            <v>311</v>
          </cell>
          <cell r="I7073">
            <v>8210</v>
          </cell>
          <cell r="J7073">
            <v>8220</v>
          </cell>
          <cell r="K7073" t="str">
            <v>V501</v>
          </cell>
        </row>
        <row r="7074">
          <cell r="A7074" t="str">
            <v>1AE1ARBPC1A13680</v>
          </cell>
          <cell r="B7074" t="str">
            <v>SMT</v>
          </cell>
        </row>
        <row r="7075">
          <cell r="A7075" t="str">
            <v>1RE1ARBPC1A13680</v>
          </cell>
          <cell r="B7075" t="str">
            <v>SMT</v>
          </cell>
        </row>
        <row r="7076">
          <cell r="A7076" t="str">
            <v>1RH1ARBPC1A13690</v>
          </cell>
          <cell r="B7076" t="str">
            <v>SMT</v>
          </cell>
          <cell r="E7076">
            <v>8210</v>
          </cell>
          <cell r="F7076" t="str">
            <v>V501</v>
          </cell>
          <cell r="G7076" t="str">
            <v>Auto</v>
          </cell>
          <cell r="H7076">
            <v>311</v>
          </cell>
          <cell r="I7076">
            <v>8210</v>
          </cell>
          <cell r="J7076">
            <v>8220</v>
          </cell>
          <cell r="K7076" t="str">
            <v>V501</v>
          </cell>
        </row>
        <row r="7077">
          <cell r="A7077" t="str">
            <v>1AE1ARBPC1A13690</v>
          </cell>
          <cell r="B7077" t="str">
            <v>SMT</v>
          </cell>
        </row>
        <row r="7078">
          <cell r="A7078" t="str">
            <v>1RE1ARBPC1A13690</v>
          </cell>
          <cell r="B7078" t="str">
            <v>SMT</v>
          </cell>
        </row>
        <row r="7079">
          <cell r="A7079" t="str">
            <v>1RH1ARBPC1A09852</v>
          </cell>
          <cell r="B7079" t="str">
            <v>SMT</v>
          </cell>
          <cell r="D7079">
            <v>17</v>
          </cell>
          <cell r="E7079">
            <v>8210</v>
          </cell>
          <cell r="F7079" t="str">
            <v>V501</v>
          </cell>
          <cell r="G7079" t="str">
            <v>Auto</v>
          </cell>
          <cell r="H7079">
            <v>311</v>
          </cell>
          <cell r="I7079">
            <v>8210</v>
          </cell>
          <cell r="J7079">
            <v>8220</v>
          </cell>
          <cell r="K7079" t="str">
            <v>V501</v>
          </cell>
        </row>
        <row r="7080">
          <cell r="A7080" t="str">
            <v>1AE1ARBPC1A09852</v>
          </cell>
          <cell r="B7080" t="str">
            <v>SMT</v>
          </cell>
          <cell r="D7080">
            <v>5</v>
          </cell>
        </row>
        <row r="7081">
          <cell r="A7081" t="str">
            <v>1RE1ARBPC1A09852</v>
          </cell>
          <cell r="B7081" t="str">
            <v>SMT</v>
          </cell>
          <cell r="D7081">
            <v>149</v>
          </cell>
        </row>
        <row r="7082">
          <cell r="A7082" t="str">
            <v>1RE1AV800ZA</v>
          </cell>
          <cell r="B7082" t="str">
            <v>SMT</v>
          </cell>
          <cell r="D7082">
            <v>44</v>
          </cell>
        </row>
        <row r="7083">
          <cell r="A7083" t="str">
            <v>1RE1CH458</v>
          </cell>
          <cell r="B7083" t="str">
            <v>SMT</v>
          </cell>
          <cell r="D7083">
            <v>141</v>
          </cell>
        </row>
        <row r="7084">
          <cell r="A7084" t="str">
            <v>1RE1CH458P</v>
          </cell>
          <cell r="B7084" t="str">
            <v>SMT</v>
          </cell>
          <cell r="D7084">
            <v>141</v>
          </cell>
        </row>
        <row r="7085">
          <cell r="A7085" t="str">
            <v>1RE1PC200AZA</v>
          </cell>
          <cell r="B7085" t="str">
            <v>SMT</v>
          </cell>
          <cell r="D7085">
            <v>172</v>
          </cell>
        </row>
        <row r="7086">
          <cell r="A7086" t="str">
            <v>1RE2AV800ZA</v>
          </cell>
          <cell r="B7086" t="str">
            <v>SMT</v>
          </cell>
          <cell r="D7086">
            <v>2</v>
          </cell>
          <cell r="E7086">
            <v>9210</v>
          </cell>
          <cell r="F7086" t="str">
            <v>VE01</v>
          </cell>
          <cell r="G7086" t="str">
            <v>Auto</v>
          </cell>
          <cell r="H7086">
            <v>311</v>
          </cell>
          <cell r="I7086">
            <v>9210</v>
          </cell>
          <cell r="J7086">
            <v>9340</v>
          </cell>
          <cell r="K7086" t="str">
            <v>VE01</v>
          </cell>
        </row>
        <row r="7087">
          <cell r="A7087" t="str">
            <v>1RE2CH458</v>
          </cell>
          <cell r="B7087" t="str">
            <v>SMT</v>
          </cell>
          <cell r="D7087">
            <v>85</v>
          </cell>
          <cell r="E7087">
            <v>9210</v>
          </cell>
          <cell r="F7087" t="str">
            <v>VE01</v>
          </cell>
          <cell r="G7087" t="str">
            <v>Auto</v>
          </cell>
          <cell r="H7087">
            <v>311</v>
          </cell>
          <cell r="I7087">
            <v>9210</v>
          </cell>
          <cell r="J7087">
            <v>9340</v>
          </cell>
          <cell r="K7087" t="str">
            <v>VE01</v>
          </cell>
        </row>
        <row r="7088">
          <cell r="A7088" t="str">
            <v>1RE2CH458P</v>
          </cell>
          <cell r="B7088" t="str">
            <v>SMT</v>
          </cell>
          <cell r="D7088">
            <v>85</v>
          </cell>
          <cell r="E7088">
            <v>9210</v>
          </cell>
          <cell r="F7088" t="str">
            <v>VE01</v>
          </cell>
          <cell r="G7088" t="str">
            <v>Auto</v>
          </cell>
          <cell r="H7088">
            <v>311</v>
          </cell>
          <cell r="I7088">
            <v>9210</v>
          </cell>
          <cell r="J7088">
            <v>9340</v>
          </cell>
          <cell r="K7088" t="str">
            <v>VE01</v>
          </cell>
        </row>
        <row r="7089">
          <cell r="A7089" t="str">
            <v>1RE2PC200AZA</v>
          </cell>
          <cell r="B7089" t="str">
            <v>SMT</v>
          </cell>
          <cell r="D7089">
            <v>122</v>
          </cell>
          <cell r="E7089">
            <v>9210</v>
          </cell>
          <cell r="F7089" t="str">
            <v>VE01</v>
          </cell>
          <cell r="G7089" t="str">
            <v>Auto</v>
          </cell>
          <cell r="H7089">
            <v>311</v>
          </cell>
          <cell r="I7089">
            <v>9210</v>
          </cell>
          <cell r="J7089">
            <v>9340</v>
          </cell>
          <cell r="K7089" t="str">
            <v>VE01</v>
          </cell>
        </row>
        <row r="7090">
          <cell r="A7090" t="str">
            <v>2RE1CH458P</v>
          </cell>
          <cell r="B7090" t="str">
            <v>SMT</v>
          </cell>
          <cell r="D7090">
            <v>14</v>
          </cell>
        </row>
        <row r="7091">
          <cell r="A7091" t="str">
            <v>2RE2CH458P</v>
          </cell>
          <cell r="B7091" t="str">
            <v>SMT</v>
          </cell>
          <cell r="D7091">
            <v>7</v>
          </cell>
          <cell r="E7091">
            <v>9210</v>
          </cell>
          <cell r="F7091" t="str">
            <v>VE01</v>
          </cell>
          <cell r="G7091" t="str">
            <v>Auto</v>
          </cell>
          <cell r="H7091">
            <v>311</v>
          </cell>
          <cell r="I7091">
            <v>9210</v>
          </cell>
          <cell r="J7091">
            <v>9340</v>
          </cell>
          <cell r="K7091" t="str">
            <v>VE01</v>
          </cell>
        </row>
        <row r="7092">
          <cell r="A7092" t="str">
            <v>3RE1AV800ZA</v>
          </cell>
          <cell r="B7092" t="str">
            <v>SMT</v>
          </cell>
          <cell r="D7092">
            <v>494</v>
          </cell>
        </row>
        <row r="7093">
          <cell r="A7093" t="str">
            <v>3RE2AV800ZA</v>
          </cell>
          <cell r="B7093" t="str">
            <v>SMT</v>
          </cell>
          <cell r="D7093">
            <v>637</v>
          </cell>
          <cell r="E7093">
            <v>9210</v>
          </cell>
          <cell r="F7093" t="str">
            <v>VE01</v>
          </cell>
          <cell r="G7093" t="str">
            <v>Auto</v>
          </cell>
          <cell r="H7093">
            <v>311</v>
          </cell>
          <cell r="I7093">
            <v>9210</v>
          </cell>
          <cell r="J7093">
            <v>9220</v>
          </cell>
          <cell r="K7093" t="str">
            <v>VE01</v>
          </cell>
        </row>
        <row r="7094">
          <cell r="A7094" t="str">
            <v>4RE1AV800ZA</v>
          </cell>
          <cell r="B7094" t="str">
            <v>SMT</v>
          </cell>
          <cell r="D7094">
            <v>212</v>
          </cell>
          <cell r="E7094">
            <v>9210</v>
          </cell>
          <cell r="F7094" t="str">
            <v>VE01</v>
          </cell>
          <cell r="G7094" t="str">
            <v>Auto</v>
          </cell>
          <cell r="H7094">
            <v>311</v>
          </cell>
          <cell r="I7094">
            <v>9210</v>
          </cell>
          <cell r="J7094">
            <v>9220</v>
          </cell>
          <cell r="K7094" t="str">
            <v>VE01</v>
          </cell>
        </row>
        <row r="7095">
          <cell r="A7095" t="str">
            <v>5RE1AV800ZA</v>
          </cell>
          <cell r="B7095" t="str">
            <v>SMT</v>
          </cell>
          <cell r="D7095">
            <v>370</v>
          </cell>
        </row>
        <row r="7096">
          <cell r="A7096" t="str">
            <v>5RE2AV800ZA</v>
          </cell>
          <cell r="B7096" t="str">
            <v>SMT</v>
          </cell>
          <cell r="D7096">
            <v>302</v>
          </cell>
          <cell r="E7096">
            <v>9210</v>
          </cell>
          <cell r="F7096" t="str">
            <v>VE01</v>
          </cell>
          <cell r="G7096" t="str">
            <v>Auto</v>
          </cell>
          <cell r="H7096">
            <v>311</v>
          </cell>
          <cell r="I7096">
            <v>9210</v>
          </cell>
          <cell r="J7096">
            <v>9220</v>
          </cell>
          <cell r="K7096" t="str">
            <v>VE01</v>
          </cell>
        </row>
        <row r="7097">
          <cell r="A7097" t="str">
            <v>6CM1AV800ZA</v>
          </cell>
          <cell r="B7097" t="str">
            <v>SMT</v>
          </cell>
          <cell r="D7097">
            <v>58</v>
          </cell>
          <cell r="E7097">
            <v>9210</v>
          </cell>
          <cell r="F7097" t="str">
            <v>VE01</v>
          </cell>
          <cell r="G7097" t="str">
            <v>Auto</v>
          </cell>
          <cell r="H7097">
            <v>311</v>
          </cell>
          <cell r="I7097">
            <v>9210</v>
          </cell>
          <cell r="J7097">
            <v>9220</v>
          </cell>
          <cell r="K7097" t="str">
            <v>VE01</v>
          </cell>
        </row>
        <row r="7098">
          <cell r="A7098" t="str">
            <v>PULB1129ZA-XM</v>
          </cell>
          <cell r="B7098" t="str">
            <v>SMT</v>
          </cell>
        </row>
        <row r="7099">
          <cell r="A7099" t="str">
            <v>PULB1044ZA-GL</v>
          </cell>
          <cell r="B7099" t="str">
            <v>SMT</v>
          </cell>
        </row>
        <row r="7100">
          <cell r="A7100" t="str">
            <v>PULB1043YA-GL</v>
          </cell>
          <cell r="B7100" t="str">
            <v>SMT</v>
          </cell>
        </row>
        <row r="7101">
          <cell r="A7101" t="str">
            <v>PULB1128ZA-XM</v>
          </cell>
          <cell r="B7101" t="str">
            <v>SMT</v>
          </cell>
        </row>
        <row r="7102">
          <cell r="A7102" t="str">
            <v>PULB1127ZA-XM</v>
          </cell>
          <cell r="B7102" t="str">
            <v>SMT</v>
          </cell>
        </row>
        <row r="7103">
          <cell r="A7103" t="str">
            <v>PULB1069XA-XM</v>
          </cell>
          <cell r="B7103" t="str">
            <v>SMT</v>
          </cell>
        </row>
        <row r="7104">
          <cell r="A7104" t="str">
            <v>PULB1123ZA-GL</v>
          </cell>
          <cell r="B7104" t="str">
            <v>SMT</v>
          </cell>
        </row>
        <row r="7105">
          <cell r="A7105" t="str">
            <v>PULB1024ZA-XM</v>
          </cell>
          <cell r="B7105" t="str">
            <v>SMT</v>
          </cell>
        </row>
        <row r="7106">
          <cell r="A7106" t="str">
            <v>PULB1123ZA-GL</v>
          </cell>
          <cell r="B7106" t="str">
            <v>SMT</v>
          </cell>
        </row>
        <row r="7107">
          <cell r="A7107" t="str">
            <v>1VJ1PC200AZA</v>
          </cell>
          <cell r="B7107" t="str">
            <v>SMT</v>
          </cell>
        </row>
        <row r="7108">
          <cell r="A7108" t="str">
            <v>1VJ1CH458</v>
          </cell>
          <cell r="B7108" t="str">
            <v>SMT</v>
          </cell>
        </row>
        <row r="7109">
          <cell r="A7109" t="str">
            <v>1VJ1CH458P</v>
          </cell>
          <cell r="B7109" t="str">
            <v>SMT</v>
          </cell>
        </row>
        <row r="7110">
          <cell r="A7110" t="str">
            <v>1RH1ARBP0DA01484-1</v>
          </cell>
          <cell r="B7110" t="str">
            <v>SMT</v>
          </cell>
          <cell r="E7110">
            <v>8210</v>
          </cell>
          <cell r="F7110" t="str">
            <v>V501</v>
          </cell>
          <cell r="G7110" t="str">
            <v>Auto</v>
          </cell>
          <cell r="H7110">
            <v>311</v>
          </cell>
          <cell r="I7110">
            <v>8210</v>
          </cell>
          <cell r="J7110">
            <v>8220</v>
          </cell>
          <cell r="K7110" t="str">
            <v>V501</v>
          </cell>
        </row>
        <row r="7111">
          <cell r="A7111" t="str">
            <v>1CM1ARBP0DA01484-1</v>
          </cell>
          <cell r="B7111" t="str">
            <v>SMT</v>
          </cell>
        </row>
        <row r="7112">
          <cell r="A7112" t="str">
            <v>1RE1ARBP0DA01484-1</v>
          </cell>
          <cell r="B7112" t="str">
            <v>SMT</v>
          </cell>
        </row>
        <row r="7113">
          <cell r="A7113" t="str">
            <v>1RE1ART002T93790</v>
          </cell>
          <cell r="B7113" t="str">
            <v>SMT</v>
          </cell>
        </row>
        <row r="7114">
          <cell r="A7114" t="str">
            <v>1RE1ART002T93800</v>
          </cell>
          <cell r="B7114" t="str">
            <v>SMT</v>
          </cell>
          <cell r="E7114">
            <v>8210</v>
          </cell>
          <cell r="F7114" t="str">
            <v>V501</v>
          </cell>
          <cell r="G7114" t="str">
            <v>Auto</v>
          </cell>
          <cell r="H7114">
            <v>311</v>
          </cell>
          <cell r="I7114">
            <v>8210</v>
          </cell>
          <cell r="J7114">
            <v>8310</v>
          </cell>
          <cell r="K7114" t="str">
            <v>V501</v>
          </cell>
        </row>
        <row r="7115">
          <cell r="A7115" t="str">
            <v>1RE1ART002T93810</v>
          </cell>
          <cell r="B7115" t="str">
            <v>SMT</v>
          </cell>
        </row>
        <row r="7116">
          <cell r="A7116" t="str">
            <v>1RE1ART002T93820</v>
          </cell>
          <cell r="B7116" t="str">
            <v>SMT</v>
          </cell>
          <cell r="E7116">
            <v>8210</v>
          </cell>
          <cell r="F7116" t="str">
            <v>V501</v>
          </cell>
          <cell r="G7116" t="str">
            <v>Auto</v>
          </cell>
          <cell r="H7116">
            <v>311</v>
          </cell>
          <cell r="I7116">
            <v>8210</v>
          </cell>
          <cell r="J7116">
            <v>8220</v>
          </cell>
          <cell r="K7116" t="str">
            <v>V501</v>
          </cell>
        </row>
        <row r="7117">
          <cell r="A7117" t="str">
            <v>1RE2ART002T93790</v>
          </cell>
          <cell r="B7117" t="str">
            <v>SMT</v>
          </cell>
          <cell r="E7117">
            <v>8210</v>
          </cell>
          <cell r="F7117" t="str">
            <v>V501</v>
          </cell>
          <cell r="G7117" t="str">
            <v>Auto</v>
          </cell>
          <cell r="H7117">
            <v>311</v>
          </cell>
          <cell r="I7117">
            <v>8210</v>
          </cell>
          <cell r="J7117">
            <v>8220</v>
          </cell>
          <cell r="K7117" t="str">
            <v>V501</v>
          </cell>
        </row>
        <row r="7118">
          <cell r="A7118" t="str">
            <v>1RE2ART002T93810</v>
          </cell>
          <cell r="B7118" t="str">
            <v>SMT</v>
          </cell>
          <cell r="E7118">
            <v>8210</v>
          </cell>
          <cell r="F7118" t="str">
            <v>V501</v>
          </cell>
          <cell r="G7118" t="str">
            <v>Auto</v>
          </cell>
          <cell r="H7118">
            <v>311</v>
          </cell>
          <cell r="I7118">
            <v>8210</v>
          </cell>
          <cell r="J7118">
            <v>8220</v>
          </cell>
          <cell r="K7118" t="str">
            <v>V501</v>
          </cell>
        </row>
        <row r="7119">
          <cell r="A7119" t="str">
            <v>1RE2AV800ZA</v>
          </cell>
          <cell r="B7119" t="str">
            <v>SMT</v>
          </cell>
          <cell r="E7119">
            <v>9210</v>
          </cell>
          <cell r="F7119" t="str">
            <v>VE01</v>
          </cell>
          <cell r="G7119" t="str">
            <v>Auto</v>
          </cell>
          <cell r="H7119">
            <v>311</v>
          </cell>
          <cell r="I7119">
            <v>9210</v>
          </cell>
          <cell r="J7119">
            <v>9340</v>
          </cell>
          <cell r="K7119" t="str">
            <v>VE01</v>
          </cell>
        </row>
        <row r="7120">
          <cell r="A7120" t="str">
            <v>1RE1AV800ZA</v>
          </cell>
          <cell r="B7120" t="str">
            <v>SMT</v>
          </cell>
        </row>
        <row r="7121">
          <cell r="A7121" t="str">
            <v>PULB1129ZA-XM</v>
          </cell>
          <cell r="B7121" t="str">
            <v>SMT</v>
          </cell>
        </row>
        <row r="7122">
          <cell r="A7122" t="str">
            <v>1RE2CH458</v>
          </cell>
          <cell r="B7122" t="str">
            <v>SMT</v>
          </cell>
          <cell r="E7122">
            <v>9210</v>
          </cell>
          <cell r="F7122" t="str">
            <v>VE01</v>
          </cell>
          <cell r="G7122" t="str">
            <v>Auto</v>
          </cell>
          <cell r="H7122">
            <v>311</v>
          </cell>
          <cell r="I7122">
            <v>9210</v>
          </cell>
          <cell r="J7122">
            <v>9340</v>
          </cell>
          <cell r="K7122" t="str">
            <v>VE01</v>
          </cell>
        </row>
        <row r="7123">
          <cell r="A7123" t="str">
            <v>1RE1CH458</v>
          </cell>
          <cell r="B7123" t="str">
            <v>SMT</v>
          </cell>
        </row>
        <row r="7124">
          <cell r="A7124" t="str">
            <v>1VJ1CH458</v>
          </cell>
          <cell r="B7124" t="str">
            <v>SMT</v>
          </cell>
        </row>
        <row r="7125">
          <cell r="A7125" t="str">
            <v>PULB1123ZA-GL</v>
          </cell>
          <cell r="B7125" t="str">
            <v>SMT</v>
          </cell>
        </row>
        <row r="7126">
          <cell r="A7126" t="str">
            <v>1RE2CH458P</v>
          </cell>
          <cell r="B7126" t="str">
            <v>SMT</v>
          </cell>
          <cell r="E7126">
            <v>9210</v>
          </cell>
          <cell r="F7126" t="str">
            <v>VE01</v>
          </cell>
          <cell r="G7126" t="str">
            <v>Auto</v>
          </cell>
          <cell r="H7126">
            <v>311</v>
          </cell>
          <cell r="I7126">
            <v>9210</v>
          </cell>
          <cell r="J7126">
            <v>9340</v>
          </cell>
          <cell r="K7126" t="str">
            <v>VE01</v>
          </cell>
        </row>
        <row r="7127">
          <cell r="A7127" t="str">
            <v>1RE1CH458P</v>
          </cell>
          <cell r="B7127" t="str">
            <v>SMT</v>
          </cell>
        </row>
        <row r="7128">
          <cell r="A7128" t="str">
            <v>1VJ1CH458P</v>
          </cell>
          <cell r="B7128" t="str">
            <v>SMT</v>
          </cell>
        </row>
        <row r="7129">
          <cell r="A7129" t="str">
            <v>1RE2PC200AZA</v>
          </cell>
          <cell r="B7129" t="str">
            <v>SMT</v>
          </cell>
          <cell r="E7129">
            <v>9210</v>
          </cell>
          <cell r="F7129" t="str">
            <v>VE01</v>
          </cell>
          <cell r="G7129" t="str">
            <v>Auto</v>
          </cell>
          <cell r="H7129">
            <v>311</v>
          </cell>
          <cell r="I7129">
            <v>9210</v>
          </cell>
          <cell r="J7129">
            <v>9340</v>
          </cell>
          <cell r="K7129" t="str">
            <v>VE01</v>
          </cell>
        </row>
        <row r="7130">
          <cell r="A7130" t="str">
            <v>1RE1PC200AZA</v>
          </cell>
          <cell r="B7130" t="str">
            <v>SMT</v>
          </cell>
        </row>
        <row r="7131">
          <cell r="A7131" t="str">
            <v>1VJ1PC200AZA</v>
          </cell>
          <cell r="B7131" t="str">
            <v>SMT</v>
          </cell>
        </row>
        <row r="7132">
          <cell r="A7132" t="str">
            <v>PULB1044ZA-GL</v>
          </cell>
          <cell r="B7132" t="str">
            <v>SMT</v>
          </cell>
        </row>
        <row r="7133">
          <cell r="A7133" t="str">
            <v>2RE2CH458P</v>
          </cell>
          <cell r="B7133" t="str">
            <v>SMT</v>
          </cell>
          <cell r="E7133">
            <v>9210</v>
          </cell>
          <cell r="F7133" t="str">
            <v>VE01</v>
          </cell>
          <cell r="G7133" t="str">
            <v>Auto</v>
          </cell>
          <cell r="H7133">
            <v>311</v>
          </cell>
          <cell r="I7133">
            <v>9210</v>
          </cell>
          <cell r="J7133">
            <v>9340</v>
          </cell>
          <cell r="K7133" t="str">
            <v>VE01</v>
          </cell>
        </row>
        <row r="7134">
          <cell r="A7134" t="str">
            <v>2RE1CH458P</v>
          </cell>
          <cell r="B7134" t="str">
            <v>SMT</v>
          </cell>
        </row>
        <row r="7135">
          <cell r="A7135" t="str">
            <v>PULB1024ZA-XM</v>
          </cell>
          <cell r="B7135" t="str">
            <v>SMT</v>
          </cell>
        </row>
        <row r="7136">
          <cell r="A7136" t="str">
            <v>3RE2AV800ZA</v>
          </cell>
          <cell r="B7136" t="str">
            <v>SMT</v>
          </cell>
          <cell r="E7136">
            <v>9210</v>
          </cell>
          <cell r="F7136" t="str">
            <v>VE01</v>
          </cell>
          <cell r="G7136" t="str">
            <v>Auto</v>
          </cell>
          <cell r="H7136">
            <v>311</v>
          </cell>
          <cell r="I7136">
            <v>9210</v>
          </cell>
          <cell r="J7136">
            <v>9220</v>
          </cell>
          <cell r="K7136" t="str">
            <v>VE01</v>
          </cell>
        </row>
        <row r="7137">
          <cell r="A7137" t="str">
            <v>3VJ2AV800ZA</v>
          </cell>
          <cell r="B7137" t="str">
            <v>SMT</v>
          </cell>
        </row>
        <row r="7138">
          <cell r="A7138" t="str">
            <v>3VJ1AV800ZA</v>
          </cell>
          <cell r="B7138" t="str">
            <v>SMT</v>
          </cell>
        </row>
        <row r="7139">
          <cell r="A7139" t="str">
            <v>3RE1AV800ZA</v>
          </cell>
          <cell r="B7139" t="str">
            <v>SMT</v>
          </cell>
        </row>
        <row r="7140">
          <cell r="A7140" t="str">
            <v>3VI1AV800ZA</v>
          </cell>
          <cell r="B7140" t="str">
            <v>SMT</v>
          </cell>
        </row>
        <row r="7141">
          <cell r="A7141" t="str">
            <v>PULB1043YA-GL</v>
          </cell>
          <cell r="B7141" t="str">
            <v>SMT</v>
          </cell>
        </row>
        <row r="7142">
          <cell r="A7142" t="str">
            <v>4RE1AV800ZA</v>
          </cell>
          <cell r="B7142" t="str">
            <v>SMT</v>
          </cell>
          <cell r="E7142">
            <v>9210</v>
          </cell>
          <cell r="F7142" t="str">
            <v>VE01</v>
          </cell>
          <cell r="G7142" t="str">
            <v>Auto</v>
          </cell>
          <cell r="H7142">
            <v>311</v>
          </cell>
          <cell r="I7142">
            <v>9210</v>
          </cell>
          <cell r="J7142">
            <v>9220</v>
          </cell>
          <cell r="K7142" t="str">
            <v>VE01</v>
          </cell>
        </row>
        <row r="7143">
          <cell r="A7143" t="str">
            <v>PULB1128ZA-XM</v>
          </cell>
          <cell r="B7143" t="str">
            <v>SMT</v>
          </cell>
        </row>
        <row r="7144">
          <cell r="A7144" t="str">
            <v>5RE2AV800ZA-S2</v>
          </cell>
          <cell r="B7144" t="str">
            <v>SMT</v>
          </cell>
          <cell r="E7144">
            <v>9210</v>
          </cell>
          <cell r="F7144" t="str">
            <v>VE01</v>
          </cell>
          <cell r="G7144" t="str">
            <v>Auto</v>
          </cell>
          <cell r="H7144">
            <v>311</v>
          </cell>
          <cell r="I7144">
            <v>9210</v>
          </cell>
          <cell r="J7144">
            <v>9220</v>
          </cell>
          <cell r="K7144" t="str">
            <v>VE01</v>
          </cell>
        </row>
        <row r="7145">
          <cell r="A7145" t="str">
            <v>5RE1AV800ZA-S2</v>
          </cell>
          <cell r="B7145" t="str">
            <v>SMT</v>
          </cell>
        </row>
        <row r="7146">
          <cell r="A7146" t="str">
            <v>PULB1127ZA-XM</v>
          </cell>
          <cell r="B7146" t="str">
            <v>SMT</v>
          </cell>
        </row>
        <row r="7147">
          <cell r="A7147" t="str">
            <v>6RH1AV800ZA</v>
          </cell>
          <cell r="B7147" t="str">
            <v>SMT</v>
          </cell>
          <cell r="E7147">
            <v>9210</v>
          </cell>
          <cell r="F7147" t="str">
            <v>VE01</v>
          </cell>
          <cell r="G7147" t="str">
            <v>Auto</v>
          </cell>
          <cell r="H7147">
            <v>311</v>
          </cell>
          <cell r="I7147">
            <v>9210</v>
          </cell>
          <cell r="J7147">
            <v>9220</v>
          </cell>
          <cell r="K7147" t="str">
            <v>VE01</v>
          </cell>
        </row>
        <row r="7148">
          <cell r="A7148" t="str">
            <v>PULB1069XA-XM</v>
          </cell>
          <cell r="B7148" t="str">
            <v>SMT</v>
          </cell>
        </row>
        <row r="7149">
          <cell r="A7149" t="str">
            <v>1CM1A603L3G8BBP</v>
          </cell>
          <cell r="B7149" t="str">
            <v>SMT</v>
          </cell>
          <cell r="E7149">
            <v>6210</v>
          </cell>
          <cell r="F7149" t="str">
            <v>VG01</v>
          </cell>
          <cell r="G7149" t="str">
            <v>Auto</v>
          </cell>
          <cell r="H7149">
            <v>311</v>
          </cell>
          <cell r="I7149">
            <v>6210</v>
          </cell>
          <cell r="J7149">
            <v>6220</v>
          </cell>
          <cell r="K7149" t="str">
            <v>VG01</v>
          </cell>
        </row>
        <row r="7150">
          <cell r="A7150" t="str">
            <v>1RH1A603L3G8BBP</v>
          </cell>
          <cell r="B7150" t="str">
            <v>SMT</v>
          </cell>
        </row>
        <row r="7151">
          <cell r="A7151" t="str">
            <v>1TE1A603L3G8BBP</v>
          </cell>
          <cell r="B7151" t="str">
            <v>SMT</v>
          </cell>
        </row>
        <row r="7152">
          <cell r="A7152" t="str">
            <v>1AE1A603L3G8BBP</v>
          </cell>
          <cell r="B7152" t="str">
            <v>SMT</v>
          </cell>
        </row>
        <row r="7153">
          <cell r="A7153" t="str">
            <v>1HT1A603L3G8BBP</v>
          </cell>
          <cell r="B7153" t="str">
            <v>SMT</v>
          </cell>
        </row>
        <row r="7154">
          <cell r="A7154" t="str">
            <v>1CM1A603L3G8BBP</v>
          </cell>
          <cell r="B7154" t="str">
            <v>SMT</v>
          </cell>
          <cell r="E7154">
            <v>6210</v>
          </cell>
          <cell r="F7154" t="str">
            <v>VG01</v>
          </cell>
          <cell r="G7154" t="str">
            <v>Auto</v>
          </cell>
          <cell r="H7154">
            <v>311</v>
          </cell>
          <cell r="I7154">
            <v>6210</v>
          </cell>
          <cell r="J7154">
            <v>6220</v>
          </cell>
          <cell r="K7154" t="str">
            <v>VG01</v>
          </cell>
        </row>
        <row r="7155">
          <cell r="A7155" t="str">
            <v>1RH1A603L3G8BBP</v>
          </cell>
          <cell r="B7155" t="str">
            <v>SMT</v>
          </cell>
        </row>
        <row r="7156">
          <cell r="A7156" t="str">
            <v>1TE1A603L3G8BBP</v>
          </cell>
          <cell r="B7156" t="str">
            <v>SMT</v>
          </cell>
        </row>
        <row r="7157">
          <cell r="A7157" t="str">
            <v>1AE1A603L3G8BBP</v>
          </cell>
          <cell r="B7157" t="str">
            <v>SMT</v>
          </cell>
        </row>
        <row r="7158">
          <cell r="A7158" t="str">
            <v>1HT1A603L3G8BBP</v>
          </cell>
          <cell r="B7158" t="str">
            <v>SMT</v>
          </cell>
        </row>
        <row r="7159">
          <cell r="A7159" t="str">
            <v>1RE2ART002T93790</v>
          </cell>
          <cell r="B7159" t="str">
            <v>SMT</v>
          </cell>
          <cell r="E7159">
            <v>8210</v>
          </cell>
          <cell r="F7159" t="str">
            <v>V501</v>
          </cell>
          <cell r="G7159" t="str">
            <v>Auto</v>
          </cell>
          <cell r="H7159">
            <v>311</v>
          </cell>
          <cell r="I7159">
            <v>8210</v>
          </cell>
          <cell r="J7159">
            <v>8220</v>
          </cell>
          <cell r="K7159" t="str">
            <v>V501</v>
          </cell>
        </row>
        <row r="7160">
          <cell r="A7160" t="str">
            <v>1RE1ART002T93790</v>
          </cell>
          <cell r="B7160" t="str">
            <v>SMT</v>
          </cell>
        </row>
        <row r="7161">
          <cell r="A7161" t="str">
            <v>1RE1ART002T93800</v>
          </cell>
          <cell r="B7161" t="str">
            <v>SMT</v>
          </cell>
          <cell r="E7161">
            <v>8210</v>
          </cell>
          <cell r="F7161" t="str">
            <v>V501</v>
          </cell>
          <cell r="G7161" t="str">
            <v>Auto</v>
          </cell>
          <cell r="H7161">
            <v>311</v>
          </cell>
          <cell r="I7161">
            <v>8210</v>
          </cell>
          <cell r="J7161">
            <v>8220</v>
          </cell>
          <cell r="K7161" t="str">
            <v>V501</v>
          </cell>
        </row>
        <row r="7162">
          <cell r="A7162" t="str">
            <v>1RE2ART002T93810</v>
          </cell>
          <cell r="B7162" t="str">
            <v>SMT</v>
          </cell>
          <cell r="E7162">
            <v>8210</v>
          </cell>
          <cell r="F7162" t="str">
            <v>V501</v>
          </cell>
          <cell r="G7162" t="str">
            <v>Auto</v>
          </cell>
          <cell r="H7162">
            <v>311</v>
          </cell>
          <cell r="I7162">
            <v>8210</v>
          </cell>
          <cell r="J7162">
            <v>8220</v>
          </cell>
          <cell r="K7162" t="str">
            <v>V501</v>
          </cell>
        </row>
        <row r="7163">
          <cell r="A7163" t="str">
            <v>1RE1ART002T93810</v>
          </cell>
          <cell r="B7163" t="str">
            <v>SMT</v>
          </cell>
        </row>
        <row r="7164">
          <cell r="A7164" t="str">
            <v>1RE1ART002T93820</v>
          </cell>
          <cell r="B7164" t="str">
            <v>SMT</v>
          </cell>
          <cell r="E7164">
            <v>8210</v>
          </cell>
          <cell r="F7164" t="str">
            <v>V501</v>
          </cell>
          <cell r="G7164" t="str">
            <v>Auto</v>
          </cell>
          <cell r="H7164">
            <v>311</v>
          </cell>
          <cell r="I7164">
            <v>8210</v>
          </cell>
          <cell r="J7164">
            <v>8220</v>
          </cell>
          <cell r="K7164" t="str">
            <v>V501</v>
          </cell>
        </row>
        <row r="7165">
          <cell r="A7165" t="str">
            <v>1CM1H603Y3J90BP-T</v>
          </cell>
          <cell r="B7165" t="str">
            <v>SMT</v>
          </cell>
          <cell r="E7165">
            <v>6210</v>
          </cell>
          <cell r="F7165" t="str">
            <v>VG01</v>
          </cell>
          <cell r="G7165" t="str">
            <v>Auto</v>
          </cell>
          <cell r="H7165">
            <v>311</v>
          </cell>
          <cell r="I7165">
            <v>6210</v>
          </cell>
          <cell r="J7165">
            <v>6220</v>
          </cell>
          <cell r="K7165" t="str">
            <v>VG01</v>
          </cell>
        </row>
        <row r="7166">
          <cell r="A7166" t="str">
            <v>1RH1H603Y3J90BP-T</v>
          </cell>
          <cell r="B7166" t="str">
            <v>SMT</v>
          </cell>
        </row>
        <row r="7167">
          <cell r="A7167" t="str">
            <v>1TE1H603Y3J90BP-T</v>
          </cell>
          <cell r="B7167" t="str">
            <v>SMT</v>
          </cell>
        </row>
        <row r="7168">
          <cell r="A7168" t="str">
            <v>1AE1H603Y3J90BP-T</v>
          </cell>
          <cell r="B7168" t="str">
            <v>SMT</v>
          </cell>
        </row>
        <row r="7169">
          <cell r="A7169" t="str">
            <v>1HT1H603Y3J90BP-T</v>
          </cell>
          <cell r="B7169" t="str">
            <v>SMT</v>
          </cell>
        </row>
        <row r="7170">
          <cell r="A7170" t="str">
            <v>1CM1H608E3K70BP-T</v>
          </cell>
          <cell r="B7170" t="str">
            <v>SMT</v>
          </cell>
          <cell r="E7170">
            <v>6210</v>
          </cell>
          <cell r="F7170" t="str">
            <v>VG01</v>
          </cell>
          <cell r="G7170" t="str">
            <v>Auto</v>
          </cell>
          <cell r="H7170">
            <v>311</v>
          </cell>
          <cell r="I7170">
            <v>6210</v>
          </cell>
          <cell r="J7170">
            <v>6220</v>
          </cell>
          <cell r="K7170" t="str">
            <v>VG01</v>
          </cell>
        </row>
        <row r="7171">
          <cell r="A7171" t="str">
            <v>1RH1H608E3K70BP-T</v>
          </cell>
          <cell r="B7171" t="str">
            <v>SMT</v>
          </cell>
        </row>
        <row r="7172">
          <cell r="A7172" t="str">
            <v>1HT1H608E3K70BP-T</v>
          </cell>
          <cell r="B7172" t="str">
            <v>SMT</v>
          </cell>
        </row>
        <row r="7173">
          <cell r="A7173" t="str">
            <v>H67493K70BP</v>
          </cell>
          <cell r="B7173" t="str">
            <v>SMT</v>
          </cell>
        </row>
        <row r="7174">
          <cell r="A7174" t="str">
            <v>1CM1ARBPC1A13761</v>
          </cell>
          <cell r="B7174" t="str">
            <v>SMT</v>
          </cell>
          <cell r="E7174">
            <v>8210</v>
          </cell>
          <cell r="F7174" t="str">
            <v>V501</v>
          </cell>
          <cell r="G7174" t="str">
            <v>Auto</v>
          </cell>
          <cell r="H7174">
            <v>311</v>
          </cell>
          <cell r="I7174">
            <v>8210</v>
          </cell>
          <cell r="J7174">
            <v>8220</v>
          </cell>
          <cell r="K7174" t="str">
            <v>V501</v>
          </cell>
        </row>
        <row r="7175">
          <cell r="A7175" t="str">
            <v>1RH1ARBPC1A13761</v>
          </cell>
          <cell r="B7175" t="str">
            <v>SMT</v>
          </cell>
        </row>
        <row r="7176">
          <cell r="A7176" t="str">
            <v>1AE1ARBPC1A13761</v>
          </cell>
          <cell r="B7176" t="str">
            <v>SMT</v>
          </cell>
        </row>
        <row r="7177">
          <cell r="A7177" t="str">
            <v>1RE1ARBPC1A13761</v>
          </cell>
          <cell r="B7177" t="str">
            <v>SMT</v>
          </cell>
        </row>
        <row r="7178">
          <cell r="A7178" t="str">
            <v>1RE2ARBP0DA03081</v>
          </cell>
          <cell r="B7178" t="str">
            <v>SMT</v>
          </cell>
          <cell r="E7178">
            <v>8210</v>
          </cell>
          <cell r="F7178" t="str">
            <v>V501</v>
          </cell>
          <cell r="G7178" t="str">
            <v>Auto</v>
          </cell>
          <cell r="H7178">
            <v>311</v>
          </cell>
          <cell r="I7178">
            <v>8210</v>
          </cell>
          <cell r="J7178">
            <v>8220</v>
          </cell>
          <cell r="K7178" t="str">
            <v>V501</v>
          </cell>
        </row>
        <row r="7179">
          <cell r="A7179" t="str">
            <v>1RE1ARBP0DA03081</v>
          </cell>
          <cell r="B7179" t="str">
            <v>SMT</v>
          </cell>
        </row>
        <row r="7180">
          <cell r="A7180" t="str">
            <v>1RH1ART002T92010</v>
          </cell>
          <cell r="B7180" t="str">
            <v>SMT</v>
          </cell>
          <cell r="E7180">
            <v>8210</v>
          </cell>
          <cell r="F7180" t="str">
            <v>V501</v>
          </cell>
          <cell r="G7180" t="str">
            <v>Auto</v>
          </cell>
          <cell r="H7180">
            <v>311</v>
          </cell>
          <cell r="I7180">
            <v>8210</v>
          </cell>
          <cell r="J7180">
            <v>8220</v>
          </cell>
          <cell r="K7180" t="str">
            <v>V501</v>
          </cell>
        </row>
        <row r="7181">
          <cell r="A7181" t="str">
            <v>1CM1ART002T92010</v>
          </cell>
          <cell r="B7181" t="str">
            <v>SMT</v>
          </cell>
        </row>
        <row r="7182">
          <cell r="A7182" t="str">
            <v>1RE1ART002T92010</v>
          </cell>
          <cell r="B7182" t="str">
            <v>SMT</v>
          </cell>
        </row>
        <row r="7183">
          <cell r="A7183" t="str">
            <v>1RH1ART002T92020</v>
          </cell>
          <cell r="B7183" t="str">
            <v>SMT</v>
          </cell>
          <cell r="E7183">
            <v>8210</v>
          </cell>
          <cell r="F7183" t="str">
            <v>V501</v>
          </cell>
          <cell r="G7183" t="str">
            <v>Auto</v>
          </cell>
          <cell r="H7183">
            <v>311</v>
          </cell>
          <cell r="I7183">
            <v>8210</v>
          </cell>
          <cell r="J7183">
            <v>8220</v>
          </cell>
          <cell r="K7183" t="str">
            <v>V501</v>
          </cell>
        </row>
        <row r="7184">
          <cell r="A7184" t="str">
            <v>1CM1ART002T92020</v>
          </cell>
          <cell r="B7184" t="str">
            <v>SMT</v>
          </cell>
        </row>
        <row r="7185">
          <cell r="A7185" t="str">
            <v>1RE1ART002T92020</v>
          </cell>
          <cell r="B7185" t="str">
            <v>SMT</v>
          </cell>
        </row>
        <row r="7186">
          <cell r="A7186" t="str">
            <v>1RH1ART002T92310</v>
          </cell>
          <cell r="B7186" t="str">
            <v>SMT</v>
          </cell>
          <cell r="E7186">
            <v>8210</v>
          </cell>
          <cell r="F7186" t="str">
            <v>V501</v>
          </cell>
          <cell r="G7186" t="str">
            <v>Auto</v>
          </cell>
          <cell r="H7186">
            <v>311</v>
          </cell>
          <cell r="I7186">
            <v>8210</v>
          </cell>
          <cell r="J7186">
            <v>8220</v>
          </cell>
          <cell r="K7186" t="str">
            <v>V501</v>
          </cell>
        </row>
        <row r="7187">
          <cell r="A7187" t="str">
            <v>1CM1ART002T92310</v>
          </cell>
          <cell r="B7187" t="str">
            <v>SMT</v>
          </cell>
        </row>
        <row r="7188">
          <cell r="A7188" t="str">
            <v>1RE1ART002T92310</v>
          </cell>
          <cell r="B7188" t="str">
            <v>SMT</v>
          </cell>
        </row>
        <row r="7189">
          <cell r="A7189" t="str">
            <v>1CM1ARBPC1A14030</v>
          </cell>
          <cell r="B7189" t="str">
            <v>SMT</v>
          </cell>
          <cell r="E7189">
            <v>8210</v>
          </cell>
          <cell r="F7189" t="str">
            <v>V501</v>
          </cell>
          <cell r="G7189" t="str">
            <v>Auto</v>
          </cell>
          <cell r="H7189">
            <v>311</v>
          </cell>
          <cell r="I7189">
            <v>8210</v>
          </cell>
          <cell r="J7189">
            <v>8220</v>
          </cell>
          <cell r="K7189" t="str">
            <v>V501</v>
          </cell>
        </row>
        <row r="7190">
          <cell r="A7190" t="str">
            <v>1RH1ARBPC1A14030</v>
          </cell>
          <cell r="B7190" t="str">
            <v>SMT</v>
          </cell>
        </row>
        <row r="7191">
          <cell r="A7191" t="str">
            <v>1RE1ARBPC1A14030</v>
          </cell>
          <cell r="B7191" t="str">
            <v>SMT</v>
          </cell>
        </row>
        <row r="7192">
          <cell r="A7192" t="str">
            <v>1CM1ARBPC1A11623</v>
          </cell>
          <cell r="B7192" t="str">
            <v>SMT</v>
          </cell>
          <cell r="E7192">
            <v>8210</v>
          </cell>
          <cell r="F7192" t="str">
            <v>V501</v>
          </cell>
          <cell r="G7192" t="str">
            <v>Auto</v>
          </cell>
          <cell r="H7192">
            <v>311</v>
          </cell>
          <cell r="I7192">
            <v>8210</v>
          </cell>
          <cell r="J7192">
            <v>8220</v>
          </cell>
          <cell r="K7192" t="str">
            <v>V501</v>
          </cell>
        </row>
        <row r="7193">
          <cell r="A7193" t="str">
            <v>1RH1ARBPC1A11623</v>
          </cell>
          <cell r="B7193" t="str">
            <v>SMT</v>
          </cell>
        </row>
        <row r="7194">
          <cell r="A7194" t="str">
            <v>1AE1ARBPC1A11623</v>
          </cell>
          <cell r="B7194" t="str">
            <v>SMT</v>
          </cell>
        </row>
        <row r="7195">
          <cell r="A7195" t="str">
            <v>1RE1ARBPC1A11623</v>
          </cell>
          <cell r="B7195" t="str">
            <v>SMT</v>
          </cell>
        </row>
        <row r="7196">
          <cell r="A7196" t="str">
            <v>1CM1ARBPC1A13762</v>
          </cell>
          <cell r="B7196" t="str">
            <v>SMT</v>
          </cell>
          <cell r="E7196">
            <v>8210</v>
          </cell>
          <cell r="F7196" t="str">
            <v>V501</v>
          </cell>
          <cell r="G7196" t="str">
            <v>Auto</v>
          </cell>
          <cell r="H7196">
            <v>311</v>
          </cell>
          <cell r="I7196">
            <v>8210</v>
          </cell>
          <cell r="J7196">
            <v>8220</v>
          </cell>
          <cell r="K7196" t="str">
            <v>V501</v>
          </cell>
        </row>
        <row r="7197">
          <cell r="A7197" t="str">
            <v>1RH1ARBPC1A13762</v>
          </cell>
          <cell r="B7197" t="str">
            <v>SMT</v>
          </cell>
        </row>
        <row r="7198">
          <cell r="A7198" t="str">
            <v>1AE1ARBPC1A13762</v>
          </cell>
          <cell r="B7198" t="str">
            <v>SMT</v>
          </cell>
        </row>
        <row r="7199">
          <cell r="A7199" t="str">
            <v>1RE1ARBPC1A13762</v>
          </cell>
          <cell r="B7199" t="str">
            <v>SMT</v>
          </cell>
        </row>
        <row r="7200">
          <cell r="A7200" t="str">
            <v>1CM1ARBPC1A08237-T</v>
          </cell>
          <cell r="B7200" t="str">
            <v>SMT</v>
          </cell>
          <cell r="E7200">
            <v>8210</v>
          </cell>
          <cell r="F7200" t="str">
            <v>V501</v>
          </cell>
          <cell r="G7200" t="str">
            <v>Auto</v>
          </cell>
          <cell r="H7200">
            <v>311</v>
          </cell>
          <cell r="I7200">
            <v>8210</v>
          </cell>
          <cell r="J7200">
            <v>8220</v>
          </cell>
          <cell r="K7200" t="str">
            <v>V501</v>
          </cell>
        </row>
        <row r="7201">
          <cell r="A7201" t="str">
            <v>1RH1ARBPC1A08237-T</v>
          </cell>
          <cell r="B7201" t="str">
            <v>SMT</v>
          </cell>
        </row>
        <row r="7202">
          <cell r="A7202" t="str">
            <v>1AE1ARBPC1A08237-T</v>
          </cell>
          <cell r="B7202" t="str">
            <v>SMT</v>
          </cell>
        </row>
        <row r="7203">
          <cell r="A7203" t="str">
            <v>1RE1ARBPC1A08237-T</v>
          </cell>
          <cell r="B7203" t="str">
            <v>SMT</v>
          </cell>
        </row>
        <row r="7204">
          <cell r="A7204" t="str">
            <v>1CM1ARBPC1A10776-T</v>
          </cell>
          <cell r="B7204" t="str">
            <v>SMT</v>
          </cell>
          <cell r="E7204">
            <v>8210</v>
          </cell>
          <cell r="F7204" t="str">
            <v>V501</v>
          </cell>
          <cell r="G7204" t="str">
            <v>Auto</v>
          </cell>
          <cell r="H7204">
            <v>311</v>
          </cell>
          <cell r="I7204">
            <v>8210</v>
          </cell>
          <cell r="J7204">
            <v>8220</v>
          </cell>
          <cell r="K7204" t="str">
            <v>V501</v>
          </cell>
        </row>
        <row r="7205">
          <cell r="A7205" t="str">
            <v>1RH1ARBPC1A10776-T</v>
          </cell>
          <cell r="B7205" t="str">
            <v>SMT</v>
          </cell>
        </row>
        <row r="7206">
          <cell r="A7206" t="str">
            <v>1AE1ARBPC1A10776-T</v>
          </cell>
          <cell r="B7206" t="str">
            <v>SMT</v>
          </cell>
        </row>
        <row r="7207">
          <cell r="A7207" t="str">
            <v>1RE1ARBPC1A10776-T</v>
          </cell>
          <cell r="B7207" t="str">
            <v>SMT</v>
          </cell>
        </row>
        <row r="7208">
          <cell r="A7208" t="str">
            <v>1CM1ARBPC1A11622-T</v>
          </cell>
          <cell r="B7208" t="str">
            <v>SMT</v>
          </cell>
          <cell r="E7208">
            <v>8210</v>
          </cell>
          <cell r="F7208" t="str">
            <v>V501</v>
          </cell>
          <cell r="G7208" t="str">
            <v>Auto</v>
          </cell>
          <cell r="H7208">
            <v>311</v>
          </cell>
          <cell r="I7208">
            <v>8210</v>
          </cell>
          <cell r="J7208">
            <v>8220</v>
          </cell>
          <cell r="K7208" t="str">
            <v>V501</v>
          </cell>
        </row>
        <row r="7209">
          <cell r="A7209" t="str">
            <v>1RH1ARBPC1A11622-T</v>
          </cell>
          <cell r="B7209" t="str">
            <v>SMT</v>
          </cell>
        </row>
        <row r="7210">
          <cell r="A7210" t="str">
            <v>1AE1ARBPC1A11622-T</v>
          </cell>
          <cell r="B7210" t="str">
            <v>SMT</v>
          </cell>
        </row>
        <row r="7211">
          <cell r="A7211" t="str">
            <v>1RE1ARBPC1A11622-T</v>
          </cell>
          <cell r="B7211" t="str">
            <v>SMT</v>
          </cell>
        </row>
        <row r="7212">
          <cell r="A7212" t="str">
            <v>1CM1ARBPC1A12383-T</v>
          </cell>
          <cell r="B7212" t="str">
            <v>SMT</v>
          </cell>
          <cell r="E7212">
            <v>8210</v>
          </cell>
          <cell r="F7212" t="str">
            <v>V501</v>
          </cell>
          <cell r="G7212" t="str">
            <v>Auto</v>
          </cell>
          <cell r="H7212">
            <v>311</v>
          </cell>
          <cell r="I7212">
            <v>8210</v>
          </cell>
          <cell r="J7212">
            <v>8220</v>
          </cell>
          <cell r="K7212" t="str">
            <v>V501</v>
          </cell>
        </row>
        <row r="7213">
          <cell r="A7213" t="str">
            <v>1RH1ARBPC1A12383-T</v>
          </cell>
          <cell r="B7213" t="str">
            <v>SMT</v>
          </cell>
        </row>
        <row r="7214">
          <cell r="A7214" t="str">
            <v>1RE1ARBPC1A12383-T</v>
          </cell>
          <cell r="B7214" t="str">
            <v>SMT</v>
          </cell>
        </row>
        <row r="7215">
          <cell r="A7215" t="str">
            <v>1RE1ARBP01A01630</v>
          </cell>
          <cell r="B7215" t="str">
            <v>SMT</v>
          </cell>
          <cell r="E7215">
            <v>8210</v>
          </cell>
          <cell r="F7215" t="str">
            <v>V501</v>
          </cell>
          <cell r="G7215" t="str">
            <v>Auto</v>
          </cell>
          <cell r="H7215">
            <v>311</v>
          </cell>
          <cell r="I7215">
            <v>8210</v>
          </cell>
          <cell r="J7215">
            <v>8220</v>
          </cell>
          <cell r="K7215" t="str">
            <v>V501</v>
          </cell>
        </row>
        <row r="7216">
          <cell r="A7216" t="str">
            <v>1CM1ARBPC1A14030</v>
          </cell>
          <cell r="B7216" t="str">
            <v>SMT</v>
          </cell>
          <cell r="E7216">
            <v>8210</v>
          </cell>
          <cell r="F7216" t="str">
            <v>V501</v>
          </cell>
          <cell r="G7216" t="str">
            <v>Auto</v>
          </cell>
          <cell r="H7216">
            <v>311</v>
          </cell>
          <cell r="I7216">
            <v>8210</v>
          </cell>
          <cell r="J7216">
            <v>8220</v>
          </cell>
          <cell r="K7216" t="str">
            <v>V501</v>
          </cell>
        </row>
        <row r="7217">
          <cell r="A7217" t="str">
            <v>1RH1ARBPC1A14030</v>
          </cell>
          <cell r="B7217" t="str">
            <v>SMT</v>
          </cell>
        </row>
        <row r="7218">
          <cell r="A7218" t="str">
            <v>1RE1ARBPC1A14030</v>
          </cell>
          <cell r="B7218" t="str">
            <v>SMT</v>
          </cell>
        </row>
        <row r="7219">
          <cell r="A7219" t="str">
            <v>1CM1ARBPC1A11623</v>
          </cell>
          <cell r="B7219" t="str">
            <v>SMT</v>
          </cell>
          <cell r="E7219">
            <v>8210</v>
          </cell>
          <cell r="F7219" t="str">
            <v>V501</v>
          </cell>
          <cell r="G7219" t="str">
            <v>Auto</v>
          </cell>
          <cell r="H7219">
            <v>311</v>
          </cell>
          <cell r="I7219">
            <v>8210</v>
          </cell>
          <cell r="J7219">
            <v>8220</v>
          </cell>
          <cell r="K7219" t="str">
            <v>V501</v>
          </cell>
        </row>
        <row r="7220">
          <cell r="A7220" t="str">
            <v>1RH1ARBPC1A11623</v>
          </cell>
          <cell r="B7220" t="str">
            <v>SMT</v>
          </cell>
        </row>
        <row r="7221">
          <cell r="A7221" t="str">
            <v>1AE1ARBPC1A11623</v>
          </cell>
          <cell r="B7221" t="str">
            <v>SMT</v>
          </cell>
        </row>
        <row r="7222">
          <cell r="A7222" t="str">
            <v>1RE1ARBPC1A11623</v>
          </cell>
          <cell r="B7222" t="str">
            <v>SMT</v>
          </cell>
        </row>
        <row r="7223">
          <cell r="A7223" t="str">
            <v>1CM1ARBPC1A08237-T</v>
          </cell>
          <cell r="B7223" t="str">
            <v>SMT</v>
          </cell>
          <cell r="E7223">
            <v>8210</v>
          </cell>
          <cell r="F7223" t="str">
            <v>V501</v>
          </cell>
          <cell r="G7223" t="str">
            <v>Auto</v>
          </cell>
          <cell r="H7223">
            <v>311</v>
          </cell>
          <cell r="I7223">
            <v>8210</v>
          </cell>
          <cell r="J7223">
            <v>8220</v>
          </cell>
          <cell r="K7223" t="str">
            <v>V501</v>
          </cell>
        </row>
        <row r="7224">
          <cell r="A7224" t="str">
            <v>1RH1ARBPC1A08237-T</v>
          </cell>
          <cell r="B7224" t="str">
            <v>SMT</v>
          </cell>
        </row>
        <row r="7225">
          <cell r="A7225" t="str">
            <v>1AE1ARBPC1A08237-T</v>
          </cell>
          <cell r="B7225" t="str">
            <v>SMT</v>
          </cell>
        </row>
        <row r="7226">
          <cell r="A7226" t="str">
            <v>1RE1ARBPC1A08237-T</v>
          </cell>
          <cell r="B7226" t="str">
            <v>SMT</v>
          </cell>
        </row>
        <row r="7227">
          <cell r="A7227" t="str">
            <v>1CM1ARBPC1A10776-T</v>
          </cell>
          <cell r="B7227" t="str">
            <v>SMT</v>
          </cell>
          <cell r="E7227">
            <v>8210</v>
          </cell>
          <cell r="F7227" t="str">
            <v>V501</v>
          </cell>
          <cell r="G7227" t="str">
            <v>Auto</v>
          </cell>
          <cell r="H7227">
            <v>311</v>
          </cell>
          <cell r="I7227">
            <v>8210</v>
          </cell>
          <cell r="J7227">
            <v>8220</v>
          </cell>
          <cell r="K7227" t="str">
            <v>V501</v>
          </cell>
        </row>
        <row r="7228">
          <cell r="A7228" t="str">
            <v>1RH1ARBPC1A10776-T</v>
          </cell>
          <cell r="B7228" t="str">
            <v>SMT</v>
          </cell>
        </row>
        <row r="7229">
          <cell r="A7229" t="str">
            <v>1AE1ARBPC1A10776-T</v>
          </cell>
          <cell r="B7229" t="str">
            <v>SMT</v>
          </cell>
        </row>
        <row r="7230">
          <cell r="A7230" t="str">
            <v>1RE1ARBPC1A10776-T</v>
          </cell>
          <cell r="B7230" t="str">
            <v>SMT</v>
          </cell>
        </row>
        <row r="7231">
          <cell r="A7231" t="str">
            <v>1CM1ARBPC1A11622-T</v>
          </cell>
          <cell r="B7231" t="str">
            <v>SMT</v>
          </cell>
          <cell r="E7231">
            <v>8210</v>
          </cell>
          <cell r="F7231" t="str">
            <v>V501</v>
          </cell>
          <cell r="G7231" t="str">
            <v>Auto</v>
          </cell>
          <cell r="H7231">
            <v>311</v>
          </cell>
          <cell r="I7231">
            <v>8210</v>
          </cell>
          <cell r="J7231">
            <v>8220</v>
          </cell>
          <cell r="K7231" t="str">
            <v>V501</v>
          </cell>
        </row>
        <row r="7232">
          <cell r="A7232" t="str">
            <v>1RH1ARBPC1A11622-T</v>
          </cell>
          <cell r="B7232" t="str">
            <v>SMT</v>
          </cell>
        </row>
        <row r="7233">
          <cell r="A7233" t="str">
            <v>1AE1ARBPC1A11622-T</v>
          </cell>
          <cell r="B7233" t="str">
            <v>SMT</v>
          </cell>
        </row>
        <row r="7234">
          <cell r="A7234" t="str">
            <v>1RE1ARBPC1A11622-T</v>
          </cell>
          <cell r="B7234" t="str">
            <v>SMT</v>
          </cell>
        </row>
        <row r="7235">
          <cell r="A7235" t="str">
            <v>1CM1ARBPC1A12383-T</v>
          </cell>
          <cell r="B7235" t="str">
            <v>SMT</v>
          </cell>
          <cell r="E7235">
            <v>8210</v>
          </cell>
          <cell r="F7235" t="str">
            <v>V501</v>
          </cell>
          <cell r="G7235" t="str">
            <v>Auto</v>
          </cell>
          <cell r="H7235">
            <v>311</v>
          </cell>
          <cell r="I7235">
            <v>8210</v>
          </cell>
          <cell r="J7235">
            <v>8220</v>
          </cell>
          <cell r="K7235" t="str">
            <v>V501</v>
          </cell>
        </row>
        <row r="7236">
          <cell r="A7236" t="str">
            <v>1RH1ARBPC1A12383-T</v>
          </cell>
          <cell r="B7236" t="str">
            <v>SMT</v>
          </cell>
        </row>
        <row r="7237">
          <cell r="A7237" t="str">
            <v>1RE1ARBPC1A12383-T</v>
          </cell>
          <cell r="B7237" t="str">
            <v>SMT</v>
          </cell>
        </row>
        <row r="7238">
          <cell r="A7238" t="str">
            <v>1RE1ARBP01A01630</v>
          </cell>
          <cell r="B7238" t="str">
            <v>SMT</v>
          </cell>
          <cell r="E7238">
            <v>8210</v>
          </cell>
          <cell r="F7238" t="str">
            <v>V501</v>
          </cell>
          <cell r="G7238" t="str">
            <v>Auto</v>
          </cell>
          <cell r="H7238">
            <v>311</v>
          </cell>
          <cell r="I7238">
            <v>8210</v>
          </cell>
          <cell r="J7238">
            <v>8220</v>
          </cell>
          <cell r="K7238" t="str">
            <v>V501</v>
          </cell>
        </row>
        <row r="7239">
          <cell r="A7239" t="str">
            <v>1CM1ARBPC1A13552</v>
          </cell>
          <cell r="B7239" t="str">
            <v>SMT</v>
          </cell>
          <cell r="E7239">
            <v>8210</v>
          </cell>
          <cell r="F7239" t="str">
            <v>V501</v>
          </cell>
          <cell r="G7239" t="str">
            <v>Auto</v>
          </cell>
          <cell r="H7239">
            <v>311</v>
          </cell>
          <cell r="I7239">
            <v>8210</v>
          </cell>
          <cell r="J7239">
            <v>8220</v>
          </cell>
          <cell r="K7239" t="str">
            <v>V501</v>
          </cell>
        </row>
        <row r="7240">
          <cell r="A7240" t="str">
            <v>1RH1ARBPC1A13552</v>
          </cell>
          <cell r="B7240" t="str">
            <v>SMT</v>
          </cell>
        </row>
        <row r="7241">
          <cell r="A7241" t="str">
            <v>1RE1ARBPC1A13552</v>
          </cell>
          <cell r="B7241" t="str">
            <v>SMT</v>
          </cell>
        </row>
        <row r="7242">
          <cell r="A7242" t="str">
            <v>1RE1ARBPLPA00190</v>
          </cell>
          <cell r="B7242" t="str">
            <v>SMT</v>
          </cell>
          <cell r="E7242">
            <v>8210</v>
          </cell>
          <cell r="F7242" t="str">
            <v>V501</v>
          </cell>
          <cell r="G7242" t="str">
            <v>Auto</v>
          </cell>
          <cell r="H7242">
            <v>311</v>
          </cell>
          <cell r="I7242">
            <v>8210</v>
          </cell>
          <cell r="J7242">
            <v>8310</v>
          </cell>
          <cell r="K7242" t="str">
            <v>V501</v>
          </cell>
        </row>
        <row r="7243">
          <cell r="A7243" t="str">
            <v>1CM1ARBPC1A08412</v>
          </cell>
          <cell r="B7243" t="str">
            <v>SMT</v>
          </cell>
          <cell r="E7243">
            <v>8210</v>
          </cell>
          <cell r="F7243" t="str">
            <v>V501</v>
          </cell>
          <cell r="G7243" t="str">
            <v>Auto</v>
          </cell>
          <cell r="H7243">
            <v>311</v>
          </cell>
          <cell r="I7243">
            <v>8210</v>
          </cell>
          <cell r="J7243">
            <v>8220</v>
          </cell>
          <cell r="K7243" t="str">
            <v>V501</v>
          </cell>
        </row>
        <row r="7244">
          <cell r="A7244" t="str">
            <v>1RH1ARBPC1A08412</v>
          </cell>
          <cell r="B7244" t="str">
            <v>SMT</v>
          </cell>
          <cell r="D7244" t="e">
            <v>#N/A</v>
          </cell>
        </row>
        <row r="7245">
          <cell r="A7245" t="str">
            <v>1AE1ARBPC1A08412</v>
          </cell>
          <cell r="B7245" t="str">
            <v>SMT</v>
          </cell>
          <cell r="D7245" t="e">
            <v>#N/A</v>
          </cell>
        </row>
        <row r="7246">
          <cell r="A7246" t="str">
            <v>1RE1ARBPC1A08412</v>
          </cell>
          <cell r="B7246" t="str">
            <v>SMT</v>
          </cell>
          <cell r="D7246" t="e">
            <v>#N/A</v>
          </cell>
        </row>
        <row r="7247">
          <cell r="A7247" t="str">
            <v>1CM1ARBPC2A00371</v>
          </cell>
          <cell r="B7247" t="str">
            <v>SMT</v>
          </cell>
          <cell r="D7247" t="str">
            <v>1CM1ARBPC2A00371</v>
          </cell>
          <cell r="E7247">
            <v>8210</v>
          </cell>
          <cell r="F7247" t="str">
            <v>V501</v>
          </cell>
          <cell r="G7247" t="str">
            <v>Auto</v>
          </cell>
          <cell r="H7247">
            <v>311</v>
          </cell>
          <cell r="I7247">
            <v>8210</v>
          </cell>
          <cell r="J7247">
            <v>8220</v>
          </cell>
          <cell r="K7247" t="str">
            <v>V501</v>
          </cell>
        </row>
        <row r="7248">
          <cell r="A7248" t="str">
            <v>1RH1ARBPC2A00371</v>
          </cell>
          <cell r="B7248" t="str">
            <v>SMT</v>
          </cell>
          <cell r="D7248" t="e">
            <v>#N/A</v>
          </cell>
        </row>
        <row r="7249">
          <cell r="A7249" t="str">
            <v>1AE1ARBPC2A00371</v>
          </cell>
          <cell r="B7249" t="str">
            <v>SMT</v>
          </cell>
          <cell r="D7249" t="e">
            <v>#N/A</v>
          </cell>
        </row>
        <row r="7250">
          <cell r="A7250" t="str">
            <v>1CM1ARBPC2A00461</v>
          </cell>
          <cell r="B7250" t="str">
            <v>SMT</v>
          </cell>
          <cell r="D7250" t="str">
            <v>1CM1ARBPC2A00461</v>
          </cell>
          <cell r="E7250">
            <v>8210</v>
          </cell>
          <cell r="F7250" t="str">
            <v>V501</v>
          </cell>
          <cell r="G7250" t="str">
            <v>Auto</v>
          </cell>
          <cell r="H7250">
            <v>311</v>
          </cell>
          <cell r="I7250">
            <v>8210</v>
          </cell>
          <cell r="J7250">
            <v>8220</v>
          </cell>
          <cell r="K7250" t="str">
            <v>V501</v>
          </cell>
        </row>
        <row r="7251">
          <cell r="A7251" t="str">
            <v>1RH1ARBPC2A00461</v>
          </cell>
          <cell r="B7251" t="str">
            <v>SMT</v>
          </cell>
          <cell r="D7251" t="e">
            <v>#N/A</v>
          </cell>
        </row>
        <row r="7252">
          <cell r="A7252" t="str">
            <v>1AE1ARBPC2A00461</v>
          </cell>
          <cell r="B7252" t="str">
            <v>SMT</v>
          </cell>
          <cell r="D7252" t="e">
            <v>#N/A</v>
          </cell>
        </row>
        <row r="7253">
          <cell r="A7253" t="str">
            <v>1CM1ARBPC1A04390</v>
          </cell>
          <cell r="B7253" t="str">
            <v>SMT</v>
          </cell>
          <cell r="D7253" t="str">
            <v>1CM1ARBPC1A04390</v>
          </cell>
          <cell r="E7253">
            <v>8210</v>
          </cell>
          <cell r="F7253" t="str">
            <v>V501</v>
          </cell>
          <cell r="G7253" t="str">
            <v>Auto</v>
          </cell>
          <cell r="H7253">
            <v>311</v>
          </cell>
          <cell r="I7253">
            <v>8210</v>
          </cell>
          <cell r="J7253">
            <v>8220</v>
          </cell>
          <cell r="K7253" t="str">
            <v>V501</v>
          </cell>
        </row>
        <row r="7254">
          <cell r="A7254" t="str">
            <v>1RH1ARBPC1A04390</v>
          </cell>
          <cell r="B7254" t="str">
            <v>SMT</v>
          </cell>
          <cell r="D7254" t="e">
            <v>#N/A</v>
          </cell>
        </row>
        <row r="7255">
          <cell r="A7255" t="str">
            <v>1AE1ARBPC1A04390</v>
          </cell>
          <cell r="B7255" t="str">
            <v>SMT</v>
          </cell>
          <cell r="D7255" t="e">
            <v>#N/A</v>
          </cell>
        </row>
        <row r="7256">
          <cell r="A7256" t="str">
            <v>PULB1125ZA/X1</v>
          </cell>
          <cell r="B7256" t="str">
            <v>SMT</v>
          </cell>
          <cell r="D7256" t="e">
            <v>#N/A</v>
          </cell>
        </row>
        <row r="7257">
          <cell r="A7257" t="str">
            <v>1RH1ARBPC1A09201</v>
          </cell>
          <cell r="B7257" t="str">
            <v>SMT</v>
          </cell>
          <cell r="D7257" t="str">
            <v>1RH1ARBPC1A09201</v>
          </cell>
          <cell r="E7257">
            <v>8210</v>
          </cell>
          <cell r="F7257" t="str">
            <v>V501</v>
          </cell>
          <cell r="G7257" t="str">
            <v>Auto</v>
          </cell>
          <cell r="H7257">
            <v>311</v>
          </cell>
          <cell r="I7257">
            <v>8210</v>
          </cell>
          <cell r="J7257">
            <v>8220</v>
          </cell>
          <cell r="K7257" t="str">
            <v>V501</v>
          </cell>
        </row>
        <row r="7258">
          <cell r="A7258" t="str">
            <v>1AE1ARBPC1A09201</v>
          </cell>
          <cell r="B7258" t="str">
            <v>SMT</v>
          </cell>
          <cell r="D7258" t="e">
            <v>#N/A</v>
          </cell>
        </row>
        <row r="7259">
          <cell r="A7259" t="str">
            <v>1RE1ARBPC1A09201</v>
          </cell>
          <cell r="B7259" t="str">
            <v>SMT</v>
          </cell>
          <cell r="D7259" t="e">
            <v>#N/A</v>
          </cell>
        </row>
        <row r="7260">
          <cell r="A7260" t="str">
            <v>1RE2J605Q3J80P1-1</v>
          </cell>
          <cell r="B7260" t="str">
            <v>SMT</v>
          </cell>
          <cell r="D7260" t="str">
            <v>1RE2J605Q3J80P1-1</v>
          </cell>
          <cell r="E7260">
            <v>6210</v>
          </cell>
          <cell r="F7260" t="str">
            <v>VG01</v>
          </cell>
          <cell r="G7260" t="str">
            <v>Auto</v>
          </cell>
          <cell r="H7260">
            <v>311</v>
          </cell>
          <cell r="I7260">
            <v>6210</v>
          </cell>
          <cell r="J7260">
            <v>6220</v>
          </cell>
          <cell r="K7260" t="str">
            <v>VG01</v>
          </cell>
        </row>
        <row r="7261">
          <cell r="A7261" t="str">
            <v>1RE1J605Q3J80P1-1</v>
          </cell>
          <cell r="B7261" t="str">
            <v>SMT</v>
          </cell>
          <cell r="D7261" t="e">
            <v>#N/A</v>
          </cell>
        </row>
        <row r="7262">
          <cell r="A7262" t="str">
            <v>PULB1123ZA-XX</v>
          </cell>
          <cell r="B7262" t="str">
            <v>SMT</v>
          </cell>
          <cell r="D7262" t="e">
            <v>#N/A</v>
          </cell>
        </row>
        <row r="7263">
          <cell r="A7263" t="str">
            <v>PULB1039ZA-XM</v>
          </cell>
          <cell r="B7263" t="str">
            <v>SMT</v>
          </cell>
          <cell r="D7263" t="str">
            <v>PULB1039ZA-XM</v>
          </cell>
        </row>
        <row r="7264">
          <cell r="A7264" t="str">
            <v>1CM1ARBPC1A06121</v>
          </cell>
          <cell r="B7264" t="str">
            <v>SMT</v>
          </cell>
          <cell r="D7264" t="str">
            <v>1CM1ARBPC1A06121</v>
          </cell>
          <cell r="E7264">
            <v>8210</v>
          </cell>
          <cell r="F7264" t="str">
            <v>V501</v>
          </cell>
          <cell r="G7264" t="str">
            <v>Auto</v>
          </cell>
          <cell r="H7264">
            <v>311</v>
          </cell>
          <cell r="I7264">
            <v>8210</v>
          </cell>
          <cell r="J7264">
            <v>8220</v>
          </cell>
          <cell r="K7264" t="str">
            <v>V501</v>
          </cell>
        </row>
        <row r="7265">
          <cell r="A7265" t="str">
            <v>1RH1ARBPC1A06121</v>
          </cell>
          <cell r="B7265" t="str">
            <v>SMT</v>
          </cell>
          <cell r="D7265" t="e">
            <v>#N/A</v>
          </cell>
        </row>
        <row r="7266">
          <cell r="A7266" t="str">
            <v>1AE1ARBPC1A05411</v>
          </cell>
          <cell r="B7266" t="str">
            <v>SMT</v>
          </cell>
          <cell r="D7266" t="e">
            <v>#N/A</v>
          </cell>
        </row>
        <row r="7267">
          <cell r="A7267" t="str">
            <v>1CM1ARBPC1A07320</v>
          </cell>
          <cell r="B7267" t="str">
            <v>SMT</v>
          </cell>
          <cell r="D7267" t="str">
            <v>1CM1ARBPC1A07320</v>
          </cell>
          <cell r="E7267">
            <v>8210</v>
          </cell>
          <cell r="F7267" t="str">
            <v>V501</v>
          </cell>
          <cell r="G7267" t="str">
            <v>Auto</v>
          </cell>
          <cell r="H7267">
            <v>311</v>
          </cell>
          <cell r="I7267">
            <v>8210</v>
          </cell>
          <cell r="J7267">
            <v>8220</v>
          </cell>
          <cell r="K7267" t="str">
            <v>V501</v>
          </cell>
        </row>
        <row r="7268">
          <cell r="A7268" t="str">
            <v>1RH1ARBPC1A07320</v>
          </cell>
          <cell r="B7268" t="str">
            <v>SMT</v>
          </cell>
          <cell r="D7268" t="e">
            <v>#N/A</v>
          </cell>
        </row>
        <row r="7269">
          <cell r="A7269" t="str">
            <v>1AE1ARBPC1A07320</v>
          </cell>
          <cell r="B7269" t="str">
            <v>SMT</v>
          </cell>
          <cell r="D7269" t="e">
            <v>#N/A</v>
          </cell>
        </row>
        <row r="7270">
          <cell r="A7270" t="str">
            <v>1CM1ARBPC1A07330</v>
          </cell>
          <cell r="B7270" t="str">
            <v>SMT</v>
          </cell>
          <cell r="D7270" t="str">
            <v>1CM1ARBPC1A07330</v>
          </cell>
          <cell r="E7270">
            <v>8210</v>
          </cell>
          <cell r="F7270" t="str">
            <v>V501</v>
          </cell>
          <cell r="G7270" t="str">
            <v>Auto</v>
          </cell>
          <cell r="H7270">
            <v>311</v>
          </cell>
          <cell r="I7270">
            <v>8210</v>
          </cell>
          <cell r="J7270">
            <v>8220</v>
          </cell>
          <cell r="K7270" t="str">
            <v>V501</v>
          </cell>
        </row>
        <row r="7271">
          <cell r="A7271" t="str">
            <v>1RH1ARBPC1A07330</v>
          </cell>
          <cell r="B7271" t="str">
            <v>SMT</v>
          </cell>
          <cell r="D7271" t="e">
            <v>#N/A</v>
          </cell>
        </row>
        <row r="7272">
          <cell r="A7272" t="str">
            <v>1AE1ARBPC1A07330</v>
          </cell>
          <cell r="B7272" t="str">
            <v>SMT</v>
          </cell>
          <cell r="D7272" t="e">
            <v>#N/A</v>
          </cell>
        </row>
        <row r="7273">
          <cell r="A7273" t="str">
            <v>1RH1ARBP0DA0072A-1</v>
          </cell>
          <cell r="B7273" t="str">
            <v>SMT</v>
          </cell>
          <cell r="D7273" t="str">
            <v>1RH1ARBP0DA0072A-1</v>
          </cell>
          <cell r="E7273">
            <v>8210</v>
          </cell>
          <cell r="F7273" t="str">
            <v>V501</v>
          </cell>
          <cell r="G7273" t="str">
            <v>Auto</v>
          </cell>
          <cell r="H7273">
            <v>311</v>
          </cell>
          <cell r="I7273">
            <v>8210</v>
          </cell>
          <cell r="J7273">
            <v>8220</v>
          </cell>
          <cell r="K7273" t="str">
            <v>V501</v>
          </cell>
        </row>
        <row r="7274">
          <cell r="A7274" t="str">
            <v>1CM1ARBP0DA0072A-1</v>
          </cell>
          <cell r="B7274" t="str">
            <v>SMT</v>
          </cell>
          <cell r="D7274" t="e">
            <v>#N/A</v>
          </cell>
        </row>
        <row r="7275">
          <cell r="A7275" t="str">
            <v>1RE1ARBP0DA0072A-1</v>
          </cell>
          <cell r="B7275" t="str">
            <v>SMT</v>
          </cell>
          <cell r="D7275" t="e">
            <v>#N/A</v>
          </cell>
        </row>
        <row r="7276">
          <cell r="A7276" t="str">
            <v>1RH1ARBPC1A09850</v>
          </cell>
          <cell r="B7276" t="str">
            <v>SMT</v>
          </cell>
          <cell r="D7276" t="str">
            <v>1RH1ARBPC1A09850</v>
          </cell>
          <cell r="E7276">
            <v>8210</v>
          </cell>
          <cell r="F7276" t="str">
            <v>V501</v>
          </cell>
          <cell r="G7276" t="str">
            <v>Auto</v>
          </cell>
          <cell r="H7276">
            <v>311</v>
          </cell>
          <cell r="I7276">
            <v>8210</v>
          </cell>
          <cell r="J7276">
            <v>8220</v>
          </cell>
          <cell r="K7276" t="str">
            <v>V501</v>
          </cell>
        </row>
        <row r="7277">
          <cell r="A7277" t="str">
            <v>1AE1ARBPC1A09850</v>
          </cell>
          <cell r="B7277" t="str">
            <v>SMT</v>
          </cell>
          <cell r="D7277" t="e">
            <v>#N/A</v>
          </cell>
        </row>
        <row r="7278">
          <cell r="A7278" t="str">
            <v>1RE1ARBPC1A09850</v>
          </cell>
          <cell r="B7278" t="str">
            <v>SMT</v>
          </cell>
          <cell r="D7278" t="e">
            <v>#N/A</v>
          </cell>
        </row>
        <row r="7279">
          <cell r="A7279" t="str">
            <v>1RH1ART002T92011</v>
          </cell>
          <cell r="B7279" t="str">
            <v>SMT</v>
          </cell>
          <cell r="D7279" t="str">
            <v>1RH1ART002T92011</v>
          </cell>
          <cell r="E7279">
            <v>8210</v>
          </cell>
          <cell r="F7279" t="str">
            <v>V501</v>
          </cell>
          <cell r="G7279" t="str">
            <v>Auto</v>
          </cell>
          <cell r="H7279">
            <v>311</v>
          </cell>
          <cell r="I7279">
            <v>8210</v>
          </cell>
          <cell r="J7279">
            <v>8220</v>
          </cell>
          <cell r="K7279" t="str">
            <v>V501</v>
          </cell>
        </row>
        <row r="7280">
          <cell r="A7280" t="str">
            <v>1CM1ART002T92011</v>
          </cell>
          <cell r="B7280" t="str">
            <v>SMT</v>
          </cell>
          <cell r="D7280" t="e">
            <v>#N/A</v>
          </cell>
        </row>
        <row r="7281">
          <cell r="A7281" t="str">
            <v>1RE1ART002T92011</v>
          </cell>
          <cell r="B7281" t="str">
            <v>SMT</v>
          </cell>
          <cell r="D7281" t="e">
            <v>#N/A</v>
          </cell>
        </row>
        <row r="7282">
          <cell r="A7282" t="str">
            <v>1RH1ART002T93680</v>
          </cell>
          <cell r="B7282" t="str">
            <v>SMT</v>
          </cell>
          <cell r="D7282" t="str">
            <v>1RH1ART002T93680</v>
          </cell>
          <cell r="E7282">
            <v>8210</v>
          </cell>
          <cell r="F7282" t="str">
            <v>V501</v>
          </cell>
          <cell r="G7282" t="str">
            <v>Auto</v>
          </cell>
          <cell r="H7282">
            <v>311</v>
          </cell>
          <cell r="I7282">
            <v>8210</v>
          </cell>
          <cell r="J7282">
            <v>8220</v>
          </cell>
          <cell r="K7282" t="str">
            <v>V501</v>
          </cell>
        </row>
        <row r="7283">
          <cell r="A7283" t="str">
            <v>1CM1ART002T93680</v>
          </cell>
          <cell r="B7283" t="str">
            <v>SMT</v>
          </cell>
          <cell r="D7283" t="e">
            <v>#N/A</v>
          </cell>
        </row>
        <row r="7284">
          <cell r="A7284" t="str">
            <v>1RE1ART002T93680</v>
          </cell>
          <cell r="B7284" t="str">
            <v>SMT</v>
          </cell>
          <cell r="D7284" t="e">
            <v>#N/A</v>
          </cell>
        </row>
        <row r="7285">
          <cell r="A7285" t="str">
            <v>1RH1ART002T93690</v>
          </cell>
          <cell r="B7285" t="str">
            <v>SMT</v>
          </cell>
          <cell r="D7285" t="str">
            <v>1RH1ART002T93690</v>
          </cell>
          <cell r="E7285">
            <v>8210</v>
          </cell>
          <cell r="F7285" t="str">
            <v>V501</v>
          </cell>
          <cell r="G7285" t="str">
            <v>Auto</v>
          </cell>
          <cell r="H7285">
            <v>311</v>
          </cell>
          <cell r="I7285">
            <v>8210</v>
          </cell>
          <cell r="J7285">
            <v>8220</v>
          </cell>
          <cell r="K7285" t="str">
            <v>V501</v>
          </cell>
        </row>
        <row r="7286">
          <cell r="A7286" t="str">
            <v>1CM1ART002T93690</v>
          </cell>
          <cell r="B7286" t="str">
            <v>SMT</v>
          </cell>
          <cell r="D7286" t="e">
            <v>#N/A</v>
          </cell>
        </row>
        <row r="7287">
          <cell r="A7287" t="str">
            <v>1RE1ART002T93690</v>
          </cell>
          <cell r="B7287" t="str">
            <v>SMT</v>
          </cell>
          <cell r="D7287" t="e">
            <v>#N/A</v>
          </cell>
        </row>
        <row r="7288">
          <cell r="A7288" t="str">
            <v>1RH1ART002T94810</v>
          </cell>
          <cell r="B7288" t="str">
            <v>SMT</v>
          </cell>
          <cell r="D7288" t="str">
            <v>1RH1ART002T94810</v>
          </cell>
          <cell r="E7288">
            <v>8210</v>
          </cell>
          <cell r="F7288" t="str">
            <v>V501</v>
          </cell>
          <cell r="G7288" t="str">
            <v>Auto</v>
          </cell>
          <cell r="H7288">
            <v>311</v>
          </cell>
          <cell r="I7288">
            <v>8210</v>
          </cell>
          <cell r="J7288">
            <v>8220</v>
          </cell>
          <cell r="K7288" t="str">
            <v>V501</v>
          </cell>
        </row>
        <row r="7289">
          <cell r="A7289" t="str">
            <v>1CM1ART002T94810</v>
          </cell>
          <cell r="B7289" t="str">
            <v>SMT</v>
          </cell>
          <cell r="D7289" t="e">
            <v>#N/A</v>
          </cell>
        </row>
        <row r="7290">
          <cell r="A7290" t="str">
            <v>1RE1ART002T94810</v>
          </cell>
          <cell r="B7290" t="str">
            <v>SMT</v>
          </cell>
          <cell r="D7290" t="e">
            <v>#N/A</v>
          </cell>
        </row>
        <row r="7291">
          <cell r="A7291" t="str">
            <v>1RH1ART002T94811</v>
          </cell>
          <cell r="B7291" t="str">
            <v>SMT</v>
          </cell>
          <cell r="D7291" t="str">
            <v>1RH1ART002T94811</v>
          </cell>
          <cell r="E7291">
            <v>8210</v>
          </cell>
          <cell r="F7291" t="str">
            <v>V501</v>
          </cell>
          <cell r="G7291" t="str">
            <v>Auto</v>
          </cell>
          <cell r="H7291">
            <v>311</v>
          </cell>
          <cell r="I7291">
            <v>8210</v>
          </cell>
          <cell r="J7291">
            <v>8220</v>
          </cell>
          <cell r="K7291" t="str">
            <v>V501</v>
          </cell>
        </row>
        <row r="7292">
          <cell r="A7292" t="str">
            <v>1CM1ART002T94811</v>
          </cell>
          <cell r="B7292" t="str">
            <v>SMT</v>
          </cell>
          <cell r="D7292" t="e">
            <v>#N/A</v>
          </cell>
        </row>
        <row r="7293">
          <cell r="A7293" t="str">
            <v>1RE1ART002T94811</v>
          </cell>
          <cell r="B7293" t="str">
            <v>SMT</v>
          </cell>
          <cell r="D7293" t="e">
            <v>#N/A</v>
          </cell>
        </row>
        <row r="7294">
          <cell r="A7294" t="str">
            <v>1CM1H603L3K20RP-PP</v>
          </cell>
          <cell r="B7294" t="str">
            <v>SMT</v>
          </cell>
          <cell r="D7294" t="str">
            <v>1CM1H603L3K20RP-PP</v>
          </cell>
          <cell r="E7294">
            <v>6210</v>
          </cell>
          <cell r="F7294" t="str">
            <v>VG01</v>
          </cell>
          <cell r="G7294" t="str">
            <v>Auto</v>
          </cell>
          <cell r="H7294">
            <v>311</v>
          </cell>
          <cell r="I7294">
            <v>6210</v>
          </cell>
          <cell r="J7294">
            <v>6220</v>
          </cell>
          <cell r="K7294" t="str">
            <v>VG01</v>
          </cell>
        </row>
        <row r="7295">
          <cell r="A7295" t="str">
            <v>1RH1H603L3K20RP-PP</v>
          </cell>
          <cell r="B7295" t="str">
            <v>SMT</v>
          </cell>
          <cell r="D7295" t="e">
            <v>#N/A</v>
          </cell>
        </row>
        <row r="7296">
          <cell r="A7296" t="str">
            <v>1TE1H603L3K20RP-PP</v>
          </cell>
          <cell r="B7296" t="str">
            <v>SMT</v>
          </cell>
          <cell r="D7296" t="e">
            <v>#N/A</v>
          </cell>
        </row>
        <row r="7297">
          <cell r="A7297" t="str">
            <v>1AE1H603L3K20RP-PP</v>
          </cell>
          <cell r="B7297" t="str">
            <v>SMT</v>
          </cell>
          <cell r="D7297" t="e">
            <v>#N/A</v>
          </cell>
        </row>
        <row r="7298">
          <cell r="A7298" t="str">
            <v>1HT1H603L3K20RP-PP</v>
          </cell>
          <cell r="B7298" t="str">
            <v>SMT</v>
          </cell>
          <cell r="D7298" t="e">
            <v>#N/A</v>
          </cell>
        </row>
        <row r="7299">
          <cell r="A7299" t="str">
            <v>1CM1ARBPC1A11063</v>
          </cell>
          <cell r="B7299" t="str">
            <v>SMT</v>
          </cell>
          <cell r="D7299" t="str">
            <v>1CM1ARBPC1A11063</v>
          </cell>
          <cell r="E7299">
            <v>8210</v>
          </cell>
          <cell r="F7299" t="str">
            <v>V501</v>
          </cell>
          <cell r="G7299" t="str">
            <v>Auto</v>
          </cell>
          <cell r="H7299">
            <v>311</v>
          </cell>
          <cell r="I7299">
            <v>8210</v>
          </cell>
          <cell r="J7299">
            <v>8220</v>
          </cell>
          <cell r="K7299" t="str">
            <v>V501</v>
          </cell>
        </row>
        <row r="7300">
          <cell r="A7300" t="str">
            <v>1RH1ARBPC1A11063</v>
          </cell>
          <cell r="B7300" t="str">
            <v>SMT</v>
          </cell>
          <cell r="D7300" t="e">
            <v>#N/A</v>
          </cell>
        </row>
        <row r="7301">
          <cell r="A7301" t="str">
            <v>1AE1ARBPC1A11063</v>
          </cell>
          <cell r="B7301" t="str">
            <v>SMT</v>
          </cell>
          <cell r="D7301" t="e">
            <v>#N/A</v>
          </cell>
        </row>
        <row r="7302">
          <cell r="A7302" t="str">
            <v>1RE1ARBPC1A11063</v>
          </cell>
          <cell r="B7302" t="str">
            <v>SMT</v>
          </cell>
          <cell r="D7302" t="e">
            <v>#N/A</v>
          </cell>
        </row>
        <row r="7303">
          <cell r="A7303" t="str">
            <v>1CM1ARBPC1A11453</v>
          </cell>
          <cell r="B7303" t="str">
            <v>SMT</v>
          </cell>
          <cell r="D7303" t="str">
            <v>1CM1ARBPC1A11453</v>
          </cell>
          <cell r="E7303">
            <v>8210</v>
          </cell>
          <cell r="F7303" t="str">
            <v>V501</v>
          </cell>
          <cell r="G7303" t="str">
            <v>Auto</v>
          </cell>
          <cell r="H7303">
            <v>311</v>
          </cell>
          <cell r="I7303">
            <v>8210</v>
          </cell>
          <cell r="J7303">
            <v>8220</v>
          </cell>
          <cell r="K7303" t="str">
            <v>V501</v>
          </cell>
        </row>
        <row r="7304">
          <cell r="A7304" t="str">
            <v>1RH1ARBPC1A11453</v>
          </cell>
          <cell r="B7304" t="str">
            <v>SMT</v>
          </cell>
          <cell r="D7304" t="e">
            <v>#N/A</v>
          </cell>
        </row>
        <row r="7305">
          <cell r="A7305" t="str">
            <v>1AE1ARBPC1A11453</v>
          </cell>
          <cell r="B7305" t="str">
            <v>SMT</v>
          </cell>
          <cell r="D7305" t="e">
            <v>#N/A</v>
          </cell>
        </row>
        <row r="7306">
          <cell r="A7306" t="str">
            <v>1RE1ARBPC1A11453</v>
          </cell>
          <cell r="B7306" t="str">
            <v>SMT</v>
          </cell>
          <cell r="D7306" t="e">
            <v>#N/A</v>
          </cell>
        </row>
        <row r="7307">
          <cell r="A7307" t="str">
            <v>1VI1TVRU484AH</v>
          </cell>
          <cell r="B7307" t="str">
            <v>SMT</v>
          </cell>
        </row>
        <row r="7308">
          <cell r="A7308" t="str">
            <v>1CM1ARBPC1A12633</v>
          </cell>
          <cell r="B7308" t="str">
            <v>SMT</v>
          </cell>
          <cell r="E7308">
            <v>8210</v>
          </cell>
          <cell r="F7308" t="str">
            <v>V501</v>
          </cell>
          <cell r="G7308" t="str">
            <v>Auto</v>
          </cell>
          <cell r="H7308">
            <v>311</v>
          </cell>
          <cell r="I7308">
            <v>8210</v>
          </cell>
          <cell r="J7308">
            <v>8220</v>
          </cell>
          <cell r="K7308" t="str">
            <v>V501</v>
          </cell>
        </row>
        <row r="7309">
          <cell r="A7309" t="str">
            <v>1RH1ARBPC1A12633</v>
          </cell>
          <cell r="B7309" t="str">
            <v>SMT</v>
          </cell>
        </row>
        <row r="7310">
          <cell r="A7310" t="str">
            <v>1AE1ARBPC1A12633</v>
          </cell>
          <cell r="B7310" t="str">
            <v>SMT</v>
          </cell>
        </row>
        <row r="7311">
          <cell r="A7311" t="str">
            <v>1RE1ARBPC1A12633</v>
          </cell>
          <cell r="B7311" t="str">
            <v>SMT</v>
          </cell>
        </row>
        <row r="7312">
          <cell r="A7312" t="str">
            <v>1CM1ART002T97440</v>
          </cell>
          <cell r="B7312" t="str">
            <v>SMT</v>
          </cell>
          <cell r="E7312">
            <v>8210</v>
          </cell>
          <cell r="F7312" t="str">
            <v>V501</v>
          </cell>
          <cell r="G7312" t="str">
            <v>Auto</v>
          </cell>
          <cell r="H7312">
            <v>311</v>
          </cell>
          <cell r="I7312">
            <v>8210</v>
          </cell>
          <cell r="J7312">
            <v>8220</v>
          </cell>
          <cell r="K7312" t="str">
            <v>V501</v>
          </cell>
        </row>
        <row r="7313">
          <cell r="A7313" t="str">
            <v>1RH1ART002T97440</v>
          </cell>
          <cell r="B7313" t="str">
            <v>SMT</v>
          </cell>
        </row>
        <row r="7314">
          <cell r="A7314" t="str">
            <v>1AE1ART002T97440</v>
          </cell>
          <cell r="B7314" t="str">
            <v>SMT</v>
          </cell>
        </row>
        <row r="7315">
          <cell r="A7315" t="str">
            <v>1RE1ART002T97440</v>
          </cell>
          <cell r="B7315" t="str">
            <v>SMT</v>
          </cell>
        </row>
        <row r="7316">
          <cell r="A7316" t="str">
            <v>H62603K20BP</v>
          </cell>
          <cell r="B7316" t="str">
            <v>SMT</v>
          </cell>
        </row>
        <row r="7317">
          <cell r="A7317" t="str">
            <v>1CM1ARBPC1A14070</v>
          </cell>
          <cell r="B7317" t="str">
            <v>SMT</v>
          </cell>
          <cell r="E7317">
            <v>8210</v>
          </cell>
          <cell r="F7317" t="str">
            <v>V501</v>
          </cell>
          <cell r="G7317" t="str">
            <v>Auto</v>
          </cell>
          <cell r="H7317">
            <v>311</v>
          </cell>
          <cell r="I7317">
            <v>8210</v>
          </cell>
          <cell r="J7317">
            <v>8220</v>
          </cell>
          <cell r="K7317" t="str">
            <v>V501</v>
          </cell>
        </row>
        <row r="7318">
          <cell r="A7318" t="str">
            <v>1RH1ARBPC1A14070</v>
          </cell>
          <cell r="B7318" t="str">
            <v>SMT</v>
          </cell>
        </row>
        <row r="7319">
          <cell r="A7319" t="str">
            <v>1AE1ARBPC1A14070</v>
          </cell>
          <cell r="B7319" t="str">
            <v>SMT</v>
          </cell>
        </row>
        <row r="7320">
          <cell r="A7320" t="str">
            <v>1RE1ARBPC1A14070</v>
          </cell>
          <cell r="B7320" t="str">
            <v>SMT</v>
          </cell>
        </row>
        <row r="7321">
          <cell r="A7321" t="str">
            <v>1CM1ARBPC1A14080</v>
          </cell>
          <cell r="B7321" t="str">
            <v>SMT</v>
          </cell>
          <cell r="E7321">
            <v>8210</v>
          </cell>
          <cell r="F7321" t="str">
            <v>V501</v>
          </cell>
          <cell r="G7321" t="str">
            <v>Auto</v>
          </cell>
          <cell r="H7321">
            <v>311</v>
          </cell>
          <cell r="I7321">
            <v>8210</v>
          </cell>
          <cell r="J7321">
            <v>8220</v>
          </cell>
          <cell r="K7321" t="str">
            <v>V501</v>
          </cell>
        </row>
        <row r="7322">
          <cell r="A7322" t="str">
            <v>1RH1ARBPC1A14080</v>
          </cell>
          <cell r="B7322" t="str">
            <v>SMT</v>
          </cell>
        </row>
        <row r="7323">
          <cell r="A7323" t="str">
            <v>1AE1ARBPC1A14080</v>
          </cell>
          <cell r="B7323" t="str">
            <v>SMT</v>
          </cell>
        </row>
        <row r="7324">
          <cell r="A7324" t="str">
            <v>1RE1ARBPC1A14080</v>
          </cell>
          <cell r="B7324" t="str">
            <v>SMT</v>
          </cell>
        </row>
        <row r="7325">
          <cell r="A7325" t="str">
            <v>1CM1ARBPC1A14110</v>
          </cell>
          <cell r="B7325" t="str">
            <v>SMT</v>
          </cell>
          <cell r="E7325">
            <v>8210</v>
          </cell>
          <cell r="F7325" t="str">
            <v>V501</v>
          </cell>
          <cell r="G7325" t="str">
            <v>Auto</v>
          </cell>
          <cell r="H7325">
            <v>311</v>
          </cell>
          <cell r="I7325">
            <v>8210</v>
          </cell>
          <cell r="J7325">
            <v>8220</v>
          </cell>
          <cell r="K7325" t="str">
            <v>V501</v>
          </cell>
        </row>
        <row r="7326">
          <cell r="A7326" t="str">
            <v>1RH1ARBPC1A14110</v>
          </cell>
          <cell r="B7326" t="str">
            <v>SMT</v>
          </cell>
        </row>
        <row r="7327">
          <cell r="A7327" t="str">
            <v>1AE1ARBPC1A14110</v>
          </cell>
          <cell r="B7327" t="str">
            <v>SMT</v>
          </cell>
        </row>
        <row r="7328">
          <cell r="A7328" t="str">
            <v>1RE1ARBPC1A14110</v>
          </cell>
          <cell r="B7328" t="str">
            <v>SMT</v>
          </cell>
        </row>
        <row r="7329">
          <cell r="A7329" t="str">
            <v>1RE2ARBP0DA03130</v>
          </cell>
          <cell r="B7329" t="str">
            <v>SMT</v>
          </cell>
          <cell r="E7329">
            <v>8210</v>
          </cell>
          <cell r="F7329" t="str">
            <v>V501</v>
          </cell>
          <cell r="G7329" t="str">
            <v>Auto</v>
          </cell>
          <cell r="H7329">
            <v>311</v>
          </cell>
          <cell r="I7329">
            <v>8210</v>
          </cell>
          <cell r="J7329">
            <v>8220</v>
          </cell>
          <cell r="K7329" t="str">
            <v>V501</v>
          </cell>
        </row>
        <row r="7330">
          <cell r="A7330" t="str">
            <v>1RE1ARBP0DA03130</v>
          </cell>
          <cell r="B7330" t="str">
            <v>SMT</v>
          </cell>
        </row>
        <row r="7331">
          <cell r="A7331" t="str">
            <v>1CM1ART002T97510</v>
          </cell>
          <cell r="B7331" t="str">
            <v>SMT</v>
          </cell>
          <cell r="E7331">
            <v>8210</v>
          </cell>
          <cell r="F7331" t="str">
            <v>V501</v>
          </cell>
          <cell r="G7331" t="str">
            <v>Auto</v>
          </cell>
          <cell r="H7331">
            <v>311</v>
          </cell>
          <cell r="I7331">
            <v>8210</v>
          </cell>
          <cell r="J7331">
            <v>8220</v>
          </cell>
          <cell r="K7331" t="str">
            <v>V501</v>
          </cell>
        </row>
        <row r="7332">
          <cell r="A7332" t="str">
            <v>1RH1ART002T97510</v>
          </cell>
          <cell r="B7332" t="str">
            <v>SMT</v>
          </cell>
        </row>
        <row r="7333">
          <cell r="A7333" t="str">
            <v>1AE1ART002T97510</v>
          </cell>
          <cell r="B7333" t="str">
            <v>SMT</v>
          </cell>
        </row>
        <row r="7334">
          <cell r="A7334" t="str">
            <v>1RE1ART002T97510</v>
          </cell>
          <cell r="B7334" t="str">
            <v>SMT</v>
          </cell>
        </row>
        <row r="7335">
          <cell r="A7335" t="str">
            <v>1RH1ART002T97480</v>
          </cell>
          <cell r="B7335" t="str">
            <v>SMT</v>
          </cell>
          <cell r="E7335">
            <v>8210</v>
          </cell>
          <cell r="F7335" t="str">
            <v>V501</v>
          </cell>
          <cell r="G7335" t="str">
            <v>Auto</v>
          </cell>
          <cell r="H7335">
            <v>311</v>
          </cell>
          <cell r="I7335">
            <v>8210</v>
          </cell>
          <cell r="J7335">
            <v>8220</v>
          </cell>
          <cell r="K7335" t="str">
            <v>V501</v>
          </cell>
        </row>
        <row r="7336">
          <cell r="A7336" t="str">
            <v>1AE1ART002T97480</v>
          </cell>
          <cell r="B7336" t="str">
            <v>SMT</v>
          </cell>
        </row>
        <row r="7337">
          <cell r="A7337" t="str">
            <v>1RE1ART002T97480</v>
          </cell>
          <cell r="B7337" t="str">
            <v>SMT</v>
          </cell>
        </row>
        <row r="7338">
          <cell r="A7338" t="str">
            <v>1RH1ART002T97490</v>
          </cell>
          <cell r="B7338" t="str">
            <v>SMT</v>
          </cell>
          <cell r="E7338">
            <v>8210</v>
          </cell>
          <cell r="F7338" t="str">
            <v>V501</v>
          </cell>
          <cell r="G7338" t="str">
            <v>Auto</v>
          </cell>
          <cell r="H7338">
            <v>311</v>
          </cell>
          <cell r="I7338">
            <v>8210</v>
          </cell>
          <cell r="J7338">
            <v>8220</v>
          </cell>
          <cell r="K7338" t="str">
            <v>V501</v>
          </cell>
        </row>
        <row r="7339">
          <cell r="A7339" t="str">
            <v>1AE1ART002T97490</v>
          </cell>
          <cell r="B7339" t="str">
            <v>SMT</v>
          </cell>
        </row>
        <row r="7340">
          <cell r="A7340" t="str">
            <v>1RE1ART002T97490</v>
          </cell>
          <cell r="B7340" t="str">
            <v>SMT</v>
          </cell>
        </row>
        <row r="7341">
          <cell r="A7341" t="str">
            <v>1RH1ARBPC1A13730</v>
          </cell>
          <cell r="B7341" t="str">
            <v>SMT</v>
          </cell>
          <cell r="E7341">
            <v>8210</v>
          </cell>
          <cell r="F7341" t="str">
            <v>V501</v>
          </cell>
          <cell r="G7341" t="str">
            <v>Auto</v>
          </cell>
          <cell r="H7341">
            <v>311</v>
          </cell>
          <cell r="I7341">
            <v>8210</v>
          </cell>
          <cell r="J7341">
            <v>8220</v>
          </cell>
          <cell r="K7341" t="str">
            <v>V501</v>
          </cell>
        </row>
        <row r="7342">
          <cell r="A7342" t="str">
            <v>1AE1ARBPC1A13730</v>
          </cell>
          <cell r="B7342" t="str">
            <v>SMT</v>
          </cell>
        </row>
        <row r="7343">
          <cell r="A7343" t="str">
            <v>1RE1ARBPC1A13730</v>
          </cell>
          <cell r="B7343" t="str">
            <v>SMT</v>
          </cell>
        </row>
        <row r="7344">
          <cell r="A7344" t="str">
            <v>1CM1A603L-3J3B</v>
          </cell>
          <cell r="B7344" t="str">
            <v>SMT</v>
          </cell>
          <cell r="E7344">
            <v>6210</v>
          </cell>
          <cell r="F7344" t="str">
            <v>VG01</v>
          </cell>
          <cell r="G7344" t="str">
            <v>Auto</v>
          </cell>
          <cell r="H7344">
            <v>311</v>
          </cell>
          <cell r="I7344">
            <v>6210</v>
          </cell>
          <cell r="J7344">
            <v>6220</v>
          </cell>
          <cell r="K7344" t="str">
            <v>VG01</v>
          </cell>
        </row>
        <row r="7345">
          <cell r="A7345" t="str">
            <v>1RH1A603L-3J3B</v>
          </cell>
          <cell r="B7345" t="str">
            <v>SMT</v>
          </cell>
        </row>
        <row r="7346">
          <cell r="A7346" t="str">
            <v>1AE1A603L-3J3B</v>
          </cell>
          <cell r="B7346" t="str">
            <v>SMT</v>
          </cell>
        </row>
        <row r="7347">
          <cell r="A7347" t="str">
            <v>1CM1A603L3J3BP1</v>
          </cell>
          <cell r="B7347" t="str">
            <v>SMT</v>
          </cell>
          <cell r="E7347">
            <v>6210</v>
          </cell>
          <cell r="F7347" t="str">
            <v>VG01</v>
          </cell>
          <cell r="G7347" t="str">
            <v>Auto</v>
          </cell>
          <cell r="H7347">
            <v>311</v>
          </cell>
          <cell r="I7347">
            <v>6210</v>
          </cell>
          <cell r="J7347">
            <v>6220</v>
          </cell>
          <cell r="K7347" t="str">
            <v>VG01</v>
          </cell>
        </row>
        <row r="7348">
          <cell r="A7348" t="str">
            <v>1RH1A603L3J3BP1</v>
          </cell>
          <cell r="B7348" t="str">
            <v>SMT</v>
          </cell>
        </row>
        <row r="7349">
          <cell r="A7349" t="str">
            <v>1AE1A603L3J3BP1</v>
          </cell>
          <cell r="B7349" t="str">
            <v>SMT</v>
          </cell>
        </row>
        <row r="7350">
          <cell r="A7350" t="str">
            <v>1CM1ARBPC1A13553</v>
          </cell>
          <cell r="B7350" t="str">
            <v>SMT</v>
          </cell>
          <cell r="E7350">
            <v>8210</v>
          </cell>
          <cell r="F7350" t="str">
            <v>V501</v>
          </cell>
          <cell r="G7350" t="str">
            <v>Auto</v>
          </cell>
          <cell r="H7350">
            <v>311</v>
          </cell>
          <cell r="I7350">
            <v>8210</v>
          </cell>
          <cell r="J7350">
            <v>8220</v>
          </cell>
          <cell r="K7350" t="str">
            <v>V501</v>
          </cell>
        </row>
        <row r="7351">
          <cell r="A7351" t="str">
            <v>1RH1ARBPC1A13553</v>
          </cell>
          <cell r="B7351" t="str">
            <v>SMT</v>
          </cell>
        </row>
        <row r="7352">
          <cell r="A7352" t="str">
            <v>1RE1ARBPC1A13553</v>
          </cell>
          <cell r="B7352" t="str">
            <v>SMT</v>
          </cell>
        </row>
        <row r="7353">
          <cell r="A7353" t="str">
            <v>1CM1ARBPC1A14090</v>
          </cell>
          <cell r="B7353" t="str">
            <v>SMT</v>
          </cell>
          <cell r="E7353">
            <v>8210</v>
          </cell>
          <cell r="F7353" t="str">
            <v>V501</v>
          </cell>
          <cell r="G7353" t="str">
            <v>Auto</v>
          </cell>
          <cell r="H7353">
            <v>311</v>
          </cell>
          <cell r="I7353">
            <v>8210</v>
          </cell>
          <cell r="J7353">
            <v>8220</v>
          </cell>
          <cell r="K7353" t="str">
            <v>V501</v>
          </cell>
        </row>
        <row r="7354">
          <cell r="A7354" t="str">
            <v>1RH1ARBPC1A14090</v>
          </cell>
          <cell r="B7354" t="str">
            <v>SMT</v>
          </cell>
        </row>
        <row r="7355">
          <cell r="A7355" t="str">
            <v>1RE1ARBPC1A14090</v>
          </cell>
          <cell r="B7355" t="str">
            <v>SMT</v>
          </cell>
        </row>
        <row r="7356">
          <cell r="A7356" t="str">
            <v>1RE1ARBP01A01631</v>
          </cell>
          <cell r="B7356" t="str">
            <v>SMT</v>
          </cell>
          <cell r="E7356">
            <v>8210</v>
          </cell>
          <cell r="F7356" t="str">
            <v>V501</v>
          </cell>
          <cell r="G7356" t="str">
            <v>Auto</v>
          </cell>
          <cell r="H7356">
            <v>311</v>
          </cell>
          <cell r="I7356">
            <v>8210</v>
          </cell>
          <cell r="J7356">
            <v>8220</v>
          </cell>
          <cell r="K7356" t="str">
            <v>V501</v>
          </cell>
        </row>
        <row r="7357">
          <cell r="A7357" t="str">
            <v>1CM1ARBPC1A14120</v>
          </cell>
          <cell r="B7357" t="str">
            <v>SMT</v>
          </cell>
          <cell r="E7357">
            <v>8210</v>
          </cell>
          <cell r="F7357" t="str">
            <v>V501</v>
          </cell>
          <cell r="G7357" t="str">
            <v>Auto</v>
          </cell>
          <cell r="H7357">
            <v>311</v>
          </cell>
          <cell r="I7357">
            <v>8210</v>
          </cell>
          <cell r="J7357">
            <v>8220</v>
          </cell>
          <cell r="K7357" t="str">
            <v>V501</v>
          </cell>
        </row>
        <row r="7358">
          <cell r="A7358" t="str">
            <v>1RH1ARBPC1A14120</v>
          </cell>
          <cell r="B7358" t="str">
            <v>SMT</v>
          </cell>
        </row>
        <row r="7359">
          <cell r="A7359" t="str">
            <v>1AE1ARBPC1A14120</v>
          </cell>
          <cell r="B7359" t="str">
            <v>SMT</v>
          </cell>
        </row>
        <row r="7360">
          <cell r="A7360" t="str">
            <v>1RE1ARBPC1A14120</v>
          </cell>
          <cell r="B7360" t="str">
            <v>SMT</v>
          </cell>
        </row>
        <row r="7361">
          <cell r="A7361" t="str">
            <v>1CM1ARBPC1A14160</v>
          </cell>
          <cell r="B7361" t="str">
            <v>SMT</v>
          </cell>
          <cell r="E7361">
            <v>8210</v>
          </cell>
          <cell r="F7361" t="str">
            <v>V501</v>
          </cell>
          <cell r="G7361" t="str">
            <v>Auto</v>
          </cell>
          <cell r="H7361">
            <v>311</v>
          </cell>
          <cell r="I7361">
            <v>8210</v>
          </cell>
          <cell r="J7361">
            <v>8220</v>
          </cell>
          <cell r="K7361" t="str">
            <v>V501</v>
          </cell>
        </row>
        <row r="7362">
          <cell r="A7362" t="str">
            <v>1RH1ARBPC1A14160</v>
          </cell>
          <cell r="B7362" t="str">
            <v>SMT</v>
          </cell>
        </row>
        <row r="7363">
          <cell r="A7363" t="str">
            <v>1AE1ARBPC1A14160</v>
          </cell>
          <cell r="B7363" t="str">
            <v>SMT</v>
          </cell>
        </row>
        <row r="7364">
          <cell r="A7364" t="str">
            <v>1RE1ARBPC1A14160</v>
          </cell>
          <cell r="B7364" t="str">
            <v>SMT</v>
          </cell>
        </row>
        <row r="7365">
          <cell r="A7365" t="str">
            <v>1RE1ARBP01A01690</v>
          </cell>
          <cell r="B7365" t="str">
            <v>SMT</v>
          </cell>
          <cell r="E7365">
            <v>8210</v>
          </cell>
          <cell r="F7365" t="str">
            <v>V501</v>
          </cell>
          <cell r="G7365" t="str">
            <v>Auto</v>
          </cell>
          <cell r="H7365">
            <v>311</v>
          </cell>
          <cell r="I7365">
            <v>8210</v>
          </cell>
          <cell r="J7365">
            <v>8220</v>
          </cell>
          <cell r="K7365" t="str">
            <v>V501</v>
          </cell>
        </row>
        <row r="7366">
          <cell r="A7366" t="str">
            <v>1CM1ARBPC1A14090</v>
          </cell>
          <cell r="B7366" t="str">
            <v>SMT</v>
          </cell>
          <cell r="E7366">
            <v>8210</v>
          </cell>
          <cell r="F7366" t="str">
            <v>V501</v>
          </cell>
          <cell r="G7366" t="str">
            <v>Auto</v>
          </cell>
          <cell r="H7366">
            <v>311</v>
          </cell>
          <cell r="I7366">
            <v>8210</v>
          </cell>
          <cell r="J7366">
            <v>8220</v>
          </cell>
          <cell r="K7366" t="str">
            <v>V501</v>
          </cell>
        </row>
        <row r="7367">
          <cell r="A7367" t="str">
            <v>1CM1ARBPC1A14120</v>
          </cell>
          <cell r="B7367" t="str">
            <v>SMT</v>
          </cell>
          <cell r="E7367">
            <v>8210</v>
          </cell>
          <cell r="F7367" t="str">
            <v>V501</v>
          </cell>
          <cell r="G7367" t="str">
            <v>Auto</v>
          </cell>
          <cell r="H7367">
            <v>311</v>
          </cell>
          <cell r="I7367">
            <v>8210</v>
          </cell>
          <cell r="J7367">
            <v>8220</v>
          </cell>
          <cell r="K7367" t="str">
            <v>V501</v>
          </cell>
        </row>
        <row r="7368">
          <cell r="A7368" t="str">
            <v>1CM1ARBPC1A14160</v>
          </cell>
          <cell r="B7368" t="str">
            <v>SMT</v>
          </cell>
          <cell r="E7368">
            <v>8210</v>
          </cell>
          <cell r="F7368" t="str">
            <v>V501</v>
          </cell>
          <cell r="G7368" t="str">
            <v>Auto</v>
          </cell>
          <cell r="H7368">
            <v>311</v>
          </cell>
          <cell r="I7368">
            <v>8210</v>
          </cell>
          <cell r="J7368">
            <v>8220</v>
          </cell>
          <cell r="K7368" t="str">
            <v>V501</v>
          </cell>
        </row>
        <row r="7369">
          <cell r="A7369" t="str">
            <v>1RE1ARBP01A01690</v>
          </cell>
          <cell r="B7369" t="str">
            <v>SMT</v>
          </cell>
          <cell r="E7369">
            <v>8210</v>
          </cell>
          <cell r="F7369" t="str">
            <v>V501</v>
          </cell>
          <cell r="G7369" t="str">
            <v>Auto</v>
          </cell>
          <cell r="H7369">
            <v>311</v>
          </cell>
          <cell r="I7369">
            <v>8210</v>
          </cell>
          <cell r="J7369">
            <v>8220</v>
          </cell>
          <cell r="K7369" t="str">
            <v>V501</v>
          </cell>
        </row>
        <row r="7370">
          <cell r="A7370" t="str">
            <v>H6575-3L10</v>
          </cell>
          <cell r="B7370" t="str">
            <v>SMT</v>
          </cell>
        </row>
        <row r="7371">
          <cell r="A7371" t="str">
            <v>1RE1H605Q-3L10-T</v>
          </cell>
          <cell r="B7371" t="str">
            <v>SMT</v>
          </cell>
        </row>
        <row r="7372">
          <cell r="A7372" t="str">
            <v>1RE2H605Q-3L10-T</v>
          </cell>
          <cell r="B7372" t="str">
            <v>SMT</v>
          </cell>
          <cell r="E7372">
            <v>6210</v>
          </cell>
          <cell r="F7372" t="str">
            <v>VG01</v>
          </cell>
          <cell r="G7372" t="str">
            <v>Auto</v>
          </cell>
          <cell r="H7372">
            <v>311</v>
          </cell>
          <cell r="I7372">
            <v>6210</v>
          </cell>
          <cell r="J7372">
            <v>6220</v>
          </cell>
          <cell r="K7372" t="str">
            <v>VG01</v>
          </cell>
        </row>
        <row r="7373">
          <cell r="A7373" t="str">
            <v>1CM1ARBPC1A13553</v>
          </cell>
          <cell r="B7373" t="str">
            <v>SMT</v>
          </cell>
          <cell r="E7373">
            <v>8210</v>
          </cell>
          <cell r="F7373" t="str">
            <v>V501</v>
          </cell>
          <cell r="G7373" t="str">
            <v>Auto</v>
          </cell>
          <cell r="H7373">
            <v>311</v>
          </cell>
          <cell r="I7373">
            <v>8210</v>
          </cell>
          <cell r="J7373">
            <v>8220</v>
          </cell>
          <cell r="K7373" t="str">
            <v>V501</v>
          </cell>
        </row>
        <row r="7374">
          <cell r="A7374" t="str">
            <v>1RH1ARBPC1A13553</v>
          </cell>
          <cell r="B7374" t="str">
            <v>SMT</v>
          </cell>
        </row>
        <row r="7375">
          <cell r="A7375" t="str">
            <v>1RE1ARBPC1A13553</v>
          </cell>
          <cell r="B7375" t="str">
            <v>SMT</v>
          </cell>
        </row>
        <row r="7376">
          <cell r="A7376" t="str">
            <v>1CM1ARBPC1A14090</v>
          </cell>
          <cell r="B7376" t="str">
            <v>SMT</v>
          </cell>
          <cell r="E7376">
            <v>8210</v>
          </cell>
          <cell r="F7376" t="str">
            <v>V501</v>
          </cell>
          <cell r="G7376" t="str">
            <v>Auto</v>
          </cell>
          <cell r="H7376">
            <v>311</v>
          </cell>
          <cell r="I7376">
            <v>8210</v>
          </cell>
          <cell r="J7376">
            <v>8220</v>
          </cell>
          <cell r="K7376" t="str">
            <v>V501</v>
          </cell>
        </row>
        <row r="7377">
          <cell r="A7377" t="str">
            <v>1RH1ARBPC1A14090</v>
          </cell>
          <cell r="B7377" t="str">
            <v>SMT</v>
          </cell>
        </row>
        <row r="7378">
          <cell r="A7378" t="str">
            <v>1RE1ARBPC1A14090</v>
          </cell>
          <cell r="B7378" t="str">
            <v>SMT</v>
          </cell>
        </row>
        <row r="7379">
          <cell r="A7379" t="str">
            <v>1RE1ARBP01A01631</v>
          </cell>
          <cell r="B7379" t="str">
            <v>SMT</v>
          </cell>
          <cell r="E7379">
            <v>8210</v>
          </cell>
          <cell r="F7379" t="str">
            <v>V501</v>
          </cell>
          <cell r="G7379" t="str">
            <v>Auto</v>
          </cell>
          <cell r="H7379">
            <v>311</v>
          </cell>
          <cell r="I7379">
            <v>8210</v>
          </cell>
          <cell r="J7379">
            <v>8220</v>
          </cell>
          <cell r="K7379" t="str">
            <v>V501</v>
          </cell>
        </row>
        <row r="7380">
          <cell r="A7380" t="str">
            <v>1CM1H603L3K20RP</v>
          </cell>
          <cell r="B7380" t="str">
            <v>SMT</v>
          </cell>
          <cell r="E7380">
            <v>6210</v>
          </cell>
          <cell r="F7380" t="str">
            <v>VG01</v>
          </cell>
          <cell r="G7380" t="str">
            <v>Auto</v>
          </cell>
          <cell r="H7380">
            <v>311</v>
          </cell>
          <cell r="I7380">
            <v>6210</v>
          </cell>
          <cell r="J7380">
            <v>6220</v>
          </cell>
          <cell r="K7380" t="str">
            <v>VG01</v>
          </cell>
        </row>
        <row r="7381">
          <cell r="A7381" t="str">
            <v>1RH1H603L3K20RP</v>
          </cell>
          <cell r="B7381" t="str">
            <v>SMT</v>
          </cell>
        </row>
        <row r="7382">
          <cell r="A7382" t="str">
            <v>1TE1H603L3K20RP</v>
          </cell>
          <cell r="B7382" t="str">
            <v>SMT</v>
          </cell>
        </row>
        <row r="7383">
          <cell r="A7383" t="str">
            <v>1AE1H603L3K20RP</v>
          </cell>
          <cell r="B7383" t="str">
            <v>SMT</v>
          </cell>
        </row>
        <row r="7384">
          <cell r="A7384" t="str">
            <v>1HT1H603L3K20RP</v>
          </cell>
          <cell r="B7384" t="str">
            <v>SMT</v>
          </cell>
        </row>
        <row r="7385">
          <cell r="A7385" t="str">
            <v>H62603K21BP</v>
          </cell>
          <cell r="B7385" t="str">
            <v>SMT</v>
          </cell>
        </row>
        <row r="7386">
          <cell r="A7386" t="str">
            <v>1RE2SAB25-S2</v>
          </cell>
          <cell r="B7386" t="str">
            <v>SMT</v>
          </cell>
          <cell r="E7386">
            <v>9210</v>
          </cell>
          <cell r="F7386" t="str">
            <v>VE01</v>
          </cell>
          <cell r="G7386" t="str">
            <v>Auto</v>
          </cell>
          <cell r="H7386">
            <v>311</v>
          </cell>
          <cell r="I7386">
            <v>9210</v>
          </cell>
          <cell r="J7386">
            <v>9340</v>
          </cell>
          <cell r="K7386" t="str">
            <v>VE01</v>
          </cell>
        </row>
        <row r="7387">
          <cell r="A7387" t="str">
            <v>1RE1SAB25-S2</v>
          </cell>
          <cell r="B7387" t="str">
            <v>SMT</v>
          </cell>
        </row>
        <row r="7388">
          <cell r="A7388" t="str">
            <v>PULB1130ZA-GL-S2</v>
          </cell>
          <cell r="B7388" t="str">
            <v>SMT</v>
          </cell>
        </row>
        <row r="7389">
          <cell r="A7389" t="str">
            <v>2RH1LP157ZA</v>
          </cell>
          <cell r="B7389" t="str">
            <v>SMT</v>
          </cell>
          <cell r="E7389">
            <v>9210</v>
          </cell>
          <cell r="F7389" t="str">
            <v>VE01</v>
          </cell>
          <cell r="G7389" t="str">
            <v>Auto</v>
          </cell>
          <cell r="H7389">
            <v>311</v>
          </cell>
          <cell r="I7389">
            <v>9210</v>
          </cell>
          <cell r="J7389">
            <v>9220</v>
          </cell>
          <cell r="K7389" t="str">
            <v>VE01</v>
          </cell>
        </row>
        <row r="7390">
          <cell r="A7390" t="str">
            <v>2RH1LP407ZA</v>
          </cell>
          <cell r="B7390" t="str">
            <v>SMT</v>
          </cell>
          <cell r="E7390">
            <v>9210</v>
          </cell>
          <cell r="F7390" t="str">
            <v>VE01</v>
          </cell>
          <cell r="G7390" t="str">
            <v>Auto</v>
          </cell>
          <cell r="H7390">
            <v>311</v>
          </cell>
          <cell r="I7390">
            <v>9210</v>
          </cell>
          <cell r="J7390">
            <v>9220</v>
          </cell>
          <cell r="K7390" t="str">
            <v>VE01</v>
          </cell>
        </row>
        <row r="7391">
          <cell r="A7391" t="str">
            <v>1CM1H603L3K22BP</v>
          </cell>
          <cell r="B7391" t="str">
            <v>SMT</v>
          </cell>
          <cell r="E7391">
            <v>6210</v>
          </cell>
          <cell r="F7391" t="str">
            <v>VG01</v>
          </cell>
          <cell r="G7391" t="str">
            <v>Auto</v>
          </cell>
          <cell r="H7391">
            <v>311</v>
          </cell>
          <cell r="I7391">
            <v>6210</v>
          </cell>
          <cell r="J7391">
            <v>6220</v>
          </cell>
          <cell r="K7391" t="str">
            <v>VG01</v>
          </cell>
        </row>
        <row r="7392">
          <cell r="A7392" t="str">
            <v>1RH1H603L3K22BP</v>
          </cell>
          <cell r="B7392" t="str">
            <v>SMT</v>
          </cell>
        </row>
        <row r="7393">
          <cell r="A7393" t="str">
            <v>1TE1H603L3K22BP</v>
          </cell>
          <cell r="B7393" t="str">
            <v>SMT</v>
          </cell>
        </row>
        <row r="7394">
          <cell r="A7394" t="str">
            <v>1AE1H603L3K22BP</v>
          </cell>
          <cell r="B7394" t="str">
            <v>SMT</v>
          </cell>
        </row>
        <row r="7395">
          <cell r="A7395" t="str">
            <v>1HT1H603L3K22BP</v>
          </cell>
          <cell r="B7395" t="str">
            <v>SMT</v>
          </cell>
        </row>
        <row r="7396">
          <cell r="A7396" t="str">
            <v>1CM1H683L3K21P2</v>
          </cell>
          <cell r="B7396" t="str">
            <v>SMT</v>
          </cell>
          <cell r="E7396">
            <v>6210</v>
          </cell>
          <cell r="F7396" t="str">
            <v>VG01</v>
          </cell>
          <cell r="G7396" t="str">
            <v>Auto</v>
          </cell>
          <cell r="H7396">
            <v>311</v>
          </cell>
          <cell r="I7396">
            <v>6210</v>
          </cell>
          <cell r="J7396">
            <v>6220</v>
          </cell>
          <cell r="K7396" t="str">
            <v>VG01</v>
          </cell>
        </row>
        <row r="7397">
          <cell r="A7397" t="str">
            <v>1RH1H683L3K21P2</v>
          </cell>
          <cell r="B7397" t="str">
            <v>SMT</v>
          </cell>
        </row>
        <row r="7398">
          <cell r="A7398" t="str">
            <v>1TE1H683L3K21P2</v>
          </cell>
          <cell r="B7398" t="str">
            <v>SMT</v>
          </cell>
        </row>
        <row r="7399">
          <cell r="A7399" t="str">
            <v>1AE1H683L3K21P2</v>
          </cell>
          <cell r="B7399" t="str">
            <v>SMT</v>
          </cell>
        </row>
        <row r="7400">
          <cell r="A7400" t="str">
            <v>1HT1H683L3K21P2</v>
          </cell>
          <cell r="B7400" t="str">
            <v>SMT</v>
          </cell>
        </row>
        <row r="7401">
          <cell r="A7401" t="str">
            <v>1RE1A605S-3J0B</v>
          </cell>
          <cell r="B7401" t="str">
            <v>SMT</v>
          </cell>
          <cell r="E7401">
            <v>6210</v>
          </cell>
          <cell r="F7401" t="str">
            <v>VG01</v>
          </cell>
          <cell r="G7401" t="str">
            <v>Auto</v>
          </cell>
          <cell r="H7401">
            <v>311</v>
          </cell>
          <cell r="I7401">
            <v>6210</v>
          </cell>
          <cell r="J7401">
            <v>6310</v>
          </cell>
          <cell r="K7401" t="str">
            <v>VG01</v>
          </cell>
        </row>
        <row r="7402">
          <cell r="A7402" t="str">
            <v>A6577-3J01</v>
          </cell>
          <cell r="B7402" t="str">
            <v>SMT</v>
          </cell>
        </row>
        <row r="7403">
          <cell r="A7403" t="str">
            <v>1AE1ARBPC1A09975</v>
          </cell>
          <cell r="B7403" t="str">
            <v>SMT</v>
          </cell>
        </row>
        <row r="7404">
          <cell r="A7404" t="str">
            <v>1AE1ARBPC1A11044</v>
          </cell>
          <cell r="B7404" t="str">
            <v>SMT</v>
          </cell>
        </row>
        <row r="7405">
          <cell r="A7405" t="str">
            <v>1CM1ARBPC1A09975</v>
          </cell>
          <cell r="B7405" t="str">
            <v>SMT</v>
          </cell>
          <cell r="E7405">
            <v>8210</v>
          </cell>
          <cell r="F7405" t="str">
            <v>V501</v>
          </cell>
          <cell r="G7405" t="str">
            <v>Auto</v>
          </cell>
          <cell r="H7405">
            <v>311</v>
          </cell>
          <cell r="I7405">
            <v>8210</v>
          </cell>
          <cell r="J7405">
            <v>8220</v>
          </cell>
          <cell r="K7405" t="str">
            <v>V501</v>
          </cell>
        </row>
        <row r="7406">
          <cell r="A7406" t="str">
            <v>1CM1ARBPC1A11044</v>
          </cell>
          <cell r="B7406" t="str">
            <v>SMT</v>
          </cell>
          <cell r="E7406">
            <v>8210</v>
          </cell>
          <cell r="F7406" t="str">
            <v>V501</v>
          </cell>
          <cell r="G7406" t="str">
            <v>Auto</v>
          </cell>
          <cell r="H7406">
            <v>311</v>
          </cell>
          <cell r="I7406">
            <v>8210</v>
          </cell>
          <cell r="J7406">
            <v>8220</v>
          </cell>
          <cell r="K7406" t="str">
            <v>V501</v>
          </cell>
        </row>
        <row r="7407">
          <cell r="A7407" t="str">
            <v>1RE1ARBPC1A09975</v>
          </cell>
          <cell r="B7407" t="str">
            <v>SMT</v>
          </cell>
        </row>
        <row r="7408">
          <cell r="A7408" t="str">
            <v>1RE1ARBPC1A11044</v>
          </cell>
          <cell r="B7408" t="str">
            <v>SMT</v>
          </cell>
        </row>
        <row r="7409">
          <cell r="A7409" t="str">
            <v>1RH1ARBPC1A09975</v>
          </cell>
          <cell r="B7409" t="str">
            <v>SMT</v>
          </cell>
        </row>
        <row r="7410">
          <cell r="A7410" t="str">
            <v>1RH1ARBPC1A11044</v>
          </cell>
          <cell r="B7410" t="str">
            <v>SMT</v>
          </cell>
        </row>
        <row r="7411">
          <cell r="A7411" t="str">
            <v>H6260-3L10</v>
          </cell>
          <cell r="B7411" t="str">
            <v>SMT</v>
          </cell>
        </row>
        <row r="7412">
          <cell r="A7412" t="str">
            <v>H6407-3L10</v>
          </cell>
          <cell r="B7412" t="str">
            <v>SMT</v>
          </cell>
        </row>
        <row r="7413">
          <cell r="A7413" t="str">
            <v>1AE1H603L-3L10-T</v>
          </cell>
          <cell r="B7413" t="str">
            <v>SMT</v>
          </cell>
        </row>
        <row r="7414">
          <cell r="A7414" t="str">
            <v>1AE1H608T-3L10-T</v>
          </cell>
          <cell r="B7414" t="str">
            <v>SMT</v>
          </cell>
        </row>
        <row r="7415">
          <cell r="A7415" t="str">
            <v>1CM1H603L-3L10-T</v>
          </cell>
          <cell r="B7415" t="str">
            <v>SMT</v>
          </cell>
          <cell r="E7415">
            <v>6210</v>
          </cell>
          <cell r="F7415" t="str">
            <v>VG01</v>
          </cell>
          <cell r="G7415" t="str">
            <v>Auto</v>
          </cell>
          <cell r="H7415">
            <v>311</v>
          </cell>
          <cell r="I7415">
            <v>6210</v>
          </cell>
          <cell r="J7415">
            <v>6220</v>
          </cell>
          <cell r="K7415" t="str">
            <v>VG01</v>
          </cell>
        </row>
        <row r="7416">
          <cell r="A7416" t="str">
            <v>1CM1H608T-3L10-T</v>
          </cell>
          <cell r="B7416" t="str">
            <v>SMT</v>
          </cell>
          <cell r="E7416">
            <v>6210</v>
          </cell>
          <cell r="F7416" t="str">
            <v>VG01</v>
          </cell>
          <cell r="G7416" t="str">
            <v>Auto</v>
          </cell>
          <cell r="H7416">
            <v>311</v>
          </cell>
          <cell r="I7416">
            <v>6210</v>
          </cell>
          <cell r="J7416">
            <v>6220</v>
          </cell>
          <cell r="K7416" t="str">
            <v>VG01</v>
          </cell>
        </row>
        <row r="7417">
          <cell r="A7417" t="str">
            <v>1HT1H603L-3L10-T</v>
          </cell>
          <cell r="B7417" t="str">
            <v>SMT</v>
          </cell>
        </row>
        <row r="7418">
          <cell r="A7418" t="str">
            <v>1HT1H608T-3L10-T</v>
          </cell>
          <cell r="B7418" t="str">
            <v>SMT</v>
          </cell>
        </row>
        <row r="7419">
          <cell r="A7419" t="str">
            <v>1RH1H603L-3L10-T</v>
          </cell>
          <cell r="B7419" t="str">
            <v>SMT</v>
          </cell>
        </row>
        <row r="7420">
          <cell r="A7420" t="str">
            <v>1RH1H608T-3L10-T</v>
          </cell>
          <cell r="B7420" t="str">
            <v>SMT</v>
          </cell>
        </row>
        <row r="7421">
          <cell r="A7421" t="str">
            <v>1TE1H603L-3L10-T</v>
          </cell>
          <cell r="B7421" t="str">
            <v>SMT</v>
          </cell>
        </row>
        <row r="7422">
          <cell r="A7422" t="str">
            <v>1CM1ARBPC1A13554</v>
          </cell>
          <cell r="B7422" t="str">
            <v>SMT</v>
          </cell>
          <cell r="E7422">
            <v>8210</v>
          </cell>
          <cell r="F7422" t="str">
            <v>V501</v>
          </cell>
          <cell r="G7422" t="str">
            <v>Auto</v>
          </cell>
          <cell r="H7422">
            <v>311</v>
          </cell>
          <cell r="I7422">
            <v>8210</v>
          </cell>
          <cell r="J7422">
            <v>8220</v>
          </cell>
          <cell r="K7422" t="str">
            <v>V501</v>
          </cell>
        </row>
        <row r="7423">
          <cell r="A7423" t="str">
            <v>1RH1ARBPC1A13554</v>
          </cell>
          <cell r="B7423" t="str">
            <v>SMT</v>
          </cell>
        </row>
        <row r="7424">
          <cell r="A7424" t="str">
            <v>1RE1ARBPC1A13554</v>
          </cell>
          <cell r="B7424" t="str">
            <v>SMT</v>
          </cell>
        </row>
        <row r="7425">
          <cell r="A7425" t="str">
            <v>1CM1ARBPC1A14031</v>
          </cell>
          <cell r="B7425" t="str">
            <v>SMT</v>
          </cell>
          <cell r="E7425">
            <v>8210</v>
          </cell>
          <cell r="F7425" t="str">
            <v>V501</v>
          </cell>
          <cell r="G7425" t="str">
            <v>Auto</v>
          </cell>
          <cell r="H7425">
            <v>311</v>
          </cell>
          <cell r="I7425">
            <v>8210</v>
          </cell>
          <cell r="J7425">
            <v>8220</v>
          </cell>
          <cell r="K7425" t="str">
            <v>V501</v>
          </cell>
        </row>
        <row r="7426">
          <cell r="A7426" t="str">
            <v>1RH1ARBPC1A14031</v>
          </cell>
          <cell r="B7426" t="str">
            <v>SMT</v>
          </cell>
        </row>
        <row r="7427">
          <cell r="A7427" t="str">
            <v>1RE1ARBPC1A14031</v>
          </cell>
          <cell r="B7427" t="str">
            <v>SMT</v>
          </cell>
        </row>
        <row r="7428">
          <cell r="A7428" t="str">
            <v>1RE2H685Q3K20BP-PP</v>
          </cell>
          <cell r="B7428" t="str">
            <v>SMT</v>
          </cell>
          <cell r="E7428">
            <v>6210</v>
          </cell>
          <cell r="F7428" t="str">
            <v>VG01</v>
          </cell>
          <cell r="G7428" t="str">
            <v>Auto</v>
          </cell>
          <cell r="H7428">
            <v>311</v>
          </cell>
          <cell r="I7428">
            <v>6210</v>
          </cell>
          <cell r="J7428">
            <v>6220</v>
          </cell>
          <cell r="K7428" t="str">
            <v>VG01</v>
          </cell>
        </row>
        <row r="7429">
          <cell r="A7429" t="str">
            <v>1RE2H685Q3K20BP-PP</v>
          </cell>
          <cell r="B7429" t="str">
            <v>SMT</v>
          </cell>
          <cell r="E7429">
            <v>6210</v>
          </cell>
          <cell r="F7429" t="str">
            <v>VG01</v>
          </cell>
          <cell r="G7429" t="str">
            <v>Auto</v>
          </cell>
          <cell r="H7429">
            <v>311</v>
          </cell>
          <cell r="I7429">
            <v>6210</v>
          </cell>
          <cell r="J7429">
            <v>6220</v>
          </cell>
          <cell r="K7429" t="str">
            <v>VG01</v>
          </cell>
        </row>
        <row r="7430">
          <cell r="A7430" t="str">
            <v>1RE2H685Q3K20BP-PP</v>
          </cell>
          <cell r="B7430" t="str">
            <v>SMT</v>
          </cell>
          <cell r="E7430">
            <v>6210</v>
          </cell>
          <cell r="F7430" t="str">
            <v>VG01</v>
          </cell>
          <cell r="G7430" t="str">
            <v>Auto</v>
          </cell>
          <cell r="H7430">
            <v>311</v>
          </cell>
          <cell r="I7430">
            <v>6210</v>
          </cell>
          <cell r="J7430">
            <v>6220</v>
          </cell>
          <cell r="K7430" t="str">
            <v>VG01</v>
          </cell>
        </row>
        <row r="7431">
          <cell r="A7431" t="str">
            <v>1RE2H685Q3K20BP-PP</v>
          </cell>
          <cell r="B7431" t="str">
            <v>SMT</v>
          </cell>
          <cell r="E7431">
            <v>6210</v>
          </cell>
          <cell r="F7431" t="str">
            <v>VG01</v>
          </cell>
          <cell r="G7431" t="str">
            <v>Auto</v>
          </cell>
          <cell r="H7431">
            <v>311</v>
          </cell>
          <cell r="I7431">
            <v>6210</v>
          </cell>
          <cell r="J7431">
            <v>6220</v>
          </cell>
          <cell r="K7431" t="str">
            <v>VG01</v>
          </cell>
        </row>
        <row r="7432">
          <cell r="A7432" t="str">
            <v>1RE1H685Q3K20BP-PP</v>
          </cell>
          <cell r="B7432" t="str">
            <v>SMT</v>
          </cell>
        </row>
        <row r="7433">
          <cell r="A7433" t="str">
            <v>1VJ1H685Q3K20BP-PP</v>
          </cell>
          <cell r="B7433" t="str">
            <v>SMT</v>
          </cell>
        </row>
        <row r="7434">
          <cell r="A7434" t="str">
            <v>1VJ2H685Q3K20BP-PP</v>
          </cell>
          <cell r="B7434" t="str">
            <v>SMT</v>
          </cell>
        </row>
        <row r="7435">
          <cell r="A7435" t="str">
            <v>1VJ3H685Q3K20BP-PP</v>
          </cell>
          <cell r="B7435" t="str">
            <v>SMT</v>
          </cell>
        </row>
        <row r="7436">
          <cell r="A7436" t="str">
            <v>PULB1039ZA-XM</v>
          </cell>
          <cell r="B7436" t="str">
            <v>SMT</v>
          </cell>
          <cell r="E7436">
            <v>6210</v>
          </cell>
          <cell r="F7436" t="str">
            <v>VG01</v>
          </cell>
          <cell r="G7436" t="str">
            <v>Auto</v>
          </cell>
          <cell r="H7436">
            <v>311</v>
          </cell>
          <cell r="I7436">
            <v>6210</v>
          </cell>
          <cell r="J7436">
            <v>6220</v>
          </cell>
          <cell r="K7436" t="str">
            <v>VG01</v>
          </cell>
        </row>
        <row r="7437">
          <cell r="A7437" t="str">
            <v>2AP1AV800ZA</v>
          </cell>
          <cell r="B7437" t="str">
            <v>SMT</v>
          </cell>
        </row>
        <row r="7438">
          <cell r="A7438" t="str">
            <v>F67453705ABP</v>
          </cell>
          <cell r="B7438" t="str">
            <v>SMT</v>
          </cell>
        </row>
        <row r="7439">
          <cell r="A7439" t="str">
            <v>1CM1ARBPC1A14071</v>
          </cell>
          <cell r="B7439" t="str">
            <v>SMT</v>
          </cell>
          <cell r="E7439">
            <v>8210</v>
          </cell>
          <cell r="F7439" t="str">
            <v>V501</v>
          </cell>
          <cell r="G7439" t="str">
            <v>Auto</v>
          </cell>
          <cell r="H7439">
            <v>311</v>
          </cell>
          <cell r="I7439">
            <v>8210</v>
          </cell>
          <cell r="J7439">
            <v>8220</v>
          </cell>
          <cell r="K7439" t="str">
            <v>V501</v>
          </cell>
        </row>
        <row r="7440">
          <cell r="A7440" t="str">
            <v>1RH1ARBPC1A14071</v>
          </cell>
          <cell r="B7440" t="str">
            <v>SMT</v>
          </cell>
        </row>
        <row r="7441">
          <cell r="A7441" t="str">
            <v>1AE1ARBPC1A14071</v>
          </cell>
          <cell r="B7441" t="str">
            <v>SMT</v>
          </cell>
        </row>
        <row r="7442">
          <cell r="A7442" t="str">
            <v>1RE1ARBPC1A14071</v>
          </cell>
          <cell r="B7442" t="str">
            <v>SMT</v>
          </cell>
        </row>
        <row r="7443">
          <cell r="A7443" t="str">
            <v>1CM1ARBPC1A14081</v>
          </cell>
          <cell r="B7443" t="str">
            <v>SMT</v>
          </cell>
          <cell r="E7443">
            <v>8210</v>
          </cell>
          <cell r="F7443" t="str">
            <v>V501</v>
          </cell>
          <cell r="G7443" t="str">
            <v>Auto</v>
          </cell>
          <cell r="H7443">
            <v>311</v>
          </cell>
          <cell r="I7443">
            <v>8210</v>
          </cell>
          <cell r="J7443">
            <v>8220</v>
          </cell>
          <cell r="K7443" t="str">
            <v>V501</v>
          </cell>
        </row>
        <row r="7444">
          <cell r="A7444" t="str">
            <v>1RH1ARBPC1A14081</v>
          </cell>
          <cell r="B7444" t="str">
            <v>SMT</v>
          </cell>
        </row>
        <row r="7445">
          <cell r="A7445" t="str">
            <v>1AE1ARBPC1A14081</v>
          </cell>
          <cell r="B7445" t="str">
            <v>SMT</v>
          </cell>
        </row>
        <row r="7446">
          <cell r="A7446" t="str">
            <v>1RE1ARBPC1A14081</v>
          </cell>
          <cell r="B7446" t="str">
            <v>SMT</v>
          </cell>
        </row>
        <row r="7447">
          <cell r="A7447" t="str">
            <v>1CM1ARBPC1A14130</v>
          </cell>
          <cell r="B7447" t="str">
            <v>SMT</v>
          </cell>
          <cell r="E7447">
            <v>8210</v>
          </cell>
          <cell r="F7447" t="str">
            <v>V501</v>
          </cell>
          <cell r="G7447" t="str">
            <v>Auto</v>
          </cell>
          <cell r="H7447">
            <v>311</v>
          </cell>
          <cell r="I7447">
            <v>8210</v>
          </cell>
          <cell r="J7447">
            <v>8220</v>
          </cell>
          <cell r="K7447" t="str">
            <v>V501</v>
          </cell>
        </row>
        <row r="7448">
          <cell r="A7448" t="str">
            <v>1RH1ARBPC1A14130</v>
          </cell>
          <cell r="B7448" t="str">
            <v>SMT</v>
          </cell>
        </row>
        <row r="7449">
          <cell r="A7449" t="str">
            <v>1AE1ARBPC1A14130</v>
          </cell>
          <cell r="B7449" t="str">
            <v>SMT</v>
          </cell>
        </row>
        <row r="7450">
          <cell r="A7450" t="str">
            <v>1RE1ARBPC1A14130</v>
          </cell>
          <cell r="B7450" t="str">
            <v>SMT</v>
          </cell>
        </row>
        <row r="7451">
          <cell r="A7451" t="str">
            <v>1CM1ARBPC1A14170</v>
          </cell>
          <cell r="B7451" t="str">
            <v>SMT</v>
          </cell>
          <cell r="E7451">
            <v>8210</v>
          </cell>
          <cell r="F7451" t="str">
            <v>V501</v>
          </cell>
          <cell r="G7451" t="str">
            <v>Auto</v>
          </cell>
          <cell r="H7451">
            <v>311</v>
          </cell>
          <cell r="I7451">
            <v>8210</v>
          </cell>
          <cell r="J7451">
            <v>8220</v>
          </cell>
          <cell r="K7451" t="str">
            <v>V501</v>
          </cell>
        </row>
        <row r="7452">
          <cell r="A7452" t="str">
            <v>1RH1ARBPC1A14170</v>
          </cell>
          <cell r="B7452" t="str">
            <v>SMT</v>
          </cell>
        </row>
        <row r="7453">
          <cell r="A7453" t="str">
            <v>1AE1ARBPC1A14170</v>
          </cell>
          <cell r="B7453" t="str">
            <v>SMT</v>
          </cell>
        </row>
        <row r="7454">
          <cell r="A7454" t="str">
            <v>1RE1ARBPC1A14170</v>
          </cell>
          <cell r="B7454" t="str">
            <v>SMT</v>
          </cell>
        </row>
        <row r="7455">
          <cell r="A7455" t="str">
            <v>1CM1A603L3K70BP-P1</v>
          </cell>
          <cell r="B7455" t="str">
            <v>SMT</v>
          </cell>
          <cell r="E7455">
            <v>6210</v>
          </cell>
          <cell r="F7455" t="str">
            <v>VG01</v>
          </cell>
          <cell r="G7455" t="str">
            <v>Auto</v>
          </cell>
          <cell r="H7455">
            <v>311</v>
          </cell>
          <cell r="I7455">
            <v>6210</v>
          </cell>
          <cell r="J7455">
            <v>6220</v>
          </cell>
          <cell r="K7455" t="str">
            <v>VG01</v>
          </cell>
        </row>
        <row r="7456">
          <cell r="A7456" t="str">
            <v>1RH1A603L3K70BP-P1</v>
          </cell>
          <cell r="B7456" t="str">
            <v>SMT</v>
          </cell>
        </row>
        <row r="7457">
          <cell r="A7457" t="str">
            <v>1AE1A603L3K70BP-P1</v>
          </cell>
          <cell r="B7457" t="str">
            <v>SMT</v>
          </cell>
        </row>
        <row r="7458">
          <cell r="A7458" t="str">
            <v>1CM1A603L3K70EP-P1</v>
          </cell>
          <cell r="B7458" t="str">
            <v>SMT</v>
          </cell>
          <cell r="E7458">
            <v>6210</v>
          </cell>
          <cell r="F7458" t="str">
            <v>VG01</v>
          </cell>
          <cell r="G7458" t="str">
            <v>Auto</v>
          </cell>
          <cell r="H7458">
            <v>311</v>
          </cell>
          <cell r="I7458">
            <v>6210</v>
          </cell>
          <cell r="J7458">
            <v>6220</v>
          </cell>
          <cell r="K7458" t="str">
            <v>VG01</v>
          </cell>
        </row>
        <row r="7459">
          <cell r="A7459" t="str">
            <v>1RH1A603L3K70EP-P1</v>
          </cell>
          <cell r="B7459" t="str">
            <v>SMT</v>
          </cell>
        </row>
        <row r="7460">
          <cell r="A7460" t="str">
            <v>1AE1A603L3K70EP-P1</v>
          </cell>
          <cell r="B7460" t="str">
            <v>SMT</v>
          </cell>
        </row>
        <row r="7461">
          <cell r="A7461" t="str">
            <v>1CM1A603L3K80KP-P1</v>
          </cell>
          <cell r="B7461" t="str">
            <v>SMT</v>
          </cell>
          <cell r="E7461">
            <v>6210</v>
          </cell>
          <cell r="F7461" t="str">
            <v>VG01</v>
          </cell>
          <cell r="G7461" t="str">
            <v>Auto</v>
          </cell>
          <cell r="H7461">
            <v>311</v>
          </cell>
          <cell r="I7461">
            <v>6210</v>
          </cell>
          <cell r="J7461">
            <v>6220</v>
          </cell>
          <cell r="K7461" t="str">
            <v>VG01</v>
          </cell>
        </row>
        <row r="7462">
          <cell r="A7462" t="str">
            <v>1RH1A603L3K80KP-P1</v>
          </cell>
          <cell r="B7462" t="str">
            <v>SMT</v>
          </cell>
        </row>
        <row r="7463">
          <cell r="A7463" t="str">
            <v>1AE1A603L3K80KP-P1</v>
          </cell>
          <cell r="B7463" t="str">
            <v>SMT</v>
          </cell>
        </row>
        <row r="7464">
          <cell r="A7464" t="str">
            <v>1CM1A603L3K80TP-P1</v>
          </cell>
          <cell r="B7464" t="str">
            <v>SMT</v>
          </cell>
          <cell r="E7464">
            <v>6210</v>
          </cell>
          <cell r="F7464" t="str">
            <v>VG01</v>
          </cell>
          <cell r="G7464" t="str">
            <v>Auto</v>
          </cell>
          <cell r="H7464">
            <v>311</v>
          </cell>
          <cell r="I7464">
            <v>6210</v>
          </cell>
          <cell r="J7464">
            <v>6220</v>
          </cell>
          <cell r="K7464" t="str">
            <v>VG01</v>
          </cell>
        </row>
        <row r="7465">
          <cell r="A7465" t="str">
            <v>1RH1A603L3K80TP-P1</v>
          </cell>
          <cell r="B7465" t="str">
            <v>SMT</v>
          </cell>
        </row>
        <row r="7466">
          <cell r="A7466" t="str">
            <v>1AE1A603L3K80TP-P1</v>
          </cell>
          <cell r="B7466" t="str">
            <v>SMT</v>
          </cell>
        </row>
        <row r="7467">
          <cell r="A7467" t="str">
            <v>1CM1A603L3L00TP-P1</v>
          </cell>
          <cell r="B7467" t="str">
            <v>SMT</v>
          </cell>
          <cell r="E7467">
            <v>6210</v>
          </cell>
          <cell r="F7467" t="str">
            <v>VG01</v>
          </cell>
          <cell r="G7467" t="str">
            <v>Auto</v>
          </cell>
          <cell r="H7467">
            <v>311</v>
          </cell>
          <cell r="I7467">
            <v>6210</v>
          </cell>
          <cell r="J7467">
            <v>6220</v>
          </cell>
          <cell r="K7467" t="str">
            <v>VG01</v>
          </cell>
        </row>
        <row r="7468">
          <cell r="A7468" t="str">
            <v>1RH1A603L3L00TP-P1</v>
          </cell>
          <cell r="B7468" t="str">
            <v>SMT</v>
          </cell>
        </row>
        <row r="7469">
          <cell r="A7469" t="str">
            <v>1AE1A603L3L00TP-P1</v>
          </cell>
          <cell r="B7469" t="str">
            <v>SMT</v>
          </cell>
        </row>
        <row r="7470">
          <cell r="A7470" t="str">
            <v>1CM1H603Y3J90BP-P1</v>
          </cell>
          <cell r="B7470" t="str">
            <v>SMT</v>
          </cell>
          <cell r="E7470">
            <v>6210</v>
          </cell>
          <cell r="F7470" t="str">
            <v>VG01</v>
          </cell>
          <cell r="G7470" t="str">
            <v>Auto</v>
          </cell>
          <cell r="H7470">
            <v>311</v>
          </cell>
          <cell r="I7470">
            <v>6210</v>
          </cell>
          <cell r="J7470">
            <v>6220</v>
          </cell>
          <cell r="K7470" t="str">
            <v>VG01</v>
          </cell>
        </row>
        <row r="7471">
          <cell r="A7471" t="str">
            <v>1RH1H603Y3J90BP-P1</v>
          </cell>
          <cell r="B7471" t="str">
            <v>SMT</v>
          </cell>
        </row>
        <row r="7472">
          <cell r="A7472" t="str">
            <v>1TE1H603Y3J90BP-P1</v>
          </cell>
          <cell r="B7472" t="str">
            <v>SMT</v>
          </cell>
        </row>
        <row r="7473">
          <cell r="A7473" t="str">
            <v>1AE1H603Y3J90BP-P1</v>
          </cell>
          <cell r="B7473" t="str">
            <v>SMT</v>
          </cell>
        </row>
        <row r="7474">
          <cell r="A7474" t="str">
            <v>1HT1H603Y3J90BP-P1</v>
          </cell>
          <cell r="B7474" t="str">
            <v>SMT</v>
          </cell>
        </row>
        <row r="7475">
          <cell r="A7475" t="str">
            <v>1CM1H608E3K70BP-P1</v>
          </cell>
          <cell r="B7475" t="str">
            <v>SMT</v>
          </cell>
          <cell r="E7475">
            <v>6210</v>
          </cell>
          <cell r="F7475" t="str">
            <v>VG01</v>
          </cell>
          <cell r="G7475" t="str">
            <v>Auto</v>
          </cell>
          <cell r="H7475">
            <v>311</v>
          </cell>
          <cell r="I7475">
            <v>6210</v>
          </cell>
          <cell r="J7475">
            <v>6220</v>
          </cell>
          <cell r="K7475" t="str">
            <v>VG01</v>
          </cell>
        </row>
        <row r="7476">
          <cell r="A7476" t="str">
            <v>1RH1H608E3K70BP-P1</v>
          </cell>
          <cell r="B7476" t="str">
            <v>SMT</v>
          </cell>
        </row>
        <row r="7477">
          <cell r="A7477" t="str">
            <v>1HT1H608E3K70BP-P1</v>
          </cell>
          <cell r="B7477" t="str">
            <v>SMT</v>
          </cell>
        </row>
        <row r="7478">
          <cell r="A7478" t="str">
            <v>2RE1LP157ZA</v>
          </cell>
          <cell r="B7478" t="str">
            <v>SMT</v>
          </cell>
        </row>
        <row r="7479">
          <cell r="A7479" t="str">
            <v>PULB1124ZA/X1</v>
          </cell>
          <cell r="B7479" t="str">
            <v>SMT</v>
          </cell>
        </row>
        <row r="7480">
          <cell r="A7480" t="str">
            <v>2RE1LP407ZA</v>
          </cell>
          <cell r="B7480" t="str">
            <v>SMT</v>
          </cell>
        </row>
        <row r="7481">
          <cell r="A7481" t="str">
            <v>1CM1ARBPC1A09985</v>
          </cell>
          <cell r="B7481" t="str">
            <v>SMT</v>
          </cell>
          <cell r="E7481">
            <v>8210</v>
          </cell>
          <cell r="F7481" t="str">
            <v>V501</v>
          </cell>
          <cell r="G7481" t="str">
            <v>Auto</v>
          </cell>
          <cell r="H7481">
            <v>311</v>
          </cell>
          <cell r="I7481">
            <v>8210</v>
          </cell>
          <cell r="J7481">
            <v>8220</v>
          </cell>
          <cell r="K7481" t="str">
            <v>V501</v>
          </cell>
        </row>
        <row r="7482">
          <cell r="A7482" t="str">
            <v>1RH1ARBPC1A09985</v>
          </cell>
          <cell r="B7482" t="str">
            <v>SMT</v>
          </cell>
        </row>
        <row r="7483">
          <cell r="A7483" t="str">
            <v>1AE1ARBPC1A09985</v>
          </cell>
          <cell r="B7483" t="str">
            <v>SMT</v>
          </cell>
        </row>
        <row r="7484">
          <cell r="A7484" t="str">
            <v>1RE1ARBPC1A09985</v>
          </cell>
          <cell r="B7484" t="str">
            <v>SMT</v>
          </cell>
        </row>
        <row r="7485">
          <cell r="A7485" t="str">
            <v>1RE1DVLB1208ZA</v>
          </cell>
          <cell r="B7485" t="str">
            <v>SMT</v>
          </cell>
        </row>
        <row r="7486">
          <cell r="A7486" t="str">
            <v>1RE1DVLB1609ZB</v>
          </cell>
          <cell r="B7486" t="str">
            <v>SMT</v>
          </cell>
        </row>
        <row r="7487">
          <cell r="A7487" t="str">
            <v>1RE1DVLB1645YA</v>
          </cell>
          <cell r="B7487" t="str">
            <v>SMT</v>
          </cell>
        </row>
        <row r="7488">
          <cell r="A7488" t="str">
            <v>1RE1DVLB1835ZA</v>
          </cell>
          <cell r="B7488" t="str">
            <v>SMT</v>
          </cell>
        </row>
        <row r="7489">
          <cell r="A7489" t="str">
            <v>1RE1DVLB1991ZA</v>
          </cell>
          <cell r="B7489" t="str">
            <v>SMT</v>
          </cell>
        </row>
        <row r="7490">
          <cell r="A7490" t="str">
            <v>1RE2DVLB1208ZA</v>
          </cell>
          <cell r="B7490" t="str">
            <v>SMT</v>
          </cell>
        </row>
        <row r="7491">
          <cell r="A7491" t="str">
            <v>1RE2DVLB1609ZB</v>
          </cell>
          <cell r="B7491" t="str">
            <v>SMT</v>
          </cell>
        </row>
        <row r="7492">
          <cell r="A7492" t="str">
            <v>1RE2DVLB1645YA</v>
          </cell>
          <cell r="B7492" t="str">
            <v>SMT</v>
          </cell>
        </row>
        <row r="7493">
          <cell r="A7493" t="str">
            <v>1RE2DVLB1835ZA</v>
          </cell>
          <cell r="B7493" t="str">
            <v>SMT</v>
          </cell>
        </row>
        <row r="7494">
          <cell r="A7494" t="str">
            <v>1RE2DVLB1991ZA</v>
          </cell>
          <cell r="B7494" t="str">
            <v>SMT</v>
          </cell>
        </row>
        <row r="7495">
          <cell r="A7495" t="str">
            <v>DVLB1208ZA/X1</v>
          </cell>
          <cell r="B7495" t="str">
            <v>SMT</v>
          </cell>
        </row>
        <row r="7496">
          <cell r="A7496" t="str">
            <v>DVLB1609ZB/X1</v>
          </cell>
          <cell r="B7496" t="str">
            <v>SMT</v>
          </cell>
        </row>
        <row r="7497">
          <cell r="A7497" t="str">
            <v>DVLB1645ZB/X1</v>
          </cell>
          <cell r="B7497" t="str">
            <v>SMT</v>
          </cell>
        </row>
        <row r="7498">
          <cell r="A7498" t="str">
            <v>DVLB1835ZA/X1</v>
          </cell>
          <cell r="B7498" t="str">
            <v>SMT</v>
          </cell>
        </row>
        <row r="7499">
          <cell r="A7499" t="str">
            <v>DVLB1991ZA/X1</v>
          </cell>
          <cell r="B7499" t="str">
            <v>SMT</v>
          </cell>
        </row>
        <row r="7500">
          <cell r="A7500" t="str">
            <v>1AE1ART003T00400</v>
          </cell>
          <cell r="B7500" t="str">
            <v>SMT</v>
          </cell>
        </row>
        <row r="7501">
          <cell r="A7501" t="str">
            <v>1RH1ART003T00400</v>
          </cell>
          <cell r="B7501" t="str">
            <v>SMT</v>
          </cell>
        </row>
        <row r="7502">
          <cell r="A7502" t="str">
            <v>1RE1ART003T00400</v>
          </cell>
          <cell r="B7502" t="str">
            <v>SMT</v>
          </cell>
        </row>
        <row r="7503">
          <cell r="A7503" t="str">
            <v>1CM1ART003T00400</v>
          </cell>
          <cell r="B7503" t="str">
            <v>SMT</v>
          </cell>
          <cell r="E7503">
            <v>8210</v>
          </cell>
          <cell r="F7503" t="str">
            <v>V501</v>
          </cell>
          <cell r="G7503" t="str">
            <v>Auto</v>
          </cell>
          <cell r="H7503">
            <v>311</v>
          </cell>
          <cell r="I7503">
            <v>8210</v>
          </cell>
          <cell r="J7503">
            <v>8220</v>
          </cell>
          <cell r="K7503" t="str">
            <v>V501</v>
          </cell>
        </row>
        <row r="7504">
          <cell r="A7504" t="str">
            <v>1AE1H603L6P11AP1</v>
          </cell>
          <cell r="B7504" t="str">
            <v>SMT</v>
          </cell>
        </row>
        <row r="7505">
          <cell r="A7505" t="str">
            <v>H62606P01AP</v>
          </cell>
          <cell r="B7505" t="str">
            <v>SMT</v>
          </cell>
        </row>
        <row r="7506">
          <cell r="A7506" t="str">
            <v>1RE1ART003T00400</v>
          </cell>
          <cell r="B7506" t="str">
            <v>SMT</v>
          </cell>
        </row>
        <row r="7507">
          <cell r="A7507" t="str">
            <v>1RH1ART003T00400</v>
          </cell>
          <cell r="B7507" t="str">
            <v>SMT</v>
          </cell>
        </row>
        <row r="7508">
          <cell r="A7508" t="str">
            <v>DVLB1208ZA/X1</v>
          </cell>
          <cell r="B7508" t="str">
            <v>SMT</v>
          </cell>
        </row>
        <row r="7509">
          <cell r="A7509" t="str">
            <v>DVLB1609ZB/X1</v>
          </cell>
          <cell r="B7509" t="str">
            <v>SMT</v>
          </cell>
        </row>
        <row r="7510">
          <cell r="A7510" t="str">
            <v>DVLB1645ZB/X1</v>
          </cell>
          <cell r="B7510" t="str">
            <v>SMT</v>
          </cell>
        </row>
        <row r="7511">
          <cell r="A7511" t="str">
            <v>DVLB1835ZA/X1</v>
          </cell>
          <cell r="B7511" t="str">
            <v>SMT</v>
          </cell>
        </row>
        <row r="7512">
          <cell r="A7512" t="str">
            <v>DVLB1991ZA/X1</v>
          </cell>
          <cell r="B7512" t="str">
            <v>SMT</v>
          </cell>
        </row>
        <row r="7513">
          <cell r="A7513" t="str">
            <v>1RE1DVLB1208ZA</v>
          </cell>
          <cell r="B7513" t="str">
            <v>SMT</v>
          </cell>
        </row>
        <row r="7514">
          <cell r="A7514" t="str">
            <v>1RE1DVLB1609ZB</v>
          </cell>
          <cell r="B7514" t="str">
            <v>SMT</v>
          </cell>
        </row>
        <row r="7515">
          <cell r="A7515" t="str">
            <v>1RE1DVLB1645YA</v>
          </cell>
          <cell r="B7515" t="str">
            <v>SMT</v>
          </cell>
        </row>
        <row r="7516">
          <cell r="A7516" t="str">
            <v>1RE1DVLB1835ZA</v>
          </cell>
          <cell r="B7516" t="str">
            <v>SMT</v>
          </cell>
        </row>
        <row r="7517">
          <cell r="A7517" t="str">
            <v>1RE1DVLB1991ZA</v>
          </cell>
          <cell r="B7517" t="str">
            <v>SMT</v>
          </cell>
        </row>
        <row r="7518">
          <cell r="A7518" t="str">
            <v>1RE2DVLB1208ZA</v>
          </cell>
          <cell r="B7518" t="str">
            <v>SMT</v>
          </cell>
        </row>
        <row r="7519">
          <cell r="A7519" t="str">
            <v>1RE2DVLB1609ZB</v>
          </cell>
          <cell r="B7519" t="str">
            <v>SMT</v>
          </cell>
        </row>
        <row r="7520">
          <cell r="A7520" t="str">
            <v>1RE2DVLB1645YA</v>
          </cell>
          <cell r="B7520" t="str">
            <v>SMT</v>
          </cell>
        </row>
        <row r="7521">
          <cell r="A7521" t="str">
            <v>1RE2DVLB1835ZA</v>
          </cell>
          <cell r="B7521" t="str">
            <v>SMT</v>
          </cell>
        </row>
        <row r="7522">
          <cell r="A7522" t="str">
            <v>1RE2DVLB1991ZA</v>
          </cell>
          <cell r="B7522" t="str">
            <v>SMT</v>
          </cell>
        </row>
        <row r="7523">
          <cell r="A7523" t="str">
            <v>1AE1H603L6P11AP1</v>
          </cell>
          <cell r="B7523" t="str">
            <v>SMT</v>
          </cell>
        </row>
        <row r="7524">
          <cell r="A7524" t="str">
            <v>1CM1H603L6P11AP1</v>
          </cell>
          <cell r="B7524" t="str">
            <v>SMT</v>
          </cell>
          <cell r="E7524">
            <v>6210</v>
          </cell>
          <cell r="F7524" t="str">
            <v>VG01</v>
          </cell>
          <cell r="G7524" t="str">
            <v>Auto</v>
          </cell>
          <cell r="H7524">
            <v>311</v>
          </cell>
          <cell r="I7524">
            <v>6210</v>
          </cell>
          <cell r="J7524">
            <v>6220</v>
          </cell>
          <cell r="K7524" t="str">
            <v>VG01</v>
          </cell>
        </row>
        <row r="7525">
          <cell r="A7525" t="str">
            <v>1HT1H603L6P11AP1</v>
          </cell>
          <cell r="B7525" t="str">
            <v>SMT</v>
          </cell>
        </row>
        <row r="7526">
          <cell r="A7526" t="str">
            <v>1RH1H603L6P11AP1</v>
          </cell>
          <cell r="B7526" t="str">
            <v>SMT</v>
          </cell>
        </row>
        <row r="7527">
          <cell r="A7527" t="str">
            <v>1AE1A603L3K80TP</v>
          </cell>
          <cell r="B7527" t="str">
            <v>SMT</v>
          </cell>
        </row>
        <row r="7528">
          <cell r="A7528" t="str">
            <v>1AE1A603L3L00TP</v>
          </cell>
          <cell r="B7528" t="str">
            <v>SMT</v>
          </cell>
        </row>
        <row r="7529">
          <cell r="A7529" t="str">
            <v>1AE1F603LCE50P1S</v>
          </cell>
          <cell r="B7529" t="str">
            <v>SMT</v>
          </cell>
        </row>
        <row r="7530">
          <cell r="A7530" t="str">
            <v>1AE1F603LCE60P1S</v>
          </cell>
          <cell r="B7530" t="str">
            <v>SMT</v>
          </cell>
        </row>
        <row r="7531">
          <cell r="A7531" t="str">
            <v>1AE1H603Y3J90BP</v>
          </cell>
          <cell r="B7531" t="str">
            <v>SMT</v>
          </cell>
        </row>
        <row r="7532">
          <cell r="A7532" t="str">
            <v>1CM1A603L3K80TP</v>
          </cell>
          <cell r="B7532" t="str">
            <v>SMT</v>
          </cell>
          <cell r="E7532">
            <v>6210</v>
          </cell>
          <cell r="F7532" t="str">
            <v>VG01</v>
          </cell>
          <cell r="G7532" t="str">
            <v>Auto</v>
          </cell>
          <cell r="H7532">
            <v>311</v>
          </cell>
          <cell r="I7532">
            <v>6210</v>
          </cell>
          <cell r="J7532">
            <v>6220</v>
          </cell>
          <cell r="K7532" t="str">
            <v>VG01</v>
          </cell>
        </row>
        <row r="7533">
          <cell r="A7533" t="str">
            <v>1CM1A603L3L00TP</v>
          </cell>
          <cell r="B7533" t="str">
            <v>SMT</v>
          </cell>
          <cell r="E7533">
            <v>6210</v>
          </cell>
          <cell r="F7533" t="str">
            <v>VG01</v>
          </cell>
          <cell r="G7533" t="str">
            <v>Auto</v>
          </cell>
          <cell r="H7533">
            <v>311</v>
          </cell>
          <cell r="I7533">
            <v>6210</v>
          </cell>
          <cell r="J7533">
            <v>6220</v>
          </cell>
          <cell r="K7533" t="str">
            <v>VG01</v>
          </cell>
        </row>
        <row r="7534">
          <cell r="A7534" t="str">
            <v>1CM1F603LCE50P1S</v>
          </cell>
          <cell r="B7534" t="str">
            <v>SMT</v>
          </cell>
          <cell r="E7534">
            <v>6210</v>
          </cell>
          <cell r="F7534" t="str">
            <v>VG01</v>
          </cell>
          <cell r="G7534" t="str">
            <v>Auto</v>
          </cell>
          <cell r="H7534">
            <v>311</v>
          </cell>
          <cell r="I7534">
            <v>6210</v>
          </cell>
          <cell r="J7534">
            <v>6220</v>
          </cell>
          <cell r="K7534" t="str">
            <v>VG01</v>
          </cell>
        </row>
        <row r="7535">
          <cell r="A7535" t="str">
            <v>1CM1F603LCE60P1S</v>
          </cell>
          <cell r="B7535" t="str">
            <v>SMT</v>
          </cell>
          <cell r="E7535">
            <v>6210</v>
          </cell>
          <cell r="F7535" t="str">
            <v>VG01</v>
          </cell>
          <cell r="G7535" t="str">
            <v>Auto</v>
          </cell>
          <cell r="H7535">
            <v>311</v>
          </cell>
          <cell r="I7535">
            <v>6210</v>
          </cell>
          <cell r="J7535">
            <v>6220</v>
          </cell>
          <cell r="K7535" t="str">
            <v>VG01</v>
          </cell>
        </row>
        <row r="7536">
          <cell r="A7536" t="str">
            <v>1CM1H603Y3J90BP</v>
          </cell>
          <cell r="B7536" t="str">
            <v>SMT</v>
          </cell>
          <cell r="E7536">
            <v>6210</v>
          </cell>
          <cell r="F7536" t="str">
            <v>VG01</v>
          </cell>
          <cell r="G7536" t="str">
            <v>Auto</v>
          </cell>
          <cell r="H7536">
            <v>311</v>
          </cell>
          <cell r="I7536">
            <v>6210</v>
          </cell>
          <cell r="J7536">
            <v>6220</v>
          </cell>
          <cell r="K7536" t="str">
            <v>VG01</v>
          </cell>
        </row>
        <row r="7537">
          <cell r="A7537" t="str">
            <v>1HT1F603LCE50P1S</v>
          </cell>
          <cell r="B7537" t="str">
            <v>SMT</v>
          </cell>
        </row>
        <row r="7538">
          <cell r="A7538" t="str">
            <v>1HT1F603LCE60P1S</v>
          </cell>
          <cell r="B7538" t="str">
            <v>SMT</v>
          </cell>
        </row>
        <row r="7539">
          <cell r="A7539" t="str">
            <v>1HT1H603Y3J90BP</v>
          </cell>
          <cell r="B7539" t="str">
            <v>SMT</v>
          </cell>
        </row>
        <row r="7540">
          <cell r="A7540" t="str">
            <v>1RH1A603L3K80TP</v>
          </cell>
          <cell r="B7540" t="str">
            <v>SMT</v>
          </cell>
        </row>
        <row r="7541">
          <cell r="A7541" t="str">
            <v>1RH1A603L3L00TP</v>
          </cell>
          <cell r="B7541" t="str">
            <v>SMT</v>
          </cell>
        </row>
        <row r="7542">
          <cell r="A7542" t="str">
            <v>1RH1H603Y3J90BP</v>
          </cell>
          <cell r="B7542" t="str">
            <v>SMT</v>
          </cell>
        </row>
        <row r="7543">
          <cell r="A7543" t="str">
            <v>1TE1H603Y3J90BP</v>
          </cell>
          <cell r="B7543" t="str">
            <v>SMT</v>
          </cell>
        </row>
        <row r="7544">
          <cell r="A7544" t="str">
            <v>A62603J90BP</v>
          </cell>
          <cell r="B7544" t="str">
            <v>SMT</v>
          </cell>
        </row>
        <row r="7545">
          <cell r="A7545" t="str">
            <v>A62603J90BP</v>
          </cell>
          <cell r="B7545" t="str">
            <v>SMT</v>
          </cell>
        </row>
        <row r="7546">
          <cell r="A7546" t="str">
            <v>F62603703AEU</v>
          </cell>
          <cell r="B7546" t="str">
            <v>SMT</v>
          </cell>
        </row>
        <row r="7547">
          <cell r="A7547" t="str">
            <v>F62603703AEU</v>
          </cell>
          <cell r="B7547" t="str">
            <v>SMT</v>
          </cell>
        </row>
        <row r="7548">
          <cell r="A7548" t="str">
            <v>1CM1ARBPC1A14091</v>
          </cell>
          <cell r="B7548" t="str">
            <v>SMT</v>
          </cell>
          <cell r="E7548">
            <v>8210</v>
          </cell>
          <cell r="F7548" t="str">
            <v>V501</v>
          </cell>
          <cell r="G7548" t="str">
            <v>Auto</v>
          </cell>
          <cell r="H7548">
            <v>311</v>
          </cell>
          <cell r="I7548">
            <v>8210</v>
          </cell>
          <cell r="J7548">
            <v>8220</v>
          </cell>
          <cell r="K7548" t="str">
            <v>V501</v>
          </cell>
        </row>
        <row r="7549">
          <cell r="A7549" t="str">
            <v>1RH1ARBPC1A14091</v>
          </cell>
          <cell r="B7549" t="str">
            <v>SMT</v>
          </cell>
        </row>
        <row r="7550">
          <cell r="A7550" t="str">
            <v>1RE1ARBPC1A14091</v>
          </cell>
          <cell r="B7550" t="str">
            <v>SMT</v>
          </cell>
        </row>
        <row r="7551">
          <cell r="A7551" t="str">
            <v>1CM1A603L3K80TP</v>
          </cell>
          <cell r="B7551" t="str">
            <v>SMT</v>
          </cell>
          <cell r="E7551">
            <v>6210</v>
          </cell>
          <cell r="F7551" t="str">
            <v>VG01</v>
          </cell>
          <cell r="G7551" t="str">
            <v>Auto</v>
          </cell>
          <cell r="H7551">
            <v>311</v>
          </cell>
          <cell r="I7551">
            <v>6210</v>
          </cell>
          <cell r="J7551">
            <v>6220</v>
          </cell>
          <cell r="K7551" t="str">
            <v>VG01</v>
          </cell>
        </row>
        <row r="7552">
          <cell r="A7552" t="str">
            <v>1RH1A603L3K80TP</v>
          </cell>
          <cell r="B7552" t="str">
            <v>SMT</v>
          </cell>
        </row>
        <row r="7553">
          <cell r="A7553" t="str">
            <v>1AE1A603L3K80TP</v>
          </cell>
          <cell r="B7553" t="str">
            <v>SMT</v>
          </cell>
        </row>
        <row r="7554">
          <cell r="A7554" t="str">
            <v>1CM1A603L3L00TP</v>
          </cell>
          <cell r="B7554" t="str">
            <v>SMT</v>
          </cell>
          <cell r="E7554">
            <v>6210</v>
          </cell>
          <cell r="F7554" t="str">
            <v>VG01</v>
          </cell>
          <cell r="G7554" t="str">
            <v>Auto</v>
          </cell>
          <cell r="H7554">
            <v>311</v>
          </cell>
          <cell r="I7554">
            <v>6210</v>
          </cell>
          <cell r="J7554">
            <v>6220</v>
          </cell>
          <cell r="K7554" t="str">
            <v>VG01</v>
          </cell>
        </row>
        <row r="7555">
          <cell r="A7555" t="str">
            <v>1RH1A603L3L00TP</v>
          </cell>
          <cell r="B7555" t="str">
            <v>SMT</v>
          </cell>
        </row>
        <row r="7556">
          <cell r="A7556" t="str">
            <v>1AE1A603L3L00TP</v>
          </cell>
          <cell r="B7556" t="str">
            <v>SMT</v>
          </cell>
        </row>
        <row r="7557">
          <cell r="A7557" t="str">
            <v>1CM1F603LCE50P1S</v>
          </cell>
          <cell r="B7557" t="str">
            <v>SMT</v>
          </cell>
          <cell r="E7557">
            <v>6210</v>
          </cell>
          <cell r="F7557" t="str">
            <v>VG01</v>
          </cell>
          <cell r="G7557" t="str">
            <v>Auto</v>
          </cell>
          <cell r="H7557">
            <v>311</v>
          </cell>
          <cell r="I7557">
            <v>6210</v>
          </cell>
          <cell r="J7557">
            <v>6220</v>
          </cell>
          <cell r="K7557" t="str">
            <v>VG01</v>
          </cell>
        </row>
        <row r="7558">
          <cell r="A7558" t="str">
            <v>1RH1F603LCE50P1S</v>
          </cell>
          <cell r="B7558" t="str">
            <v>SMT</v>
          </cell>
        </row>
        <row r="7559">
          <cell r="A7559" t="str">
            <v>1AE1F603LCE50P1S</v>
          </cell>
          <cell r="B7559" t="str">
            <v>SMT</v>
          </cell>
        </row>
        <row r="7560">
          <cell r="A7560" t="str">
            <v>1HT1F603LCE50P1S</v>
          </cell>
          <cell r="B7560" t="str">
            <v>SMT</v>
          </cell>
        </row>
        <row r="7561">
          <cell r="A7561" t="str">
            <v>1CM1F603LCE60P1S</v>
          </cell>
          <cell r="B7561" t="str">
            <v>SMT</v>
          </cell>
          <cell r="E7561">
            <v>6210</v>
          </cell>
          <cell r="F7561" t="str">
            <v>VG01</v>
          </cell>
          <cell r="G7561" t="str">
            <v>Auto</v>
          </cell>
          <cell r="H7561">
            <v>311</v>
          </cell>
          <cell r="I7561">
            <v>6210</v>
          </cell>
          <cell r="J7561">
            <v>6220</v>
          </cell>
          <cell r="K7561" t="str">
            <v>VG01</v>
          </cell>
        </row>
        <row r="7562">
          <cell r="A7562" t="str">
            <v>1RH1F603LCE60P1S</v>
          </cell>
          <cell r="B7562" t="str">
            <v>SMT</v>
          </cell>
        </row>
        <row r="7563">
          <cell r="A7563" t="str">
            <v>1HT1F603LCE60P1S</v>
          </cell>
          <cell r="B7563" t="str">
            <v>SMT</v>
          </cell>
        </row>
        <row r="7564">
          <cell r="A7564" t="str">
            <v>1CM1H603Y3J90BP</v>
          </cell>
          <cell r="B7564" t="str">
            <v>SMT</v>
          </cell>
          <cell r="E7564">
            <v>6210</v>
          </cell>
          <cell r="F7564" t="str">
            <v>VG01</v>
          </cell>
          <cell r="G7564" t="str">
            <v>Auto</v>
          </cell>
          <cell r="H7564">
            <v>311</v>
          </cell>
          <cell r="I7564">
            <v>6210</v>
          </cell>
          <cell r="J7564">
            <v>6220</v>
          </cell>
          <cell r="K7564" t="str">
            <v>VG01</v>
          </cell>
        </row>
        <row r="7565">
          <cell r="A7565" t="str">
            <v>1RH1H603Y3J90BP</v>
          </cell>
          <cell r="B7565" t="str">
            <v>SMT</v>
          </cell>
        </row>
        <row r="7566">
          <cell r="A7566" t="str">
            <v>1TE1H603Y3J90BP</v>
          </cell>
          <cell r="B7566" t="str">
            <v>SMT</v>
          </cell>
        </row>
        <row r="7567">
          <cell r="A7567" t="str">
            <v>1AE1H603Y3J90BP</v>
          </cell>
          <cell r="B7567" t="str">
            <v>SMT</v>
          </cell>
        </row>
        <row r="7568">
          <cell r="A7568" t="str">
            <v>1HT1H603Y3J90BP</v>
          </cell>
          <cell r="B7568" t="str">
            <v>SMT</v>
          </cell>
        </row>
        <row r="7569">
          <cell r="A7569" t="str">
            <v>1RH1ART003T03190</v>
          </cell>
          <cell r="B7569" t="str">
            <v>SMT</v>
          </cell>
          <cell r="E7569">
            <v>8210</v>
          </cell>
          <cell r="F7569" t="str">
            <v>V501</v>
          </cell>
          <cell r="G7569" t="str">
            <v>Auto</v>
          </cell>
          <cell r="H7569">
            <v>311</v>
          </cell>
          <cell r="I7569">
            <v>8210</v>
          </cell>
          <cell r="J7569">
            <v>8220</v>
          </cell>
          <cell r="K7569" t="str">
            <v>V501</v>
          </cell>
        </row>
        <row r="7570">
          <cell r="A7570" t="str">
            <v>1AE1ART003T03190</v>
          </cell>
          <cell r="B7570" t="str">
            <v>SMT</v>
          </cell>
        </row>
        <row r="7571">
          <cell r="A7571" t="str">
            <v>1RE1ART003T03190</v>
          </cell>
          <cell r="B7571" t="str">
            <v>SMT</v>
          </cell>
        </row>
        <row r="7572">
          <cell r="A7572" t="str">
            <v>1RH1ART003T03220</v>
          </cell>
          <cell r="B7572" t="str">
            <v>SMT</v>
          </cell>
          <cell r="E7572">
            <v>8210</v>
          </cell>
          <cell r="F7572" t="str">
            <v>V501</v>
          </cell>
          <cell r="G7572" t="str">
            <v>Auto</v>
          </cell>
          <cell r="H7572">
            <v>311</v>
          </cell>
          <cell r="I7572">
            <v>8210</v>
          </cell>
          <cell r="J7572">
            <v>8220</v>
          </cell>
          <cell r="K7572" t="str">
            <v>V501</v>
          </cell>
        </row>
        <row r="7573">
          <cell r="A7573" t="str">
            <v>1AE1ART003T03220</v>
          </cell>
          <cell r="B7573" t="str">
            <v>SMT</v>
          </cell>
        </row>
        <row r="7574">
          <cell r="A7574" t="str">
            <v>1RE1ART003T03220</v>
          </cell>
          <cell r="B7574" t="str">
            <v>SMT</v>
          </cell>
        </row>
        <row r="7575">
          <cell r="A7575" t="str">
            <v>1CM1ARBPC1A14111</v>
          </cell>
          <cell r="B7575" t="str">
            <v>SMT</v>
          </cell>
          <cell r="E7575">
            <v>8210</v>
          </cell>
          <cell r="F7575" t="str">
            <v>V501</v>
          </cell>
          <cell r="G7575" t="str">
            <v>Auto</v>
          </cell>
          <cell r="H7575">
            <v>311</v>
          </cell>
          <cell r="I7575">
            <v>8210</v>
          </cell>
          <cell r="J7575">
            <v>8220</v>
          </cell>
          <cell r="K7575" t="str">
            <v>V501</v>
          </cell>
        </row>
        <row r="7576">
          <cell r="A7576" t="str">
            <v>1RH1ARBPC1A14111</v>
          </cell>
          <cell r="B7576" t="str">
            <v>SMT</v>
          </cell>
        </row>
        <row r="7577">
          <cell r="A7577" t="str">
            <v>1AE1ARBPC1A14111</v>
          </cell>
          <cell r="B7577" t="str">
            <v>SMT</v>
          </cell>
        </row>
        <row r="7578">
          <cell r="A7578" t="str">
            <v>1RE1ARBPC1A14111</v>
          </cell>
          <cell r="B7578" t="str">
            <v>SMT</v>
          </cell>
        </row>
        <row r="7579">
          <cell r="A7579" t="str">
            <v>1RE2DVLB2059ZA</v>
          </cell>
          <cell r="B7579" t="str">
            <v>SMT</v>
          </cell>
        </row>
        <row r="7580">
          <cell r="A7580" t="str">
            <v>1RE1DVLB2059ZA</v>
          </cell>
          <cell r="B7580" t="str">
            <v>SMT</v>
          </cell>
        </row>
        <row r="7581">
          <cell r="A7581" t="str">
            <v>1RE2DVLB2060ZA</v>
          </cell>
          <cell r="B7581" t="str">
            <v>SMT</v>
          </cell>
        </row>
        <row r="7582">
          <cell r="A7582" t="str">
            <v>1RE1DVLB2060ZA</v>
          </cell>
          <cell r="B7582" t="str">
            <v>SMT</v>
          </cell>
        </row>
        <row r="7583">
          <cell r="A7583" t="str">
            <v>1RE2DVLB2065ZA</v>
          </cell>
          <cell r="B7583" t="str">
            <v>SMT</v>
          </cell>
        </row>
        <row r="7584">
          <cell r="A7584" t="str">
            <v>1RE1DVLB2065ZA</v>
          </cell>
          <cell r="B7584" t="str">
            <v>SMT</v>
          </cell>
        </row>
        <row r="7585">
          <cell r="A7585" t="str">
            <v>1RE2SRB20YSZB-S1</v>
          </cell>
          <cell r="B7585" t="str">
            <v>SMT</v>
          </cell>
          <cell r="E7585">
            <v>9210</v>
          </cell>
          <cell r="F7585" t="str">
            <v>VE01</v>
          </cell>
          <cell r="G7585" t="str">
            <v>Auto</v>
          </cell>
          <cell r="H7585">
            <v>311</v>
          </cell>
          <cell r="I7585">
            <v>9210</v>
          </cell>
          <cell r="J7585">
            <v>9321</v>
          </cell>
          <cell r="K7585" t="str">
            <v>VE01</v>
          </cell>
        </row>
        <row r="7586">
          <cell r="A7586" t="str">
            <v>1RE1SRB20YSZB-S1</v>
          </cell>
          <cell r="B7586" t="str">
            <v>SMT</v>
          </cell>
        </row>
        <row r="7587">
          <cell r="A7587" t="str">
            <v>1AE1ARBPC1A14111</v>
          </cell>
          <cell r="B7587" t="str">
            <v>SMT</v>
          </cell>
        </row>
        <row r="7588">
          <cell r="A7588" t="str">
            <v>1AE1H603L6P11AP1</v>
          </cell>
          <cell r="B7588" t="str">
            <v>SMT</v>
          </cell>
        </row>
        <row r="7589">
          <cell r="A7589" t="str">
            <v>H62606P01AP</v>
          </cell>
          <cell r="B7589" t="str">
            <v>SMT</v>
          </cell>
        </row>
        <row r="7590">
          <cell r="A7590" t="str">
            <v>PULB1128YA-XM</v>
          </cell>
          <cell r="B7590" t="str">
            <v>SMT</v>
          </cell>
        </row>
        <row r="7591">
          <cell r="A7591" t="str">
            <v>5VJ1AV800ZA</v>
          </cell>
          <cell r="B7591" t="str">
            <v>SMT</v>
          </cell>
        </row>
        <row r="7592">
          <cell r="A7592" t="str">
            <v>1CM1ART002T99010</v>
          </cell>
          <cell r="B7592" t="str">
            <v>SMT</v>
          </cell>
          <cell r="E7592">
            <v>8210</v>
          </cell>
          <cell r="F7592" t="str">
            <v>V501</v>
          </cell>
          <cell r="G7592" t="str">
            <v>Auto</v>
          </cell>
          <cell r="H7592">
            <v>311</v>
          </cell>
          <cell r="I7592">
            <v>8210</v>
          </cell>
          <cell r="J7592">
            <v>8220</v>
          </cell>
          <cell r="K7592" t="str">
            <v>V501</v>
          </cell>
        </row>
        <row r="7593">
          <cell r="A7593" t="str">
            <v>1RH1ART002T99010</v>
          </cell>
          <cell r="B7593" t="str">
            <v>SMT</v>
          </cell>
        </row>
        <row r="7594">
          <cell r="A7594" t="str">
            <v>1AE1ART002T99010</v>
          </cell>
          <cell r="B7594" t="str">
            <v>SMT</v>
          </cell>
        </row>
        <row r="7595">
          <cell r="A7595" t="str">
            <v>1RE1ART002T99010</v>
          </cell>
          <cell r="B7595" t="str">
            <v>SMT</v>
          </cell>
        </row>
        <row r="7596">
          <cell r="A7596" t="str">
            <v>1CM1ART002T99020</v>
          </cell>
          <cell r="B7596" t="str">
            <v>SMT</v>
          </cell>
          <cell r="E7596">
            <v>8210</v>
          </cell>
          <cell r="F7596" t="str">
            <v>V501</v>
          </cell>
          <cell r="G7596" t="str">
            <v>Auto</v>
          </cell>
          <cell r="H7596">
            <v>311</v>
          </cell>
          <cell r="I7596">
            <v>8210</v>
          </cell>
          <cell r="J7596">
            <v>8220</v>
          </cell>
          <cell r="K7596" t="str">
            <v>V501</v>
          </cell>
        </row>
        <row r="7597">
          <cell r="A7597" t="str">
            <v>1RH1ART002T99020</v>
          </cell>
          <cell r="B7597" t="str">
            <v>SMT</v>
          </cell>
        </row>
        <row r="7598">
          <cell r="A7598" t="str">
            <v>1AE1ART002T99020</v>
          </cell>
          <cell r="B7598" t="str">
            <v>SMT</v>
          </cell>
        </row>
        <row r="7599">
          <cell r="A7599" t="str">
            <v>1RE1ART002T99020</v>
          </cell>
          <cell r="B7599" t="str">
            <v>SMT</v>
          </cell>
        </row>
        <row r="7600">
          <cell r="A7600" t="str">
            <v>1CM1ART002T99030</v>
          </cell>
          <cell r="B7600" t="str">
            <v>SMT</v>
          </cell>
          <cell r="E7600">
            <v>8210</v>
          </cell>
          <cell r="F7600" t="str">
            <v>V501</v>
          </cell>
          <cell r="G7600" t="str">
            <v>Auto</v>
          </cell>
          <cell r="H7600">
            <v>311</v>
          </cell>
          <cell r="I7600">
            <v>8210</v>
          </cell>
          <cell r="J7600">
            <v>8220</v>
          </cell>
          <cell r="K7600" t="str">
            <v>V501</v>
          </cell>
        </row>
        <row r="7601">
          <cell r="A7601" t="str">
            <v>1RH1ART002T99030</v>
          </cell>
          <cell r="B7601" t="str">
            <v>SMT</v>
          </cell>
        </row>
        <row r="7602">
          <cell r="A7602" t="str">
            <v>1AE1ART002T99030</v>
          </cell>
          <cell r="B7602" t="str">
            <v>SMT</v>
          </cell>
        </row>
        <row r="7603">
          <cell r="A7603" t="str">
            <v>1RE1ART002T99030</v>
          </cell>
          <cell r="B7603" t="str">
            <v>SMT</v>
          </cell>
        </row>
        <row r="7604">
          <cell r="A7604" t="str">
            <v>1RE1ARBP01A00963</v>
          </cell>
          <cell r="B7604" t="str">
            <v>SMT</v>
          </cell>
          <cell r="E7604">
            <v>8210</v>
          </cell>
          <cell r="F7604" t="str">
            <v>V501</v>
          </cell>
          <cell r="G7604" t="str">
            <v>Auto</v>
          </cell>
          <cell r="H7604">
            <v>311</v>
          </cell>
          <cell r="I7604">
            <v>8210</v>
          </cell>
          <cell r="J7604">
            <v>8220</v>
          </cell>
          <cell r="K7604" t="str">
            <v>V501</v>
          </cell>
        </row>
        <row r="7605">
          <cell r="A7605" t="str">
            <v>1CM1ARBPC1A11625</v>
          </cell>
          <cell r="B7605" t="str">
            <v>SMT</v>
          </cell>
          <cell r="E7605">
            <v>8210</v>
          </cell>
          <cell r="F7605" t="str">
            <v>V501</v>
          </cell>
          <cell r="G7605" t="str">
            <v>Auto</v>
          </cell>
          <cell r="H7605">
            <v>311</v>
          </cell>
          <cell r="I7605">
            <v>8210</v>
          </cell>
          <cell r="J7605">
            <v>8220</v>
          </cell>
          <cell r="K7605" t="str">
            <v>V501</v>
          </cell>
        </row>
        <row r="7606">
          <cell r="A7606" t="str">
            <v>1RH1ARBPC1A11625</v>
          </cell>
          <cell r="B7606" t="str">
            <v>SMT</v>
          </cell>
        </row>
        <row r="7607">
          <cell r="A7607" t="str">
            <v>1AE1ARBPC1A11625</v>
          </cell>
          <cell r="B7607" t="str">
            <v>SMT</v>
          </cell>
        </row>
        <row r="7608">
          <cell r="A7608" t="str">
            <v>1RE1ARBPC1A11625</v>
          </cell>
          <cell r="B7608" t="str">
            <v>SMT</v>
          </cell>
        </row>
        <row r="7609">
          <cell r="A7609" t="str">
            <v>1RH1ARBPC1A09834</v>
          </cell>
          <cell r="B7609" t="str">
            <v>SMT</v>
          </cell>
          <cell r="E7609">
            <v>8210</v>
          </cell>
          <cell r="F7609" t="str">
            <v>V501</v>
          </cell>
          <cell r="G7609" t="str">
            <v>Auto</v>
          </cell>
          <cell r="H7609">
            <v>311</v>
          </cell>
          <cell r="I7609">
            <v>8210</v>
          </cell>
          <cell r="J7609">
            <v>8220</v>
          </cell>
          <cell r="K7609" t="str">
            <v>V501</v>
          </cell>
        </row>
        <row r="7610">
          <cell r="A7610" t="str">
            <v>1AE1ARBPC1A09834</v>
          </cell>
          <cell r="B7610" t="str">
            <v>SMT</v>
          </cell>
        </row>
        <row r="7611">
          <cell r="A7611" t="str">
            <v>1RE1ARBPC1A09834</v>
          </cell>
          <cell r="B7611" t="str">
            <v>SMT</v>
          </cell>
        </row>
        <row r="7612">
          <cell r="A7612" t="str">
            <v>DVLB2065ZA/X1</v>
          </cell>
          <cell r="B7612" t="str">
            <v>SMT</v>
          </cell>
        </row>
        <row r="7613">
          <cell r="A7613" t="str">
            <v>DVLB2059ZA/X1</v>
          </cell>
          <cell r="B7613" t="str">
            <v>SMT</v>
          </cell>
        </row>
        <row r="7614">
          <cell r="A7614" t="str">
            <v>DVLB2060ZA/X1</v>
          </cell>
          <cell r="B7614" t="str">
            <v>SMT</v>
          </cell>
        </row>
        <row r="7615">
          <cell r="A7615" t="str">
            <v>1PB1DVLB1208ZA</v>
          </cell>
          <cell r="B7615" t="str">
            <v>SMT</v>
          </cell>
          <cell r="E7615">
            <v>9210</v>
          </cell>
          <cell r="F7615" t="str">
            <v>VE01</v>
          </cell>
          <cell r="G7615" t="str">
            <v>Auto</v>
          </cell>
          <cell r="H7615">
            <v>311</v>
          </cell>
          <cell r="I7615">
            <v>9210</v>
          </cell>
          <cell r="J7615">
            <v>9360</v>
          </cell>
          <cell r="K7615" t="str">
            <v>VE01</v>
          </cell>
        </row>
        <row r="7616">
          <cell r="A7616" t="str">
            <v>1PB1DVLB1609ZB</v>
          </cell>
          <cell r="B7616" t="str">
            <v>SMT</v>
          </cell>
          <cell r="E7616">
            <v>9210</v>
          </cell>
          <cell r="F7616" t="str">
            <v>VE01</v>
          </cell>
          <cell r="G7616" t="str">
            <v>Auto</v>
          </cell>
          <cell r="H7616">
            <v>311</v>
          </cell>
          <cell r="I7616">
            <v>9210</v>
          </cell>
          <cell r="J7616">
            <v>9360</v>
          </cell>
          <cell r="K7616" t="str">
            <v>VE01</v>
          </cell>
        </row>
        <row r="7617">
          <cell r="A7617" t="str">
            <v>1PB1DVLB1645YA</v>
          </cell>
          <cell r="B7617" t="str">
            <v>SMT</v>
          </cell>
          <cell r="E7617">
            <v>9210</v>
          </cell>
          <cell r="F7617" t="str">
            <v>VE01</v>
          </cell>
          <cell r="G7617" t="str">
            <v>Auto</v>
          </cell>
          <cell r="H7617">
            <v>311</v>
          </cell>
          <cell r="I7617">
            <v>9210</v>
          </cell>
          <cell r="J7617">
            <v>9360</v>
          </cell>
          <cell r="K7617" t="str">
            <v>VE01</v>
          </cell>
        </row>
        <row r="7618">
          <cell r="A7618" t="str">
            <v>1PB1DVLB1835ZA</v>
          </cell>
          <cell r="B7618" t="str">
            <v>SMT</v>
          </cell>
          <cell r="E7618">
            <v>9210</v>
          </cell>
          <cell r="F7618" t="str">
            <v>VE01</v>
          </cell>
          <cell r="G7618" t="str">
            <v>Auto</v>
          </cell>
          <cell r="H7618">
            <v>311</v>
          </cell>
          <cell r="I7618">
            <v>9210</v>
          </cell>
          <cell r="J7618">
            <v>9360</v>
          </cell>
          <cell r="K7618" t="str">
            <v>VE01</v>
          </cell>
        </row>
        <row r="7619">
          <cell r="A7619" t="str">
            <v>1PB1DVLB1991ZA</v>
          </cell>
          <cell r="B7619" t="str">
            <v>SMT</v>
          </cell>
          <cell r="E7619">
            <v>9210</v>
          </cell>
          <cell r="F7619" t="str">
            <v>VE01</v>
          </cell>
          <cell r="G7619" t="str">
            <v>Auto</v>
          </cell>
          <cell r="H7619">
            <v>311</v>
          </cell>
          <cell r="I7619">
            <v>9210</v>
          </cell>
          <cell r="J7619">
            <v>9360</v>
          </cell>
          <cell r="K7619" t="str">
            <v>VE01</v>
          </cell>
        </row>
        <row r="7620">
          <cell r="A7620" t="str">
            <v>1PB1DVLB2059ZA</v>
          </cell>
          <cell r="B7620" t="str">
            <v>SMT</v>
          </cell>
          <cell r="E7620">
            <v>9210</v>
          </cell>
          <cell r="F7620" t="str">
            <v>VE01</v>
          </cell>
          <cell r="G7620" t="str">
            <v>Auto</v>
          </cell>
          <cell r="H7620">
            <v>311</v>
          </cell>
          <cell r="I7620">
            <v>9210</v>
          </cell>
          <cell r="J7620">
            <v>9360</v>
          </cell>
          <cell r="K7620" t="str">
            <v>VE01</v>
          </cell>
        </row>
        <row r="7621">
          <cell r="A7621" t="str">
            <v>1PB1DVLB2060ZA</v>
          </cell>
          <cell r="B7621" t="str">
            <v>SMT</v>
          </cell>
          <cell r="E7621">
            <v>9210</v>
          </cell>
          <cell r="F7621" t="str">
            <v>VE01</v>
          </cell>
          <cell r="G7621" t="str">
            <v>Auto</v>
          </cell>
          <cell r="H7621">
            <v>311</v>
          </cell>
          <cell r="I7621">
            <v>9210</v>
          </cell>
          <cell r="J7621">
            <v>9360</v>
          </cell>
          <cell r="K7621" t="str">
            <v>VE01</v>
          </cell>
        </row>
        <row r="7622">
          <cell r="A7622" t="str">
            <v>1PB1DVLB2065ZA</v>
          </cell>
          <cell r="B7622" t="str">
            <v>SMT</v>
          </cell>
          <cell r="E7622">
            <v>9210</v>
          </cell>
          <cell r="F7622" t="str">
            <v>VE01</v>
          </cell>
          <cell r="G7622" t="str">
            <v>Auto</v>
          </cell>
          <cell r="H7622">
            <v>311</v>
          </cell>
          <cell r="I7622">
            <v>9210</v>
          </cell>
          <cell r="J7622">
            <v>9360</v>
          </cell>
          <cell r="K7622" t="str">
            <v>VE01</v>
          </cell>
        </row>
        <row r="7623">
          <cell r="A7623" t="str">
            <v>1CM1H603Y3L20EP-FE</v>
          </cell>
          <cell r="B7623" t="str">
            <v>SMT</v>
          </cell>
          <cell r="E7623">
            <v>6210</v>
          </cell>
          <cell r="F7623" t="str">
            <v>VG01</v>
          </cell>
          <cell r="G7623" t="str">
            <v>Auto</v>
          </cell>
          <cell r="H7623">
            <v>311</v>
          </cell>
          <cell r="I7623">
            <v>6210</v>
          </cell>
          <cell r="J7623">
            <v>6220</v>
          </cell>
          <cell r="K7623" t="str">
            <v>VG01</v>
          </cell>
        </row>
        <row r="7624">
          <cell r="A7624" t="str">
            <v>1RH1H603Y3L20EP-FE</v>
          </cell>
          <cell r="B7624" t="str">
            <v>SMT</v>
          </cell>
        </row>
        <row r="7625">
          <cell r="A7625" t="str">
            <v>1TE1H603Y3L20EP-FE</v>
          </cell>
          <cell r="B7625" t="str">
            <v>SMT</v>
          </cell>
        </row>
        <row r="7626">
          <cell r="A7626" t="str">
            <v>1AE1H603Y3L20EP-FE</v>
          </cell>
          <cell r="B7626" t="str">
            <v>SMT</v>
          </cell>
        </row>
        <row r="7627">
          <cell r="A7627" t="str">
            <v>1HT1H603Y3L20EP-FE</v>
          </cell>
          <cell r="B7627" t="str">
            <v>SMT</v>
          </cell>
        </row>
        <row r="7628">
          <cell r="A7628" t="str">
            <v>H65553J91BP</v>
          </cell>
          <cell r="B7628" t="str">
            <v>SMT</v>
          </cell>
        </row>
        <row r="7629">
          <cell r="A7629" t="str">
            <v>1CM1H603Y3L40AP-FE</v>
          </cell>
          <cell r="B7629" t="str">
            <v>SMT</v>
          </cell>
          <cell r="E7629">
            <v>6210</v>
          </cell>
          <cell r="F7629" t="str">
            <v>VG01</v>
          </cell>
          <cell r="G7629" t="str">
            <v>Auto</v>
          </cell>
          <cell r="H7629">
            <v>311</v>
          </cell>
          <cell r="I7629">
            <v>6210</v>
          </cell>
          <cell r="J7629">
            <v>6220</v>
          </cell>
          <cell r="K7629" t="str">
            <v>VG01</v>
          </cell>
        </row>
        <row r="7630">
          <cell r="A7630" t="str">
            <v>1RH1H603Y3L40AP-FE</v>
          </cell>
          <cell r="B7630" t="str">
            <v>SMT</v>
          </cell>
        </row>
        <row r="7631">
          <cell r="A7631" t="str">
            <v>1TE1H603Y3L40AP-FE</v>
          </cell>
          <cell r="B7631" t="str">
            <v>SMT</v>
          </cell>
        </row>
        <row r="7632">
          <cell r="A7632" t="str">
            <v>1AE1H603Y3L40AP-FE</v>
          </cell>
          <cell r="B7632" t="str">
            <v>SMT</v>
          </cell>
        </row>
        <row r="7633">
          <cell r="A7633" t="str">
            <v>1HT1H603Y3L40AP-FE</v>
          </cell>
          <cell r="B7633" t="str">
            <v>SMT</v>
          </cell>
        </row>
        <row r="7634">
          <cell r="A7634" t="str">
            <v>H65553J91BP</v>
          </cell>
          <cell r="B7634" t="str">
            <v>SMT</v>
          </cell>
        </row>
        <row r="7635">
          <cell r="A7635" t="str">
            <v>1CM1H603Y3L60AP-FE</v>
          </cell>
          <cell r="B7635" t="str">
            <v>SMT</v>
          </cell>
          <cell r="E7635">
            <v>6210</v>
          </cell>
          <cell r="F7635" t="str">
            <v>VG01</v>
          </cell>
          <cell r="G7635" t="str">
            <v>Auto</v>
          </cell>
          <cell r="H7635">
            <v>311</v>
          </cell>
          <cell r="I7635">
            <v>6210</v>
          </cell>
          <cell r="J7635">
            <v>6220</v>
          </cell>
          <cell r="K7635" t="str">
            <v>VG01</v>
          </cell>
        </row>
        <row r="7636">
          <cell r="A7636" t="str">
            <v>1RH1H603Y3L60AP-FE</v>
          </cell>
          <cell r="B7636" t="str">
            <v>SMT</v>
          </cell>
        </row>
        <row r="7637">
          <cell r="A7637" t="str">
            <v>1TE1H603Y3L60AP-FE</v>
          </cell>
          <cell r="B7637" t="str">
            <v>SMT</v>
          </cell>
        </row>
        <row r="7638">
          <cell r="A7638" t="str">
            <v>1AE1H603Y3L60AP-FE</v>
          </cell>
          <cell r="B7638" t="str">
            <v>SMT</v>
          </cell>
        </row>
        <row r="7639">
          <cell r="A7639" t="str">
            <v>1HT1H603Y3L60AP-FE</v>
          </cell>
          <cell r="B7639" t="str">
            <v>SMT</v>
          </cell>
        </row>
        <row r="7640">
          <cell r="A7640" t="str">
            <v>H65553J91BP</v>
          </cell>
          <cell r="B7640" t="str">
            <v>SMT</v>
          </cell>
        </row>
        <row r="7641">
          <cell r="A7641" t="str">
            <v>1CM1H608E3K70BP</v>
          </cell>
          <cell r="B7641" t="str">
            <v>SMT</v>
          </cell>
          <cell r="E7641">
            <v>6210</v>
          </cell>
          <cell r="F7641" t="str">
            <v>VG01</v>
          </cell>
          <cell r="G7641" t="str">
            <v>Auto</v>
          </cell>
          <cell r="H7641">
            <v>311</v>
          </cell>
          <cell r="I7641">
            <v>6210</v>
          </cell>
          <cell r="J7641">
            <v>6220</v>
          </cell>
          <cell r="K7641" t="str">
            <v>VG01</v>
          </cell>
        </row>
        <row r="7642">
          <cell r="A7642" t="str">
            <v>1RH1H608E3K70BP</v>
          </cell>
          <cell r="B7642" t="str">
            <v>SMT</v>
          </cell>
        </row>
        <row r="7643">
          <cell r="A7643" t="str">
            <v>1HT1H608E3K70BP</v>
          </cell>
          <cell r="B7643" t="str">
            <v>SMT</v>
          </cell>
        </row>
        <row r="7644">
          <cell r="A7644" t="str">
            <v>H67493K70BP</v>
          </cell>
          <cell r="B7644" t="str">
            <v>SMT</v>
          </cell>
        </row>
        <row r="7645">
          <cell r="A7645" t="str">
            <v>H67493K70BP</v>
          </cell>
          <cell r="B7645" t="str">
            <v>SMT</v>
          </cell>
        </row>
        <row r="7646">
          <cell r="A7646" t="str">
            <v>1HT1H608E3L60AP-FE</v>
          </cell>
          <cell r="B7646" t="str">
            <v>SMT</v>
          </cell>
        </row>
        <row r="7647">
          <cell r="A7647" t="str">
            <v>1RH1H608E3L60AP-FE</v>
          </cell>
          <cell r="B7647" t="str">
            <v>SMT</v>
          </cell>
        </row>
        <row r="7648">
          <cell r="A7648" t="str">
            <v>1RH1ART003T03140</v>
          </cell>
          <cell r="B7648" t="str">
            <v>SMT</v>
          </cell>
        </row>
        <row r="7649">
          <cell r="A7649" t="str">
            <v>1RH1ART003T03110</v>
          </cell>
          <cell r="B7649" t="str">
            <v>SMT</v>
          </cell>
        </row>
        <row r="7650">
          <cell r="A7650" t="str">
            <v>1RE1ART003T03140</v>
          </cell>
          <cell r="B7650" t="str">
            <v>SMT</v>
          </cell>
        </row>
        <row r="7651">
          <cell r="A7651" t="str">
            <v>1RE1ART003T03110</v>
          </cell>
          <cell r="B7651" t="str">
            <v>SMT</v>
          </cell>
        </row>
        <row r="7652">
          <cell r="A7652" t="str">
            <v>1CM1ART003T03140</v>
          </cell>
          <cell r="B7652" t="str">
            <v>SMT</v>
          </cell>
          <cell r="E7652">
            <v>8210</v>
          </cell>
          <cell r="F7652" t="str">
            <v>V501</v>
          </cell>
          <cell r="G7652" t="str">
            <v>Auto</v>
          </cell>
          <cell r="H7652">
            <v>311</v>
          </cell>
          <cell r="I7652">
            <v>8210</v>
          </cell>
          <cell r="J7652">
            <v>8220</v>
          </cell>
          <cell r="K7652" t="str">
            <v>V501</v>
          </cell>
        </row>
        <row r="7653">
          <cell r="A7653" t="str">
            <v>1CM1ART003T03110</v>
          </cell>
          <cell r="B7653" t="str">
            <v>SMT</v>
          </cell>
          <cell r="E7653">
            <v>8210</v>
          </cell>
          <cell r="F7653" t="str">
            <v>V501</v>
          </cell>
          <cell r="G7653" t="str">
            <v>Auto</v>
          </cell>
          <cell r="H7653">
            <v>311</v>
          </cell>
          <cell r="I7653">
            <v>8210</v>
          </cell>
          <cell r="J7653">
            <v>8220</v>
          </cell>
          <cell r="K7653" t="str">
            <v>V501</v>
          </cell>
        </row>
        <row r="7654">
          <cell r="A7654" t="str">
            <v>H67493K70BP</v>
          </cell>
          <cell r="B7654" t="str">
            <v>SMT</v>
          </cell>
        </row>
        <row r="7655">
          <cell r="A7655" t="str">
            <v>1HT1H608E3L60AP-FE</v>
          </cell>
          <cell r="B7655" t="str">
            <v>SMT</v>
          </cell>
        </row>
        <row r="7656">
          <cell r="A7656" t="str">
            <v>1RH1H608E3L60AP-FE</v>
          </cell>
          <cell r="B7656" t="str">
            <v>SMT</v>
          </cell>
        </row>
        <row r="7657">
          <cell r="A7657" t="str">
            <v>1CM1H608E3L60AP-FE</v>
          </cell>
          <cell r="B7657" t="str">
            <v>SMT</v>
          </cell>
          <cell r="E7657">
            <v>6210</v>
          </cell>
          <cell r="F7657" t="str">
            <v>VG01</v>
          </cell>
          <cell r="G7657" t="str">
            <v>Auto</v>
          </cell>
          <cell r="H7657">
            <v>311</v>
          </cell>
          <cell r="I7657">
            <v>6210</v>
          </cell>
          <cell r="J7657">
            <v>6220</v>
          </cell>
          <cell r="K7657" t="str">
            <v>VG01</v>
          </cell>
        </row>
        <row r="7658">
          <cell r="A7658" t="str">
            <v>1CM1H603Y-3K21</v>
          </cell>
          <cell r="B7658" t="str">
            <v>SMT</v>
          </cell>
          <cell r="E7658">
            <v>6210</v>
          </cell>
          <cell r="F7658" t="str">
            <v>VG01</v>
          </cell>
          <cell r="G7658" t="str">
            <v>Auto</v>
          </cell>
          <cell r="H7658">
            <v>311</v>
          </cell>
          <cell r="I7658">
            <v>6210</v>
          </cell>
          <cell r="J7658">
            <v>6220</v>
          </cell>
          <cell r="K7658" t="str">
            <v>VG01</v>
          </cell>
        </row>
        <row r="7659">
          <cell r="A7659" t="str">
            <v>1RH1H603Y-3K21</v>
          </cell>
          <cell r="B7659" t="str">
            <v>SMT</v>
          </cell>
        </row>
        <row r="7660">
          <cell r="A7660" t="str">
            <v>1TE1H603Y-3K21</v>
          </cell>
          <cell r="B7660" t="str">
            <v>SMT</v>
          </cell>
        </row>
        <row r="7661">
          <cell r="A7661" t="str">
            <v>1AE1H603Y-3K21</v>
          </cell>
          <cell r="B7661" t="str">
            <v>SMT</v>
          </cell>
        </row>
        <row r="7662">
          <cell r="A7662" t="str">
            <v>1HT1H603Y-3K21</v>
          </cell>
          <cell r="B7662" t="str">
            <v>SMT</v>
          </cell>
        </row>
        <row r="7663">
          <cell r="A7663" t="str">
            <v>H6555-3K21</v>
          </cell>
          <cell r="B7663" t="str">
            <v>SMT</v>
          </cell>
        </row>
        <row r="7664">
          <cell r="A7664" t="str">
            <v>1CM1H603Y3K21BP</v>
          </cell>
          <cell r="B7664" t="str">
            <v>SMT</v>
          </cell>
          <cell r="E7664">
            <v>6210</v>
          </cell>
          <cell r="F7664" t="str">
            <v>VG01</v>
          </cell>
          <cell r="G7664" t="str">
            <v>Auto</v>
          </cell>
          <cell r="H7664">
            <v>311</v>
          </cell>
          <cell r="I7664">
            <v>6210</v>
          </cell>
          <cell r="J7664">
            <v>6220</v>
          </cell>
          <cell r="K7664" t="str">
            <v>VG01</v>
          </cell>
        </row>
        <row r="7665">
          <cell r="A7665" t="str">
            <v>1RH1H603Y3K21BP</v>
          </cell>
          <cell r="B7665" t="str">
            <v>SMT</v>
          </cell>
        </row>
        <row r="7666">
          <cell r="A7666" t="str">
            <v>1TE1H603Y3K21BP</v>
          </cell>
          <cell r="B7666" t="str">
            <v>SMT</v>
          </cell>
        </row>
        <row r="7667">
          <cell r="A7667" t="str">
            <v>1AE1H603Y3K21BP</v>
          </cell>
          <cell r="B7667" t="str">
            <v>SMT</v>
          </cell>
        </row>
        <row r="7668">
          <cell r="A7668" t="str">
            <v>1HT1H603Y3K21BP</v>
          </cell>
          <cell r="B7668" t="str">
            <v>SMT</v>
          </cell>
        </row>
        <row r="7669">
          <cell r="A7669" t="str">
            <v>1CM1H603Y3K21P2</v>
          </cell>
          <cell r="B7669" t="str">
            <v>SMT</v>
          </cell>
          <cell r="E7669">
            <v>6210</v>
          </cell>
          <cell r="F7669" t="str">
            <v>VG01</v>
          </cell>
          <cell r="G7669" t="str">
            <v>Auto</v>
          </cell>
          <cell r="H7669">
            <v>311</v>
          </cell>
          <cell r="I7669">
            <v>6210</v>
          </cell>
          <cell r="J7669">
            <v>6220</v>
          </cell>
          <cell r="K7669" t="str">
            <v>VG01</v>
          </cell>
        </row>
        <row r="7670">
          <cell r="A7670" t="str">
            <v>1RH1H603Y3K21P2</v>
          </cell>
          <cell r="B7670" t="str">
            <v>SMT</v>
          </cell>
        </row>
        <row r="7671">
          <cell r="A7671" t="str">
            <v>1TE1H603Y3K21P2</v>
          </cell>
          <cell r="B7671" t="str">
            <v>SMT</v>
          </cell>
        </row>
        <row r="7672">
          <cell r="A7672" t="str">
            <v>1AE1H603Y3K21P2</v>
          </cell>
          <cell r="B7672" t="str">
            <v>SMT</v>
          </cell>
        </row>
        <row r="7673">
          <cell r="A7673" t="str">
            <v>1HT1H603Y3K21P2</v>
          </cell>
          <cell r="B7673" t="str">
            <v>SMT</v>
          </cell>
        </row>
        <row r="7674">
          <cell r="A7674" t="str">
            <v>1RH1ARBP01A00351-1</v>
          </cell>
          <cell r="B7674" t="str">
            <v>SMT</v>
          </cell>
          <cell r="E7674">
            <v>8210</v>
          </cell>
          <cell r="F7674" t="str">
            <v>V501</v>
          </cell>
          <cell r="G7674" t="str">
            <v>Auto</v>
          </cell>
          <cell r="H7674">
            <v>311</v>
          </cell>
          <cell r="I7674">
            <v>8210</v>
          </cell>
          <cell r="J7674">
            <v>8220</v>
          </cell>
          <cell r="K7674" t="str">
            <v>V501</v>
          </cell>
        </row>
        <row r="7675">
          <cell r="A7675" t="str">
            <v>1CM1ARBP01A00351-1</v>
          </cell>
          <cell r="B7675" t="str">
            <v>SMT</v>
          </cell>
        </row>
        <row r="7676">
          <cell r="A7676" t="str">
            <v>1AE1ARBP01A00351-1</v>
          </cell>
          <cell r="B7676" t="str">
            <v>SMT</v>
          </cell>
        </row>
        <row r="7677">
          <cell r="A7677" t="str">
            <v>DVLB1613ZA/X1</v>
          </cell>
          <cell r="B7677" t="str">
            <v>SMT</v>
          </cell>
        </row>
        <row r="7678">
          <cell r="A7678" t="str">
            <v>DVLB1731ZA/X1</v>
          </cell>
          <cell r="B7678" t="str">
            <v>SMT</v>
          </cell>
        </row>
        <row r="7679">
          <cell r="A7679" t="str">
            <v>DVVP1217ZA/X1</v>
          </cell>
          <cell r="B7679" t="str">
            <v>SMT</v>
          </cell>
        </row>
        <row r="7680">
          <cell r="A7680" t="str">
            <v>DVVP1212ZA/X1</v>
          </cell>
          <cell r="B7680" t="str">
            <v>SMT</v>
          </cell>
        </row>
        <row r="7681">
          <cell r="A7681" t="str">
            <v>DVLB1855ZB/X1</v>
          </cell>
          <cell r="B7681" t="str">
            <v>SMT</v>
          </cell>
        </row>
        <row r="7682">
          <cell r="A7682" t="str">
            <v>DVLB1855ZB/X1</v>
          </cell>
          <cell r="B7682" t="str">
            <v>SMT</v>
          </cell>
        </row>
        <row r="7683">
          <cell r="A7683" t="str">
            <v>DVVP1193ZA/X1</v>
          </cell>
          <cell r="B7683" t="str">
            <v>SMT</v>
          </cell>
        </row>
        <row r="7684">
          <cell r="A7684" t="str">
            <v>DVLB2021ZB/X1</v>
          </cell>
          <cell r="B7684" t="str">
            <v>SMT</v>
          </cell>
        </row>
        <row r="7685">
          <cell r="A7685" t="str">
            <v>DVVP1151ZA/X1</v>
          </cell>
          <cell r="B7685" t="str">
            <v>SMT</v>
          </cell>
        </row>
        <row r="7686">
          <cell r="A7686" t="str">
            <v>DVVP1216ZA/X1</v>
          </cell>
          <cell r="B7686" t="str">
            <v>SMT</v>
          </cell>
        </row>
        <row r="7687">
          <cell r="A7687" t="str">
            <v>DVLB1916ZB/X1</v>
          </cell>
          <cell r="B7687" t="str">
            <v>SMT</v>
          </cell>
        </row>
        <row r="7688">
          <cell r="A7688" t="str">
            <v>DVVP1222ZA/X1</v>
          </cell>
          <cell r="B7688" t="str">
            <v>SMT</v>
          </cell>
        </row>
        <row r="7689">
          <cell r="A7689" t="str">
            <v>DVLD1475ZA/X1</v>
          </cell>
          <cell r="B7689" t="str">
            <v>SMT</v>
          </cell>
        </row>
        <row r="7690">
          <cell r="A7690" t="str">
            <v>1VL1DVLB2029ZA</v>
          </cell>
          <cell r="B7690" t="str">
            <v>SMT</v>
          </cell>
        </row>
        <row r="7691">
          <cell r="A7691" t="str">
            <v>1VL1DVLB1855YA</v>
          </cell>
          <cell r="B7691" t="str">
            <v>SMT</v>
          </cell>
        </row>
        <row r="7692">
          <cell r="A7692" t="str">
            <v>1VL1DVLB1855ZA</v>
          </cell>
          <cell r="B7692" t="str">
            <v>SMT</v>
          </cell>
        </row>
        <row r="7693">
          <cell r="A7693" t="str">
            <v>1VL1DVLB1972ZA</v>
          </cell>
          <cell r="B7693" t="str">
            <v>SMT</v>
          </cell>
        </row>
        <row r="7694">
          <cell r="A7694" t="str">
            <v>1VL1DVLB2021ZA</v>
          </cell>
          <cell r="B7694" t="str">
            <v>SMT</v>
          </cell>
        </row>
        <row r="7695">
          <cell r="A7695" t="str">
            <v>1VL1DVLB1916ZA</v>
          </cell>
          <cell r="B7695" t="str">
            <v>SMT</v>
          </cell>
        </row>
        <row r="7696">
          <cell r="A7696" t="str">
            <v>1VL1DVLB2082ZA</v>
          </cell>
          <cell r="B7696" t="str">
            <v>SMT</v>
          </cell>
        </row>
        <row r="7697">
          <cell r="A7697" t="str">
            <v>1RE1DVLB1613ZA</v>
          </cell>
          <cell r="B7697" t="str">
            <v>SMT</v>
          </cell>
        </row>
        <row r="7698">
          <cell r="A7698" t="str">
            <v>1RE1DVLB1731ZA</v>
          </cell>
          <cell r="B7698" t="str">
            <v>SMT</v>
          </cell>
        </row>
        <row r="7699">
          <cell r="A7699" t="str">
            <v>1RE1DVLB2029ZA</v>
          </cell>
          <cell r="B7699" t="str">
            <v>SMT</v>
          </cell>
        </row>
        <row r="7700">
          <cell r="A7700" t="str">
            <v>1RE2DVLB2029ZA</v>
          </cell>
          <cell r="B7700" t="str">
            <v>SMT</v>
          </cell>
        </row>
        <row r="7701">
          <cell r="A7701" t="str">
            <v>1RE1DVLB1855YB</v>
          </cell>
          <cell r="B7701" t="str">
            <v>SMT</v>
          </cell>
        </row>
        <row r="7702">
          <cell r="A7702" t="str">
            <v>1RE2DVLB1855YB</v>
          </cell>
          <cell r="B7702" t="str">
            <v>SMT</v>
          </cell>
        </row>
        <row r="7703">
          <cell r="A7703" t="str">
            <v>1RE1DVLB2052YA</v>
          </cell>
          <cell r="B7703" t="str">
            <v>SMT</v>
          </cell>
        </row>
        <row r="7704">
          <cell r="A7704" t="str">
            <v>1RE2DVLB2052YA</v>
          </cell>
          <cell r="B7704" t="str">
            <v>SMT</v>
          </cell>
        </row>
        <row r="7705">
          <cell r="A7705" t="str">
            <v>1RE1DVLB1855ZB</v>
          </cell>
          <cell r="B7705" t="str">
            <v>SMT</v>
          </cell>
        </row>
        <row r="7706">
          <cell r="A7706" t="str">
            <v>1RE2DVLB1855ZB</v>
          </cell>
          <cell r="B7706" t="str">
            <v>SMT</v>
          </cell>
        </row>
        <row r="7707">
          <cell r="A7707" t="str">
            <v>1RE1DVLB1972ZA</v>
          </cell>
          <cell r="B7707" t="str">
            <v>SMT</v>
          </cell>
        </row>
        <row r="7708">
          <cell r="A7708" t="str">
            <v>1RE1DVLB2021ZA</v>
          </cell>
          <cell r="B7708" t="str">
            <v>SMT</v>
          </cell>
        </row>
        <row r="7709">
          <cell r="A7709" t="str">
            <v>1RE2DVLB1972ZA</v>
          </cell>
          <cell r="B7709" t="str">
            <v>SMT</v>
          </cell>
        </row>
        <row r="7710">
          <cell r="A7710" t="str">
            <v>1RE2DVLB2021ZA</v>
          </cell>
          <cell r="B7710" t="str">
            <v>SMT</v>
          </cell>
        </row>
        <row r="7711">
          <cell r="A7711" t="str">
            <v>1RE1DVLB2061ZA</v>
          </cell>
          <cell r="B7711" t="str">
            <v>SMT</v>
          </cell>
        </row>
        <row r="7712">
          <cell r="A7712" t="str">
            <v>1RE2DVLB2061ZA</v>
          </cell>
          <cell r="B7712" t="str">
            <v>SMT</v>
          </cell>
        </row>
        <row r="7713">
          <cell r="A7713" t="str">
            <v>1RE1DVLB1738ZA</v>
          </cell>
          <cell r="B7713" t="str">
            <v>SMT</v>
          </cell>
        </row>
        <row r="7714">
          <cell r="A7714" t="str">
            <v>1RE1DVLB1916ZA</v>
          </cell>
          <cell r="B7714" t="str">
            <v>SMT</v>
          </cell>
        </row>
        <row r="7715">
          <cell r="A7715" t="str">
            <v>1RE2DVLB1916ZA</v>
          </cell>
          <cell r="B7715" t="str">
            <v>SMT</v>
          </cell>
        </row>
        <row r="7716">
          <cell r="A7716" t="str">
            <v>1RE1DVLB2082ZA</v>
          </cell>
          <cell r="B7716" t="str">
            <v>SMT</v>
          </cell>
        </row>
        <row r="7717">
          <cell r="A7717" t="str">
            <v>1RE2DVLB2082ZA</v>
          </cell>
          <cell r="B7717" t="str">
            <v>SMT</v>
          </cell>
        </row>
        <row r="7718">
          <cell r="A7718" t="str">
            <v>1RE1DVLD1475ZA</v>
          </cell>
          <cell r="B7718" t="str">
            <v>SMT</v>
          </cell>
        </row>
        <row r="7719">
          <cell r="A7719" t="str">
            <v>SEA1006AFZ</v>
          </cell>
          <cell r="B7719" t="str">
            <v>SMT</v>
          </cell>
        </row>
        <row r="7720">
          <cell r="A7720" t="str">
            <v>1CM1H603L-3L10-FE</v>
          </cell>
          <cell r="B7720" t="str">
            <v>SMT</v>
          </cell>
          <cell r="E7720">
            <v>6210</v>
          </cell>
          <cell r="F7720" t="str">
            <v>VG01</v>
          </cell>
          <cell r="G7720" t="str">
            <v>Auto</v>
          </cell>
          <cell r="H7720">
            <v>311</v>
          </cell>
          <cell r="I7720">
            <v>6210</v>
          </cell>
          <cell r="J7720">
            <v>6220</v>
          </cell>
          <cell r="K7720" t="str">
            <v>VG01</v>
          </cell>
        </row>
        <row r="7721">
          <cell r="A7721" t="str">
            <v>1RH1H603L-3L10-FE</v>
          </cell>
          <cell r="B7721" t="str">
            <v>SMT</v>
          </cell>
        </row>
        <row r="7722">
          <cell r="A7722" t="str">
            <v>1TE1H603L-3L10-FE</v>
          </cell>
          <cell r="B7722" t="str">
            <v>SMT</v>
          </cell>
        </row>
        <row r="7723">
          <cell r="A7723" t="str">
            <v>1AE1H603L-3L10-FE</v>
          </cell>
          <cell r="B7723" t="str">
            <v>SMT</v>
          </cell>
        </row>
        <row r="7724">
          <cell r="A7724" t="str">
            <v>1HT1H603L-3L10-FE</v>
          </cell>
          <cell r="B7724" t="str">
            <v>SMT</v>
          </cell>
        </row>
        <row r="7725">
          <cell r="A7725" t="str">
            <v>1CM1H603L-3L10FES</v>
          </cell>
          <cell r="B7725" t="str">
            <v>SMT</v>
          </cell>
          <cell r="E7725">
            <v>6210</v>
          </cell>
          <cell r="F7725" t="str">
            <v>VG01</v>
          </cell>
          <cell r="G7725" t="str">
            <v>Auto</v>
          </cell>
          <cell r="H7725">
            <v>311</v>
          </cell>
          <cell r="I7725">
            <v>6210</v>
          </cell>
          <cell r="J7725">
            <v>6220</v>
          </cell>
          <cell r="K7725" t="str">
            <v>VG01</v>
          </cell>
        </row>
        <row r="7726">
          <cell r="A7726" t="str">
            <v>1RH1H603L-3L10FES</v>
          </cell>
          <cell r="B7726" t="str">
            <v>SMT</v>
          </cell>
        </row>
        <row r="7727">
          <cell r="A7727" t="str">
            <v>1TE1H603L-3L10FES</v>
          </cell>
          <cell r="B7727" t="str">
            <v>SMT</v>
          </cell>
        </row>
        <row r="7728">
          <cell r="A7728" t="str">
            <v>1AE1H603L-3L10FES</v>
          </cell>
          <cell r="B7728" t="str">
            <v>SMT</v>
          </cell>
        </row>
        <row r="7729">
          <cell r="A7729" t="str">
            <v>1HT1H603L-3L10FES</v>
          </cell>
          <cell r="B7729" t="str">
            <v>SMT</v>
          </cell>
        </row>
        <row r="7730">
          <cell r="A7730" t="str">
            <v>H6260-3L10FES</v>
          </cell>
          <cell r="B7730" t="str">
            <v>SMT</v>
          </cell>
        </row>
        <row r="7731">
          <cell r="A7731" t="str">
            <v>1RE2H605Q-3L10-FE</v>
          </cell>
          <cell r="B7731" t="str">
            <v>SMT</v>
          </cell>
          <cell r="E7731">
            <v>6210</v>
          </cell>
          <cell r="F7731" t="str">
            <v>VG01</v>
          </cell>
          <cell r="G7731" t="str">
            <v>Auto</v>
          </cell>
          <cell r="H7731">
            <v>311</v>
          </cell>
          <cell r="I7731">
            <v>6210</v>
          </cell>
          <cell r="J7731">
            <v>6310</v>
          </cell>
          <cell r="K7731" t="str">
            <v>VG01</v>
          </cell>
        </row>
        <row r="7732">
          <cell r="A7732" t="str">
            <v>1RE1H605Q-3L10-FE</v>
          </cell>
          <cell r="B7732" t="str">
            <v>SMT</v>
          </cell>
        </row>
        <row r="7733">
          <cell r="A7733" t="str">
            <v>H6575-3L10</v>
          </cell>
          <cell r="B7733" t="str">
            <v>SMT</v>
          </cell>
        </row>
        <row r="7734">
          <cell r="A7734" t="str">
            <v>1RE2SAB25</v>
          </cell>
          <cell r="B7734" t="str">
            <v>SMT</v>
          </cell>
          <cell r="E7734">
            <v>9210</v>
          </cell>
          <cell r="F7734" t="str">
            <v>VE01</v>
          </cell>
          <cell r="G7734" t="str">
            <v>Auto</v>
          </cell>
          <cell r="H7734">
            <v>311</v>
          </cell>
          <cell r="I7734">
            <v>9210</v>
          </cell>
          <cell r="J7734">
            <v>9340</v>
          </cell>
          <cell r="K7734" t="str">
            <v>VE01</v>
          </cell>
        </row>
        <row r="7735">
          <cell r="A7735" t="str">
            <v>1RE1SAB25</v>
          </cell>
          <cell r="B7735" t="str">
            <v>SMT</v>
          </cell>
        </row>
        <row r="7736">
          <cell r="A7736" t="str">
            <v>1CM1H683L-3K21</v>
          </cell>
          <cell r="B7736" t="str">
            <v>SMT</v>
          </cell>
          <cell r="E7736">
            <v>6210</v>
          </cell>
          <cell r="F7736" t="str">
            <v>VG01</v>
          </cell>
          <cell r="G7736" t="str">
            <v>Auto</v>
          </cell>
          <cell r="H7736">
            <v>311</v>
          </cell>
          <cell r="I7736">
            <v>6210</v>
          </cell>
          <cell r="J7736">
            <v>6220</v>
          </cell>
          <cell r="K7736" t="str">
            <v>VG01</v>
          </cell>
        </row>
        <row r="7737">
          <cell r="A7737" t="str">
            <v>1RH1H683L-3K21</v>
          </cell>
          <cell r="B7737" t="str">
            <v>SMT</v>
          </cell>
        </row>
        <row r="7738">
          <cell r="A7738" t="str">
            <v>1TE1H683L-3K21</v>
          </cell>
          <cell r="B7738" t="str">
            <v>SMT</v>
          </cell>
        </row>
        <row r="7739">
          <cell r="A7739" t="str">
            <v>1AE1H683L-3K21</v>
          </cell>
          <cell r="B7739" t="str">
            <v>SMT</v>
          </cell>
        </row>
        <row r="7740">
          <cell r="A7740" t="str">
            <v>1HT1H683L-3K21</v>
          </cell>
          <cell r="B7740" t="str">
            <v>SMT</v>
          </cell>
        </row>
        <row r="7741">
          <cell r="A7741" t="str">
            <v>H6260-3K21</v>
          </cell>
          <cell r="B7741" t="str">
            <v>SMT</v>
          </cell>
        </row>
        <row r="7742">
          <cell r="A7742" t="str">
            <v>1RE1ARBP0DA02285</v>
          </cell>
          <cell r="B7742" t="str">
            <v>SMT</v>
          </cell>
        </row>
        <row r="7743">
          <cell r="A7743" t="str">
            <v>1RE2ARBP0DA02285</v>
          </cell>
          <cell r="B7743" t="str">
            <v>SMT</v>
          </cell>
          <cell r="E7743">
            <v>8210</v>
          </cell>
          <cell r="F7743" t="str">
            <v>V501</v>
          </cell>
          <cell r="G7743" t="str">
            <v>Auto</v>
          </cell>
          <cell r="H7743">
            <v>311</v>
          </cell>
          <cell r="I7743">
            <v>8210</v>
          </cell>
          <cell r="J7743">
            <v>8220</v>
          </cell>
          <cell r="K7743" t="str">
            <v>V501</v>
          </cell>
        </row>
        <row r="7744">
          <cell r="A7744" t="str">
            <v>1AE1A603L3K70BP</v>
          </cell>
          <cell r="B7744" t="str">
            <v>SMT</v>
          </cell>
        </row>
        <row r="7745">
          <cell r="A7745" t="str">
            <v>A62603J90BP</v>
          </cell>
          <cell r="B7745" t="str">
            <v>SMT</v>
          </cell>
        </row>
        <row r="7746">
          <cell r="A7746" t="str">
            <v>1RH1A603L3K70BP</v>
          </cell>
          <cell r="B7746" t="str">
            <v>SMT</v>
          </cell>
        </row>
        <row r="7747">
          <cell r="A7747" t="str">
            <v>1CM1A603L3K70BP</v>
          </cell>
          <cell r="B7747" t="str">
            <v>SMT</v>
          </cell>
          <cell r="E7747">
            <v>6210</v>
          </cell>
          <cell r="F7747" t="str">
            <v>VG01</v>
          </cell>
          <cell r="G7747" t="str">
            <v>Auto</v>
          </cell>
          <cell r="H7747">
            <v>311</v>
          </cell>
          <cell r="I7747">
            <v>6210</v>
          </cell>
          <cell r="J7747">
            <v>6220</v>
          </cell>
          <cell r="K7747" t="str">
            <v>VG01</v>
          </cell>
        </row>
        <row r="7748">
          <cell r="A7748" t="str">
            <v>1AE1A603L3K70EP</v>
          </cell>
          <cell r="B7748" t="str">
            <v>SMT</v>
          </cell>
        </row>
        <row r="7749">
          <cell r="A7749" t="str">
            <v>A62603J90BP</v>
          </cell>
          <cell r="B7749" t="str">
            <v>SMT</v>
          </cell>
        </row>
        <row r="7750">
          <cell r="A7750" t="str">
            <v>1RH1A603L3K70EP</v>
          </cell>
          <cell r="B7750" t="str">
            <v>SMT</v>
          </cell>
        </row>
        <row r="7751">
          <cell r="A7751" t="str">
            <v>1CM1A603L3K70EP</v>
          </cell>
          <cell r="B7751" t="str">
            <v>SMT</v>
          </cell>
          <cell r="E7751">
            <v>6210</v>
          </cell>
          <cell r="F7751" t="str">
            <v>VG01</v>
          </cell>
          <cell r="G7751" t="str">
            <v>Auto</v>
          </cell>
          <cell r="H7751">
            <v>311</v>
          </cell>
          <cell r="I7751">
            <v>6210</v>
          </cell>
          <cell r="J7751">
            <v>6220</v>
          </cell>
          <cell r="K7751" t="str">
            <v>VG01</v>
          </cell>
        </row>
        <row r="7752">
          <cell r="A7752" t="str">
            <v>1CM1A603L3K80KP</v>
          </cell>
          <cell r="B7752" t="str">
            <v>SMT</v>
          </cell>
          <cell r="E7752">
            <v>6210</v>
          </cell>
          <cell r="F7752" t="str">
            <v>VG01</v>
          </cell>
          <cell r="G7752" t="str">
            <v>Auto</v>
          </cell>
          <cell r="H7752">
            <v>311</v>
          </cell>
          <cell r="I7752">
            <v>6210</v>
          </cell>
          <cell r="J7752">
            <v>6220</v>
          </cell>
          <cell r="K7752" t="str">
            <v>VG01</v>
          </cell>
        </row>
        <row r="7753">
          <cell r="A7753" t="str">
            <v>1RH1A603L3K80KP</v>
          </cell>
          <cell r="B7753" t="str">
            <v>SMT</v>
          </cell>
        </row>
        <row r="7754">
          <cell r="A7754" t="str">
            <v>1AE1A603L3K80KP</v>
          </cell>
          <cell r="B7754" t="str">
            <v>SMT</v>
          </cell>
        </row>
        <row r="7755">
          <cell r="A7755" t="str">
            <v>1CM1ARBPC1A14122</v>
          </cell>
          <cell r="B7755" t="str">
            <v>SMT</v>
          </cell>
          <cell r="E7755">
            <v>8210</v>
          </cell>
          <cell r="F7755" t="str">
            <v>V501</v>
          </cell>
          <cell r="G7755" t="str">
            <v>Auto</v>
          </cell>
          <cell r="H7755">
            <v>311</v>
          </cell>
          <cell r="I7755">
            <v>8210</v>
          </cell>
          <cell r="J7755">
            <v>8220</v>
          </cell>
          <cell r="K7755" t="str">
            <v>V501</v>
          </cell>
        </row>
        <row r="7756">
          <cell r="A7756" t="str">
            <v>1RH1ARBPC1A14122</v>
          </cell>
          <cell r="B7756" t="str">
            <v>SMT</v>
          </cell>
        </row>
        <row r="7757">
          <cell r="A7757" t="str">
            <v>1AE1ARBPC1A14122</v>
          </cell>
          <cell r="B7757" t="str">
            <v>SMT</v>
          </cell>
        </row>
        <row r="7758">
          <cell r="A7758" t="str">
            <v>1RE1ARBPC1A14122</v>
          </cell>
          <cell r="B7758" t="str">
            <v>SMT</v>
          </cell>
        </row>
        <row r="7759">
          <cell r="A7759" t="str">
            <v>1CM1ARBPC1A14131</v>
          </cell>
          <cell r="B7759" t="str">
            <v>SMT</v>
          </cell>
          <cell r="E7759">
            <v>8210</v>
          </cell>
          <cell r="F7759" t="str">
            <v>V501</v>
          </cell>
          <cell r="G7759" t="str">
            <v>Auto</v>
          </cell>
          <cell r="H7759">
            <v>311</v>
          </cell>
          <cell r="I7759">
            <v>8210</v>
          </cell>
          <cell r="J7759">
            <v>8220</v>
          </cell>
          <cell r="K7759" t="str">
            <v>V501</v>
          </cell>
        </row>
        <row r="7760">
          <cell r="A7760" t="str">
            <v>1RH1ARBPC1A14131</v>
          </cell>
          <cell r="B7760" t="str">
            <v>SMT</v>
          </cell>
        </row>
        <row r="7761">
          <cell r="A7761" t="str">
            <v>1AE1ARBPC1A14131</v>
          </cell>
          <cell r="B7761" t="str">
            <v>SMT</v>
          </cell>
        </row>
        <row r="7762">
          <cell r="A7762" t="str">
            <v>1RE1ARBPC1A14131</v>
          </cell>
          <cell r="B7762" t="str">
            <v>SMT</v>
          </cell>
        </row>
        <row r="7763">
          <cell r="A7763" t="str">
            <v>1CM1ARBPC1A14132</v>
          </cell>
          <cell r="B7763" t="str">
            <v>SMT</v>
          </cell>
          <cell r="E7763">
            <v>8210</v>
          </cell>
          <cell r="F7763" t="str">
            <v>V501</v>
          </cell>
          <cell r="G7763" t="str">
            <v>Auto</v>
          </cell>
          <cell r="H7763">
            <v>311</v>
          </cell>
          <cell r="I7763">
            <v>8210</v>
          </cell>
          <cell r="J7763">
            <v>8220</v>
          </cell>
          <cell r="K7763" t="str">
            <v>V501</v>
          </cell>
        </row>
        <row r="7764">
          <cell r="A7764" t="str">
            <v>1RH1ARBPC1A14132</v>
          </cell>
          <cell r="B7764" t="str">
            <v>SMT</v>
          </cell>
        </row>
        <row r="7765">
          <cell r="A7765" t="str">
            <v>1AE1ARBPC1A14132</v>
          </cell>
          <cell r="B7765" t="str">
            <v>SMT</v>
          </cell>
        </row>
        <row r="7766">
          <cell r="A7766" t="str">
            <v>1RE1ARBPC1A14132</v>
          </cell>
          <cell r="B7766" t="str">
            <v>SMT</v>
          </cell>
        </row>
        <row r="7767">
          <cell r="A7767" t="str">
            <v>1CM1ARBPC1A14162</v>
          </cell>
          <cell r="B7767" t="str">
            <v>SMT</v>
          </cell>
          <cell r="E7767">
            <v>8210</v>
          </cell>
          <cell r="F7767" t="str">
            <v>V501</v>
          </cell>
          <cell r="G7767" t="str">
            <v>Auto</v>
          </cell>
          <cell r="H7767">
            <v>311</v>
          </cell>
          <cell r="I7767">
            <v>8210</v>
          </cell>
          <cell r="J7767">
            <v>8220</v>
          </cell>
          <cell r="K7767" t="str">
            <v>V501</v>
          </cell>
        </row>
        <row r="7768">
          <cell r="A7768" t="str">
            <v>1RH1ARBPC1A14162</v>
          </cell>
          <cell r="B7768" t="str">
            <v>SMT</v>
          </cell>
        </row>
        <row r="7769">
          <cell r="A7769" t="str">
            <v>1AE1ARBPC1A14162</v>
          </cell>
          <cell r="B7769" t="str">
            <v>SMT</v>
          </cell>
        </row>
        <row r="7770">
          <cell r="A7770" t="str">
            <v>1RE1ARBPC1A14162</v>
          </cell>
          <cell r="B7770" t="str">
            <v>SMT</v>
          </cell>
        </row>
        <row r="7771">
          <cell r="A7771" t="str">
            <v>1CM1ARBPC1A14172</v>
          </cell>
          <cell r="B7771" t="str">
            <v>SMT</v>
          </cell>
          <cell r="E7771">
            <v>8210</v>
          </cell>
          <cell r="F7771" t="str">
            <v>V501</v>
          </cell>
          <cell r="G7771" t="str">
            <v>Auto</v>
          </cell>
          <cell r="H7771">
            <v>311</v>
          </cell>
          <cell r="I7771">
            <v>8210</v>
          </cell>
          <cell r="J7771">
            <v>8220</v>
          </cell>
          <cell r="K7771" t="str">
            <v>V501</v>
          </cell>
        </row>
        <row r="7772">
          <cell r="A7772" t="str">
            <v>1RH1ARBPC1A14172</v>
          </cell>
          <cell r="B7772" t="str">
            <v>SMT</v>
          </cell>
        </row>
        <row r="7773">
          <cell r="A7773" t="str">
            <v>1AE1ARBPC1A14172</v>
          </cell>
          <cell r="B7773" t="str">
            <v>SMT</v>
          </cell>
        </row>
        <row r="7774">
          <cell r="A7774" t="str">
            <v>1RE1ARBPC1A14172</v>
          </cell>
          <cell r="B7774" t="str">
            <v>SMT</v>
          </cell>
        </row>
        <row r="7775">
          <cell r="A7775" t="str">
            <v>1RE1ARBP01A01691</v>
          </cell>
          <cell r="B7775" t="str">
            <v>SMT</v>
          </cell>
          <cell r="E7775">
            <v>8210</v>
          </cell>
          <cell r="F7775" t="str">
            <v>V501</v>
          </cell>
          <cell r="G7775" t="str">
            <v>Auto</v>
          </cell>
          <cell r="H7775">
            <v>311</v>
          </cell>
          <cell r="I7775">
            <v>8210</v>
          </cell>
          <cell r="J7775">
            <v>8220</v>
          </cell>
          <cell r="K7775" t="str">
            <v>V501</v>
          </cell>
        </row>
        <row r="7776">
          <cell r="A7776" t="str">
            <v>1RH1ARBP01A00103-1</v>
          </cell>
          <cell r="B7776" t="str">
            <v>SMT</v>
          </cell>
          <cell r="E7776">
            <v>8210</v>
          </cell>
          <cell r="F7776" t="str">
            <v>V501</v>
          </cell>
          <cell r="G7776" t="str">
            <v>Auto</v>
          </cell>
          <cell r="H7776">
            <v>311</v>
          </cell>
          <cell r="I7776">
            <v>8210</v>
          </cell>
          <cell r="J7776">
            <v>8220</v>
          </cell>
          <cell r="K7776" t="str">
            <v>V501</v>
          </cell>
        </row>
        <row r="7777">
          <cell r="A7777" t="str">
            <v>1CM1ARBP01A00103-1</v>
          </cell>
          <cell r="B7777" t="str">
            <v>SMT</v>
          </cell>
        </row>
        <row r="7778">
          <cell r="A7778" t="str">
            <v>1AE1ARBP01A00103-1</v>
          </cell>
          <cell r="B7778" t="str">
            <v>SMT</v>
          </cell>
        </row>
        <row r="7779">
          <cell r="A7779" t="str">
            <v>1RH1ARBPC1A13201</v>
          </cell>
          <cell r="B7779" t="str">
            <v>SMT</v>
          </cell>
          <cell r="E7779">
            <v>8210</v>
          </cell>
          <cell r="F7779" t="str">
            <v>V501</v>
          </cell>
          <cell r="G7779" t="str">
            <v>Auto</v>
          </cell>
          <cell r="H7779">
            <v>311</v>
          </cell>
          <cell r="I7779">
            <v>8210</v>
          </cell>
          <cell r="J7779">
            <v>8220</v>
          </cell>
          <cell r="K7779" t="str">
            <v>V501</v>
          </cell>
        </row>
        <row r="7780">
          <cell r="A7780" t="str">
            <v>1AE1ARBPC1A13201</v>
          </cell>
          <cell r="B7780" t="str">
            <v>SMT</v>
          </cell>
        </row>
        <row r="7781">
          <cell r="A7781" t="str">
            <v>1RE1ARBPC1A13201</v>
          </cell>
          <cell r="B7781" t="str">
            <v>SMT</v>
          </cell>
        </row>
        <row r="7782">
          <cell r="A7782" t="str">
            <v>1RE2DVLB2073XA</v>
          </cell>
          <cell r="B7782" t="str">
            <v>SMT</v>
          </cell>
        </row>
        <row r="7783">
          <cell r="A7783" t="str">
            <v>1RE1DVLB2073XA</v>
          </cell>
          <cell r="B7783" t="str">
            <v>SMT</v>
          </cell>
        </row>
        <row r="7784">
          <cell r="A7784" t="str">
            <v>1VL1DVLB2073XA</v>
          </cell>
          <cell r="B7784" t="str">
            <v>SMT</v>
          </cell>
        </row>
        <row r="7785">
          <cell r="A7785" t="str">
            <v>1RE2DVLB2073YA</v>
          </cell>
          <cell r="B7785" t="str">
            <v>SMT</v>
          </cell>
        </row>
        <row r="7786">
          <cell r="A7786" t="str">
            <v>1RE1DVLB2073YA</v>
          </cell>
          <cell r="B7786" t="str">
            <v>SMT</v>
          </cell>
        </row>
        <row r="7787">
          <cell r="A7787" t="str">
            <v>1VL1DVLB2073YA</v>
          </cell>
          <cell r="B7787" t="str">
            <v>SMT</v>
          </cell>
        </row>
        <row r="7788">
          <cell r="A7788" t="str">
            <v>1RE2DVLB2073ZA</v>
          </cell>
          <cell r="B7788" t="str">
            <v>SMT</v>
          </cell>
        </row>
        <row r="7789">
          <cell r="A7789" t="str">
            <v>1RE1DVLB2073ZA</v>
          </cell>
          <cell r="B7789" t="str">
            <v>SMT</v>
          </cell>
        </row>
        <row r="7790">
          <cell r="A7790" t="str">
            <v>1VL1DVLB2073ZA</v>
          </cell>
          <cell r="B7790" t="str">
            <v>SMT</v>
          </cell>
        </row>
        <row r="7791">
          <cell r="A7791" t="str">
            <v>1RE2DVLB2075ZA</v>
          </cell>
          <cell r="B7791" t="str">
            <v>SMT</v>
          </cell>
        </row>
        <row r="7792">
          <cell r="A7792" t="str">
            <v>1RE1DVLB2075ZA</v>
          </cell>
          <cell r="B7792" t="str">
            <v>SMT</v>
          </cell>
        </row>
        <row r="7793">
          <cell r="A7793" t="str">
            <v>1RE2ARBP0DA02306</v>
          </cell>
          <cell r="B7793" t="str">
            <v>SMT</v>
          </cell>
          <cell r="E7793">
            <v>8210</v>
          </cell>
          <cell r="F7793" t="str">
            <v>V501</v>
          </cell>
          <cell r="G7793" t="str">
            <v>Auto</v>
          </cell>
          <cell r="H7793">
            <v>311</v>
          </cell>
          <cell r="I7793">
            <v>8210</v>
          </cell>
          <cell r="J7793">
            <v>8220</v>
          </cell>
          <cell r="K7793" t="str">
            <v>V501</v>
          </cell>
        </row>
        <row r="7794">
          <cell r="A7794" t="str">
            <v>1RE1ARBP0DA02306</v>
          </cell>
          <cell r="B7794" t="str">
            <v>SMT</v>
          </cell>
        </row>
        <row r="7795">
          <cell r="A7795" t="str">
            <v>1RH1ARBPC1A11340</v>
          </cell>
          <cell r="B7795" t="str">
            <v>SMT</v>
          </cell>
          <cell r="E7795">
            <v>8210</v>
          </cell>
          <cell r="F7795" t="str">
            <v>V501</v>
          </cell>
          <cell r="G7795" t="str">
            <v>Auto</v>
          </cell>
          <cell r="H7795">
            <v>311</v>
          </cell>
          <cell r="I7795">
            <v>8210</v>
          </cell>
          <cell r="J7795">
            <v>8220</v>
          </cell>
          <cell r="K7795" t="str">
            <v>V501</v>
          </cell>
        </row>
        <row r="7796">
          <cell r="A7796" t="str">
            <v>1AE1ARBPC1A11340</v>
          </cell>
          <cell r="B7796" t="str">
            <v>SMT</v>
          </cell>
        </row>
        <row r="7797">
          <cell r="A7797" t="str">
            <v>1RE1ARBPC1A11340</v>
          </cell>
          <cell r="B7797" t="str">
            <v>SMT</v>
          </cell>
        </row>
        <row r="7798">
          <cell r="A7798" t="str">
            <v>1PB1DVLB1613ZA</v>
          </cell>
          <cell r="B7798" t="str">
            <v>SMT</v>
          </cell>
          <cell r="E7798">
            <v>9210</v>
          </cell>
          <cell r="F7798" t="str">
            <v>VE01</v>
          </cell>
          <cell r="G7798" t="str">
            <v>Auto</v>
          </cell>
          <cell r="H7798">
            <v>311</v>
          </cell>
          <cell r="I7798">
            <v>9210</v>
          </cell>
          <cell r="J7798">
            <v>9360</v>
          </cell>
          <cell r="K7798" t="str">
            <v>VE01</v>
          </cell>
        </row>
        <row r="7799">
          <cell r="A7799" t="str">
            <v>1PB1DVLB1731ZA</v>
          </cell>
          <cell r="B7799" t="str">
            <v>SMT</v>
          </cell>
          <cell r="E7799">
            <v>9210</v>
          </cell>
          <cell r="F7799" t="str">
            <v>VE01</v>
          </cell>
          <cell r="G7799" t="str">
            <v>Auto</v>
          </cell>
          <cell r="H7799">
            <v>311</v>
          </cell>
          <cell r="I7799">
            <v>9210</v>
          </cell>
          <cell r="J7799">
            <v>9360</v>
          </cell>
          <cell r="K7799" t="str">
            <v>VE01</v>
          </cell>
        </row>
        <row r="7800">
          <cell r="A7800" t="str">
            <v>1PB1DVLB1738ZA</v>
          </cell>
          <cell r="B7800" t="str">
            <v>SMT</v>
          </cell>
          <cell r="E7800">
            <v>9210</v>
          </cell>
          <cell r="F7800" t="str">
            <v>VE01</v>
          </cell>
          <cell r="G7800" t="str">
            <v>Auto</v>
          </cell>
          <cell r="H7800">
            <v>311</v>
          </cell>
          <cell r="I7800">
            <v>9210</v>
          </cell>
          <cell r="J7800">
            <v>9360</v>
          </cell>
          <cell r="K7800" t="str">
            <v>VE01</v>
          </cell>
        </row>
        <row r="7801">
          <cell r="A7801" t="str">
            <v xml:space="preserve">1PB1DVLB1744ZA  </v>
          </cell>
          <cell r="B7801" t="str">
            <v>SMT</v>
          </cell>
          <cell r="E7801">
            <v>9210</v>
          </cell>
          <cell r="F7801" t="str">
            <v>VE01</v>
          </cell>
          <cell r="G7801" t="str">
            <v>Auto</v>
          </cell>
          <cell r="H7801">
            <v>311</v>
          </cell>
          <cell r="I7801">
            <v>9210</v>
          </cell>
          <cell r="J7801">
            <v>9360</v>
          </cell>
          <cell r="K7801" t="str">
            <v>VE01</v>
          </cell>
        </row>
        <row r="7802">
          <cell r="A7802" t="str">
            <v>1PB1DVLB1855YB</v>
          </cell>
          <cell r="B7802" t="str">
            <v>SMT</v>
          </cell>
          <cell r="E7802">
            <v>9210</v>
          </cell>
          <cell r="F7802" t="str">
            <v>VE01</v>
          </cell>
          <cell r="G7802" t="str">
            <v>Auto</v>
          </cell>
          <cell r="H7802">
            <v>311</v>
          </cell>
          <cell r="I7802">
            <v>9210</v>
          </cell>
          <cell r="J7802">
            <v>9360</v>
          </cell>
          <cell r="K7802" t="str">
            <v>VE01</v>
          </cell>
        </row>
        <row r="7803">
          <cell r="A7803" t="str">
            <v>1PB1DVLB1855ZB</v>
          </cell>
          <cell r="B7803" t="str">
            <v>SMT</v>
          </cell>
          <cell r="E7803">
            <v>9210</v>
          </cell>
          <cell r="F7803" t="str">
            <v>VE01</v>
          </cell>
          <cell r="G7803" t="str">
            <v>Auto</v>
          </cell>
          <cell r="H7803">
            <v>311</v>
          </cell>
          <cell r="I7803">
            <v>9210</v>
          </cell>
          <cell r="J7803">
            <v>9360</v>
          </cell>
          <cell r="K7803" t="str">
            <v>VE01</v>
          </cell>
        </row>
        <row r="7804">
          <cell r="A7804" t="str">
            <v>1PB1DVLB1916ZA</v>
          </cell>
          <cell r="B7804" t="str">
            <v>SMT</v>
          </cell>
          <cell r="E7804">
            <v>9210</v>
          </cell>
          <cell r="F7804" t="str">
            <v>VE01</v>
          </cell>
          <cell r="G7804" t="str">
            <v>Auto</v>
          </cell>
          <cell r="H7804">
            <v>311</v>
          </cell>
          <cell r="I7804">
            <v>9210</v>
          </cell>
          <cell r="J7804">
            <v>9360</v>
          </cell>
          <cell r="K7804" t="str">
            <v>VE01</v>
          </cell>
        </row>
        <row r="7805">
          <cell r="A7805" t="str">
            <v>1PB1DVLB1972ZA</v>
          </cell>
          <cell r="B7805" t="str">
            <v>SMT</v>
          </cell>
          <cell r="E7805">
            <v>9210</v>
          </cell>
          <cell r="F7805" t="str">
            <v>VE01</v>
          </cell>
          <cell r="G7805" t="str">
            <v>Auto</v>
          </cell>
          <cell r="H7805">
            <v>311</v>
          </cell>
          <cell r="I7805">
            <v>9210</v>
          </cell>
          <cell r="J7805">
            <v>9360</v>
          </cell>
          <cell r="K7805" t="str">
            <v>VE01</v>
          </cell>
        </row>
        <row r="7806">
          <cell r="A7806" t="str">
            <v>1PB1DVLB1973ZA</v>
          </cell>
          <cell r="B7806" t="str">
            <v>SMT</v>
          </cell>
          <cell r="E7806">
            <v>9210</v>
          </cell>
          <cell r="F7806" t="str">
            <v>VE01</v>
          </cell>
          <cell r="G7806" t="str">
            <v>Auto</v>
          </cell>
          <cell r="H7806">
            <v>311</v>
          </cell>
          <cell r="I7806">
            <v>9210</v>
          </cell>
          <cell r="J7806">
            <v>9360</v>
          </cell>
          <cell r="K7806" t="str">
            <v>VE01</v>
          </cell>
        </row>
        <row r="7807">
          <cell r="A7807" t="str">
            <v>1PB1DVLB1974ZA</v>
          </cell>
          <cell r="B7807" t="str">
            <v>SMT</v>
          </cell>
          <cell r="E7807">
            <v>9210</v>
          </cell>
          <cell r="F7807" t="str">
            <v>VE01</v>
          </cell>
          <cell r="G7807" t="str">
            <v>Auto</v>
          </cell>
          <cell r="H7807">
            <v>311</v>
          </cell>
          <cell r="I7807">
            <v>9210</v>
          </cell>
          <cell r="J7807">
            <v>9360</v>
          </cell>
          <cell r="K7807" t="str">
            <v>VE01</v>
          </cell>
        </row>
        <row r="7808">
          <cell r="A7808" t="str">
            <v>1PB1DVLB1975ZA</v>
          </cell>
          <cell r="B7808" t="str">
            <v>SMT</v>
          </cell>
          <cell r="E7808">
            <v>9210</v>
          </cell>
          <cell r="F7808" t="str">
            <v>VE01</v>
          </cell>
          <cell r="G7808" t="str">
            <v>Auto</v>
          </cell>
          <cell r="H7808">
            <v>311</v>
          </cell>
          <cell r="I7808">
            <v>9210</v>
          </cell>
          <cell r="J7808">
            <v>9360</v>
          </cell>
          <cell r="K7808" t="str">
            <v>VE01</v>
          </cell>
        </row>
        <row r="7809">
          <cell r="A7809" t="str">
            <v>1PB1DVLB1976ZB</v>
          </cell>
          <cell r="B7809" t="str">
            <v>SMT</v>
          </cell>
          <cell r="E7809">
            <v>9210</v>
          </cell>
          <cell r="F7809" t="str">
            <v>VE01</v>
          </cell>
          <cell r="G7809" t="str">
            <v>Auto</v>
          </cell>
          <cell r="H7809">
            <v>311</v>
          </cell>
          <cell r="I7809">
            <v>9210</v>
          </cell>
          <cell r="J7809">
            <v>9360</v>
          </cell>
          <cell r="K7809" t="str">
            <v>VE01</v>
          </cell>
        </row>
        <row r="7810">
          <cell r="A7810" t="str">
            <v>1PB1DVLB2021ZA</v>
          </cell>
          <cell r="B7810" t="str">
            <v>SMT</v>
          </cell>
          <cell r="E7810">
            <v>9210</v>
          </cell>
          <cell r="F7810" t="str">
            <v>VE01</v>
          </cell>
          <cell r="G7810" t="str">
            <v>Auto</v>
          </cell>
          <cell r="H7810">
            <v>311</v>
          </cell>
          <cell r="I7810">
            <v>9210</v>
          </cell>
          <cell r="J7810">
            <v>9360</v>
          </cell>
          <cell r="K7810" t="str">
            <v>VE01</v>
          </cell>
        </row>
        <row r="7811">
          <cell r="A7811" t="str">
            <v>1PB1DVLB2029ZA</v>
          </cell>
          <cell r="B7811" t="str">
            <v>SMT</v>
          </cell>
          <cell r="E7811">
            <v>9210</v>
          </cell>
          <cell r="F7811" t="str">
            <v>VE01</v>
          </cell>
          <cell r="G7811" t="str">
            <v>Auto</v>
          </cell>
          <cell r="H7811">
            <v>311</v>
          </cell>
          <cell r="I7811">
            <v>9210</v>
          </cell>
          <cell r="J7811">
            <v>9360</v>
          </cell>
          <cell r="K7811" t="str">
            <v>VE01</v>
          </cell>
        </row>
        <row r="7812">
          <cell r="A7812" t="str">
            <v>1PB1DVLB2051ZA</v>
          </cell>
          <cell r="B7812" t="str">
            <v>SMT</v>
          </cell>
          <cell r="E7812">
            <v>9210</v>
          </cell>
          <cell r="F7812" t="str">
            <v>VE01</v>
          </cell>
          <cell r="G7812" t="str">
            <v>Auto</v>
          </cell>
          <cell r="H7812">
            <v>311</v>
          </cell>
          <cell r="I7812">
            <v>9210</v>
          </cell>
          <cell r="J7812">
            <v>9360</v>
          </cell>
          <cell r="K7812" t="str">
            <v>VE01</v>
          </cell>
        </row>
        <row r="7813">
          <cell r="A7813" t="str">
            <v>1PB1DVLB2052YA</v>
          </cell>
          <cell r="B7813" t="str">
            <v>SMT</v>
          </cell>
          <cell r="E7813">
            <v>9210</v>
          </cell>
          <cell r="F7813" t="str">
            <v>VE01</v>
          </cell>
          <cell r="G7813" t="str">
            <v>Auto</v>
          </cell>
          <cell r="H7813">
            <v>311</v>
          </cell>
          <cell r="I7813">
            <v>9210</v>
          </cell>
          <cell r="J7813">
            <v>9360</v>
          </cell>
          <cell r="K7813" t="str">
            <v>VE01</v>
          </cell>
        </row>
        <row r="7814">
          <cell r="A7814" t="str">
            <v>1PB1DVLB2053ZA</v>
          </cell>
          <cell r="B7814" t="str">
            <v>SMT</v>
          </cell>
          <cell r="E7814">
            <v>9210</v>
          </cell>
          <cell r="F7814" t="str">
            <v>VE01</v>
          </cell>
          <cell r="G7814" t="str">
            <v>Auto</v>
          </cell>
          <cell r="H7814">
            <v>311</v>
          </cell>
          <cell r="I7814">
            <v>9210</v>
          </cell>
          <cell r="J7814">
            <v>9360</v>
          </cell>
          <cell r="K7814" t="str">
            <v>VE01</v>
          </cell>
        </row>
        <row r="7815">
          <cell r="A7815" t="str">
            <v>1PB1DVLB2054ZA</v>
          </cell>
          <cell r="B7815" t="str">
            <v>SMT</v>
          </cell>
          <cell r="E7815">
            <v>9210</v>
          </cell>
          <cell r="F7815" t="str">
            <v>VE01</v>
          </cell>
          <cell r="G7815" t="str">
            <v>Auto</v>
          </cell>
          <cell r="H7815">
            <v>311</v>
          </cell>
          <cell r="I7815">
            <v>9210</v>
          </cell>
          <cell r="J7815">
            <v>9360</v>
          </cell>
          <cell r="K7815" t="str">
            <v>VE01</v>
          </cell>
        </row>
        <row r="7816">
          <cell r="A7816" t="str">
            <v>1PB1DVLB2061ZA</v>
          </cell>
          <cell r="B7816" t="str">
            <v>SMT</v>
          </cell>
          <cell r="E7816">
            <v>9210</v>
          </cell>
          <cell r="F7816" t="str">
            <v>VE01</v>
          </cell>
          <cell r="G7816" t="str">
            <v>Auto</v>
          </cell>
          <cell r="H7816">
            <v>311</v>
          </cell>
          <cell r="I7816">
            <v>9210</v>
          </cell>
          <cell r="J7816">
            <v>9360</v>
          </cell>
          <cell r="K7816" t="str">
            <v>VE01</v>
          </cell>
        </row>
        <row r="7817">
          <cell r="A7817" t="str">
            <v>1PB1DVLB2062ZA</v>
          </cell>
          <cell r="B7817" t="str">
            <v>SMT</v>
          </cell>
          <cell r="E7817">
            <v>9210</v>
          </cell>
          <cell r="F7817" t="str">
            <v>VE01</v>
          </cell>
          <cell r="G7817" t="str">
            <v>Auto</v>
          </cell>
          <cell r="H7817">
            <v>311</v>
          </cell>
          <cell r="I7817">
            <v>9210</v>
          </cell>
          <cell r="J7817">
            <v>9360</v>
          </cell>
          <cell r="K7817" t="str">
            <v>VE01</v>
          </cell>
        </row>
        <row r="7818">
          <cell r="A7818" t="str">
            <v>1PB1DVLB2063ZA</v>
          </cell>
          <cell r="B7818" t="str">
            <v>SMT</v>
          </cell>
          <cell r="E7818">
            <v>9210</v>
          </cell>
          <cell r="F7818" t="str">
            <v>VE01</v>
          </cell>
          <cell r="G7818" t="str">
            <v>Auto</v>
          </cell>
          <cell r="H7818">
            <v>311</v>
          </cell>
          <cell r="I7818">
            <v>9210</v>
          </cell>
          <cell r="J7818">
            <v>9360</v>
          </cell>
          <cell r="K7818" t="str">
            <v>VE01</v>
          </cell>
        </row>
        <row r="7819">
          <cell r="A7819" t="str">
            <v>1PB1DVLB2064ZA</v>
          </cell>
          <cell r="B7819" t="str">
            <v>SMT</v>
          </cell>
          <cell r="E7819">
            <v>9210</v>
          </cell>
          <cell r="F7819" t="str">
            <v>VE01</v>
          </cell>
          <cell r="G7819" t="str">
            <v>Auto</v>
          </cell>
          <cell r="H7819">
            <v>311</v>
          </cell>
          <cell r="I7819">
            <v>9210</v>
          </cell>
          <cell r="J7819">
            <v>9360</v>
          </cell>
          <cell r="K7819" t="str">
            <v>VE01</v>
          </cell>
        </row>
        <row r="7820">
          <cell r="A7820" t="str">
            <v>1PB1DVLB2073XA</v>
          </cell>
          <cell r="B7820" t="str">
            <v>SMT</v>
          </cell>
          <cell r="E7820">
            <v>9210</v>
          </cell>
          <cell r="F7820" t="str">
            <v>VE01</v>
          </cell>
          <cell r="G7820" t="str">
            <v>Auto</v>
          </cell>
          <cell r="H7820">
            <v>311</v>
          </cell>
          <cell r="I7820">
            <v>9210</v>
          </cell>
          <cell r="J7820">
            <v>9360</v>
          </cell>
          <cell r="K7820" t="str">
            <v>VE01</v>
          </cell>
        </row>
        <row r="7821">
          <cell r="A7821" t="str">
            <v>1PB1DVLB2073YA</v>
          </cell>
          <cell r="B7821" t="str">
            <v>SMT</v>
          </cell>
          <cell r="E7821">
            <v>9210</v>
          </cell>
          <cell r="F7821" t="str">
            <v>VE01</v>
          </cell>
          <cell r="G7821" t="str">
            <v>Auto</v>
          </cell>
          <cell r="H7821">
            <v>311</v>
          </cell>
          <cell r="I7821">
            <v>9210</v>
          </cell>
          <cell r="J7821">
            <v>9360</v>
          </cell>
          <cell r="K7821" t="str">
            <v>VE01</v>
          </cell>
        </row>
        <row r="7822">
          <cell r="A7822" t="str">
            <v>1PB1DVLB2073ZA</v>
          </cell>
          <cell r="B7822" t="str">
            <v>SMT</v>
          </cell>
          <cell r="E7822">
            <v>9210</v>
          </cell>
          <cell r="F7822" t="str">
            <v>VE01</v>
          </cell>
          <cell r="G7822" t="str">
            <v>Auto</v>
          </cell>
          <cell r="H7822">
            <v>311</v>
          </cell>
          <cell r="I7822">
            <v>9210</v>
          </cell>
          <cell r="J7822">
            <v>9360</v>
          </cell>
          <cell r="K7822" t="str">
            <v>VE01</v>
          </cell>
        </row>
        <row r="7823">
          <cell r="A7823" t="str">
            <v>1PB1DVLB2074ZA</v>
          </cell>
          <cell r="B7823" t="str">
            <v>SMT</v>
          </cell>
          <cell r="E7823">
            <v>9210</v>
          </cell>
          <cell r="F7823" t="str">
            <v>VE01</v>
          </cell>
          <cell r="G7823" t="str">
            <v>Auto</v>
          </cell>
          <cell r="H7823">
            <v>311</v>
          </cell>
          <cell r="I7823">
            <v>9210</v>
          </cell>
          <cell r="J7823">
            <v>9360</v>
          </cell>
          <cell r="K7823" t="str">
            <v>VE01</v>
          </cell>
        </row>
        <row r="7824">
          <cell r="A7824" t="str">
            <v>1PB1DVLB2075ZA</v>
          </cell>
          <cell r="B7824" t="str">
            <v>SMT</v>
          </cell>
          <cell r="E7824">
            <v>9210</v>
          </cell>
          <cell r="F7824" t="str">
            <v>VE01</v>
          </cell>
          <cell r="G7824" t="str">
            <v>Auto</v>
          </cell>
          <cell r="H7824">
            <v>311</v>
          </cell>
          <cell r="I7824">
            <v>9210</v>
          </cell>
          <cell r="J7824">
            <v>9360</v>
          </cell>
          <cell r="K7824" t="str">
            <v>VE01</v>
          </cell>
        </row>
        <row r="7825">
          <cell r="A7825" t="str">
            <v>1PB1DVLB2082ZA</v>
          </cell>
          <cell r="B7825" t="str">
            <v>SMT</v>
          </cell>
          <cell r="E7825">
            <v>9210</v>
          </cell>
          <cell r="F7825" t="str">
            <v>VE01</v>
          </cell>
          <cell r="G7825" t="str">
            <v>Auto</v>
          </cell>
          <cell r="H7825">
            <v>311</v>
          </cell>
          <cell r="I7825">
            <v>9210</v>
          </cell>
          <cell r="J7825">
            <v>9360</v>
          </cell>
          <cell r="K7825" t="str">
            <v>VE01</v>
          </cell>
        </row>
        <row r="7826">
          <cell r="A7826" t="str">
            <v>1PB1DVLB2083ZA</v>
          </cell>
          <cell r="B7826" t="str">
            <v>SMT</v>
          </cell>
          <cell r="E7826">
            <v>9210</v>
          </cell>
          <cell r="F7826" t="str">
            <v>VE01</v>
          </cell>
          <cell r="G7826" t="str">
            <v>Auto</v>
          </cell>
          <cell r="H7826">
            <v>311</v>
          </cell>
          <cell r="I7826">
            <v>9210</v>
          </cell>
          <cell r="J7826">
            <v>9360</v>
          </cell>
          <cell r="K7826" t="str">
            <v>VE01</v>
          </cell>
        </row>
        <row r="7827">
          <cell r="A7827" t="str">
            <v>1PB1DVLB2084ZA</v>
          </cell>
          <cell r="B7827" t="str">
            <v>SMT</v>
          </cell>
          <cell r="E7827">
            <v>9210</v>
          </cell>
          <cell r="F7827" t="str">
            <v>VE01</v>
          </cell>
          <cell r="G7827" t="str">
            <v>Auto</v>
          </cell>
          <cell r="H7827">
            <v>311</v>
          </cell>
          <cell r="I7827">
            <v>9210</v>
          </cell>
          <cell r="J7827">
            <v>9360</v>
          </cell>
          <cell r="K7827" t="str">
            <v>VE01</v>
          </cell>
        </row>
        <row r="7828">
          <cell r="A7828" t="str">
            <v>1PB1DVLB2085ZA</v>
          </cell>
          <cell r="B7828" t="str">
            <v>SMT</v>
          </cell>
          <cell r="E7828">
            <v>9210</v>
          </cell>
          <cell r="F7828" t="str">
            <v>VE01</v>
          </cell>
          <cell r="G7828" t="str">
            <v>Auto</v>
          </cell>
          <cell r="H7828">
            <v>311</v>
          </cell>
          <cell r="I7828">
            <v>9210</v>
          </cell>
          <cell r="J7828">
            <v>9360</v>
          </cell>
          <cell r="K7828" t="str">
            <v>VE01</v>
          </cell>
        </row>
        <row r="7829">
          <cell r="A7829" t="str">
            <v>1PB1DVLB2086ZA</v>
          </cell>
          <cell r="B7829" t="str">
            <v>SMT</v>
          </cell>
          <cell r="E7829">
            <v>9210</v>
          </cell>
          <cell r="F7829" t="str">
            <v>VE01</v>
          </cell>
          <cell r="G7829" t="str">
            <v>Auto</v>
          </cell>
          <cell r="H7829">
            <v>311</v>
          </cell>
          <cell r="I7829">
            <v>9210</v>
          </cell>
          <cell r="J7829">
            <v>9360</v>
          </cell>
          <cell r="K7829" t="str">
            <v>VE01</v>
          </cell>
        </row>
        <row r="7830">
          <cell r="A7830" t="str">
            <v>SEP1006AF</v>
          </cell>
          <cell r="B7830" t="str">
            <v>SMT</v>
          </cell>
          <cell r="E7830">
            <v>9210</v>
          </cell>
          <cell r="F7830" t="str">
            <v>VE01</v>
          </cell>
          <cell r="G7830" t="str">
            <v>Auto</v>
          </cell>
          <cell r="H7830">
            <v>311</v>
          </cell>
          <cell r="I7830">
            <v>9210</v>
          </cell>
          <cell r="J7830">
            <v>9360</v>
          </cell>
          <cell r="K7830" t="str">
            <v>VE01</v>
          </cell>
        </row>
        <row r="7831">
          <cell r="A7831" t="str">
            <v>1RH1ARBPC1A14092</v>
          </cell>
          <cell r="B7831" t="str">
            <v>SMT</v>
          </cell>
        </row>
        <row r="7832">
          <cell r="A7832" t="str">
            <v>1CM1ARBPC1A14092</v>
          </cell>
          <cell r="B7832" t="str">
            <v>SMT</v>
          </cell>
          <cell r="E7832">
            <v>8210</v>
          </cell>
          <cell r="F7832" t="str">
            <v>V501</v>
          </cell>
          <cell r="G7832" t="str">
            <v>Auto</v>
          </cell>
          <cell r="H7832">
            <v>311</v>
          </cell>
          <cell r="I7832">
            <v>8210</v>
          </cell>
          <cell r="J7832">
            <v>8220</v>
          </cell>
          <cell r="K7832" t="str">
            <v>V501</v>
          </cell>
        </row>
        <row r="7833">
          <cell r="A7833" t="str">
            <v>1RE1ARBPC1A14092</v>
          </cell>
          <cell r="B7833" t="str">
            <v>SMT</v>
          </cell>
        </row>
        <row r="7834">
          <cell r="A7834" t="str">
            <v>1CM1H608E3K70BP</v>
          </cell>
          <cell r="B7834" t="str">
            <v>SMT</v>
          </cell>
          <cell r="E7834">
            <v>6210</v>
          </cell>
          <cell r="F7834" t="str">
            <v>VG01</v>
          </cell>
          <cell r="G7834" t="str">
            <v>Auto</v>
          </cell>
          <cell r="H7834">
            <v>311</v>
          </cell>
          <cell r="I7834">
            <v>6210</v>
          </cell>
          <cell r="J7834">
            <v>6220</v>
          </cell>
          <cell r="K7834" t="str">
            <v>VG01</v>
          </cell>
        </row>
        <row r="7835">
          <cell r="A7835" t="str">
            <v>1RH1H608E3K70BP</v>
          </cell>
          <cell r="B7835" t="str">
            <v>SMT</v>
          </cell>
        </row>
        <row r="7836">
          <cell r="A7836" t="str">
            <v>1HT1H608E3K70BP</v>
          </cell>
          <cell r="B7836" t="str">
            <v>SMT</v>
          </cell>
        </row>
        <row r="7837">
          <cell r="A7837" t="str">
            <v>H67493K70BP</v>
          </cell>
          <cell r="B7837" t="str">
            <v>SMT</v>
          </cell>
        </row>
        <row r="7838">
          <cell r="A7838" t="str">
            <v>1RE2ARBP01A01075</v>
          </cell>
          <cell r="B7838" t="str">
            <v>SMT</v>
          </cell>
          <cell r="E7838">
            <v>8210</v>
          </cell>
          <cell r="F7838" t="str">
            <v>V501</v>
          </cell>
          <cell r="G7838" t="str">
            <v>Auto</v>
          </cell>
          <cell r="H7838">
            <v>311</v>
          </cell>
          <cell r="I7838">
            <v>8210</v>
          </cell>
          <cell r="J7838">
            <v>8220</v>
          </cell>
          <cell r="K7838" t="str">
            <v>V501</v>
          </cell>
        </row>
        <row r="7839">
          <cell r="A7839" t="str">
            <v>1RE1ARBP01A01075</v>
          </cell>
          <cell r="B7839" t="str">
            <v>SMT</v>
          </cell>
        </row>
        <row r="7840">
          <cell r="A7840" t="str">
            <v>1RE2ARBP01A01085</v>
          </cell>
          <cell r="B7840" t="str">
            <v>SMT</v>
          </cell>
          <cell r="E7840">
            <v>8210</v>
          </cell>
          <cell r="F7840" t="str">
            <v>V501</v>
          </cell>
          <cell r="G7840" t="str">
            <v>Auto</v>
          </cell>
          <cell r="H7840">
            <v>311</v>
          </cell>
          <cell r="I7840">
            <v>8210</v>
          </cell>
          <cell r="J7840">
            <v>8220</v>
          </cell>
          <cell r="K7840" t="str">
            <v>V501</v>
          </cell>
        </row>
        <row r="7841">
          <cell r="A7841" t="str">
            <v>1RE1ARBP01A01085</v>
          </cell>
          <cell r="B7841" t="str">
            <v>SMT</v>
          </cell>
        </row>
        <row r="7842">
          <cell r="A7842" t="str">
            <v>1CM1H603Y3L40APFE2</v>
          </cell>
          <cell r="B7842" t="str">
            <v>SMT</v>
          </cell>
          <cell r="E7842">
            <v>6210</v>
          </cell>
          <cell r="F7842" t="str">
            <v>VG01</v>
          </cell>
          <cell r="G7842" t="str">
            <v>Auto</v>
          </cell>
          <cell r="H7842">
            <v>311</v>
          </cell>
          <cell r="I7842">
            <v>6210</v>
          </cell>
          <cell r="J7842">
            <v>6220</v>
          </cell>
          <cell r="K7842" t="str">
            <v>VG01</v>
          </cell>
        </row>
        <row r="7843">
          <cell r="A7843" t="str">
            <v>1RH1H603Y3L40APFE2</v>
          </cell>
          <cell r="B7843" t="str">
            <v>SMT</v>
          </cell>
        </row>
        <row r="7844">
          <cell r="A7844" t="str">
            <v>1TE1H603Y3L40APFE2</v>
          </cell>
          <cell r="B7844" t="str">
            <v>SMT</v>
          </cell>
        </row>
        <row r="7845">
          <cell r="A7845" t="str">
            <v>1AE1H603Y3L40APFE2</v>
          </cell>
          <cell r="B7845" t="str">
            <v>SMT</v>
          </cell>
        </row>
        <row r="7846">
          <cell r="A7846" t="str">
            <v>1HT1H603Y3L40APFE2</v>
          </cell>
          <cell r="B7846" t="str">
            <v>SMT</v>
          </cell>
        </row>
        <row r="7847">
          <cell r="A7847" t="str">
            <v>1CM1H603Y3L60APFE2</v>
          </cell>
          <cell r="B7847" t="str">
            <v>SMT</v>
          </cell>
          <cell r="E7847">
            <v>6210</v>
          </cell>
          <cell r="F7847" t="str">
            <v>VG01</v>
          </cell>
          <cell r="G7847" t="str">
            <v>Auto</v>
          </cell>
          <cell r="H7847">
            <v>311</v>
          </cell>
          <cell r="I7847">
            <v>6210</v>
          </cell>
          <cell r="J7847">
            <v>6220</v>
          </cell>
          <cell r="K7847" t="str">
            <v>VG01</v>
          </cell>
        </row>
        <row r="7848">
          <cell r="A7848" t="str">
            <v>1RH1H603Y3L60APFE2</v>
          </cell>
          <cell r="B7848" t="str">
            <v>SMT</v>
          </cell>
        </row>
        <row r="7849">
          <cell r="A7849" t="str">
            <v>1TE1H603Y3L60APFE2</v>
          </cell>
          <cell r="B7849" t="str">
            <v>SMT</v>
          </cell>
        </row>
        <row r="7850">
          <cell r="A7850" t="str">
            <v>1AE1H603Y3L60APFE2</v>
          </cell>
          <cell r="B7850" t="str">
            <v>SMT</v>
          </cell>
        </row>
        <row r="7851">
          <cell r="A7851" t="str">
            <v>1HT1H603Y3L60APFE2</v>
          </cell>
          <cell r="B7851" t="str">
            <v>SMT</v>
          </cell>
        </row>
        <row r="7852">
          <cell r="A7852" t="str">
            <v>1CM1ARBPC1A14640</v>
          </cell>
          <cell r="B7852" t="str">
            <v>SMT</v>
          </cell>
          <cell r="E7852">
            <v>8210</v>
          </cell>
          <cell r="F7852" t="str">
            <v>V501</v>
          </cell>
          <cell r="G7852" t="str">
            <v>Auto</v>
          </cell>
          <cell r="H7852">
            <v>311</v>
          </cell>
          <cell r="I7852">
            <v>8210</v>
          </cell>
          <cell r="J7852">
            <v>8220</v>
          </cell>
          <cell r="K7852" t="str">
            <v>V501</v>
          </cell>
        </row>
        <row r="7853">
          <cell r="A7853" t="str">
            <v>1RH1ARBPC1A14640</v>
          </cell>
          <cell r="B7853" t="str">
            <v>SMT</v>
          </cell>
        </row>
        <row r="7854">
          <cell r="A7854" t="str">
            <v>1RE1ARBPC1A14640</v>
          </cell>
          <cell r="B7854" t="str">
            <v>SMT</v>
          </cell>
        </row>
        <row r="7855">
          <cell r="A7855" t="str">
            <v>1RH1ARBP0DA01475</v>
          </cell>
          <cell r="B7855" t="str">
            <v>SMT</v>
          </cell>
          <cell r="E7855">
            <v>8210</v>
          </cell>
          <cell r="F7855" t="str">
            <v>V501</v>
          </cell>
          <cell r="G7855" t="str">
            <v>Auto</v>
          </cell>
          <cell r="H7855">
            <v>311</v>
          </cell>
          <cell r="I7855">
            <v>8210</v>
          </cell>
          <cell r="J7855">
            <v>8220</v>
          </cell>
          <cell r="K7855" t="str">
            <v>V501</v>
          </cell>
        </row>
        <row r="7856">
          <cell r="A7856" t="str">
            <v>1CM1ARBP0DA01475</v>
          </cell>
          <cell r="B7856" t="str">
            <v>SMT</v>
          </cell>
        </row>
        <row r="7857">
          <cell r="A7857" t="str">
            <v>1RE1ARBP0DA01475</v>
          </cell>
          <cell r="B7857" t="str">
            <v>SMT</v>
          </cell>
        </row>
        <row r="7858">
          <cell r="A7858" t="str">
            <v>1RH1ARBPC1A13181</v>
          </cell>
          <cell r="B7858" t="str">
            <v>SMT</v>
          </cell>
          <cell r="E7858">
            <v>8210</v>
          </cell>
          <cell r="F7858" t="str">
            <v>V501</v>
          </cell>
          <cell r="G7858" t="str">
            <v>Auto</v>
          </cell>
          <cell r="H7858">
            <v>311</v>
          </cell>
          <cell r="I7858">
            <v>8210</v>
          </cell>
          <cell r="J7858">
            <v>8220</v>
          </cell>
          <cell r="K7858" t="str">
            <v>V501</v>
          </cell>
        </row>
        <row r="7859">
          <cell r="A7859" t="str">
            <v>1AE1ARBPC1A13181</v>
          </cell>
          <cell r="B7859" t="str">
            <v>SMT</v>
          </cell>
        </row>
        <row r="7860">
          <cell r="A7860" t="str">
            <v>1RE1ARBPC1A13181</v>
          </cell>
          <cell r="B7860" t="str">
            <v>SMT</v>
          </cell>
        </row>
        <row r="7861">
          <cell r="A7861" t="str">
            <v>1RE1ARBP0DA02723</v>
          </cell>
          <cell r="B7861" t="str">
            <v>SMT</v>
          </cell>
        </row>
        <row r="7862">
          <cell r="A7862" t="str">
            <v>1RE2ARBP0DA02723</v>
          </cell>
          <cell r="B7862" t="str">
            <v>SMT</v>
          </cell>
          <cell r="E7862">
            <v>8210</v>
          </cell>
          <cell r="F7862" t="str">
            <v>V501</v>
          </cell>
          <cell r="G7862" t="str">
            <v>Auto</v>
          </cell>
          <cell r="H7862">
            <v>311</v>
          </cell>
          <cell r="I7862">
            <v>8210</v>
          </cell>
          <cell r="J7862">
            <v>8220</v>
          </cell>
          <cell r="K7862" t="str">
            <v>V501</v>
          </cell>
        </row>
        <row r="7863">
          <cell r="A7863" t="str">
            <v>1RE1DVLB2060ZB</v>
          </cell>
          <cell r="B7863" t="str">
            <v>SMT</v>
          </cell>
        </row>
        <row r="7864">
          <cell r="A7864" t="str">
            <v>1RE2DVLB2060ZB</v>
          </cell>
          <cell r="B7864" t="str">
            <v>SMT</v>
          </cell>
        </row>
        <row r="7865">
          <cell r="A7865" t="str">
            <v>1RE1DVLB2060ZB</v>
          </cell>
          <cell r="B7865" t="str">
            <v>SMT</v>
          </cell>
        </row>
        <row r="7866">
          <cell r="A7866" t="str">
            <v>1PB1DVLB2060ZB</v>
          </cell>
          <cell r="B7866" t="str">
            <v>SMT</v>
          </cell>
          <cell r="E7866">
            <v>9210</v>
          </cell>
          <cell r="F7866" t="str">
            <v>VE01</v>
          </cell>
          <cell r="G7866" t="str">
            <v>Auto</v>
          </cell>
          <cell r="H7866">
            <v>311</v>
          </cell>
          <cell r="I7866">
            <v>9210</v>
          </cell>
          <cell r="J7866">
            <v>9360</v>
          </cell>
          <cell r="K7866" t="str">
            <v>VE01</v>
          </cell>
        </row>
        <row r="7867">
          <cell r="A7867" t="str">
            <v>DVLB2060ZB/X1</v>
          </cell>
          <cell r="B7867" t="str">
            <v>SMT</v>
          </cell>
        </row>
        <row r="7868">
          <cell r="A7868" t="str">
            <v>1CM1ARBPC1A14640</v>
          </cell>
          <cell r="B7868" t="str">
            <v>SMT</v>
          </cell>
          <cell r="E7868">
            <v>8210</v>
          </cell>
          <cell r="F7868" t="str">
            <v>V501</v>
          </cell>
          <cell r="G7868" t="str">
            <v>Auto</v>
          </cell>
          <cell r="H7868">
            <v>311</v>
          </cell>
          <cell r="I7868">
            <v>8210</v>
          </cell>
          <cell r="J7868">
            <v>8220</v>
          </cell>
          <cell r="K7868" t="str">
            <v>V501</v>
          </cell>
        </row>
        <row r="7869">
          <cell r="A7869" t="str">
            <v>1RH1ARBPC1A14640</v>
          </cell>
          <cell r="B7869" t="str">
            <v>SMT</v>
          </cell>
        </row>
        <row r="7870">
          <cell r="A7870" t="str">
            <v>1RE1ARBPC1A14640</v>
          </cell>
          <cell r="B7870" t="str">
            <v>SMT</v>
          </cell>
        </row>
        <row r="7871">
          <cell r="A7871" t="str">
            <v>1RH1ARBPC1A13181</v>
          </cell>
          <cell r="B7871" t="str">
            <v>SMT</v>
          </cell>
          <cell r="E7871">
            <v>8210</v>
          </cell>
          <cell r="F7871" t="str">
            <v>V501</v>
          </cell>
          <cell r="G7871" t="str">
            <v>Auto</v>
          </cell>
          <cell r="H7871">
            <v>311</v>
          </cell>
          <cell r="I7871">
            <v>8210</v>
          </cell>
          <cell r="J7871">
            <v>8220</v>
          </cell>
          <cell r="K7871" t="str">
            <v>V501</v>
          </cell>
        </row>
        <row r="7872">
          <cell r="A7872" t="str">
            <v>1AE1ARBPC1A13181</v>
          </cell>
          <cell r="B7872" t="str">
            <v>SMT</v>
          </cell>
        </row>
        <row r="7873">
          <cell r="A7873" t="str">
            <v>1RE1ARBPC1A13181</v>
          </cell>
          <cell r="B7873" t="str">
            <v>SMT</v>
          </cell>
        </row>
        <row r="7874">
          <cell r="A7874" t="str">
            <v>1RH1ARBPC1A10015</v>
          </cell>
          <cell r="B7874" t="str">
            <v>SMT</v>
          </cell>
          <cell r="E7874">
            <v>8210</v>
          </cell>
          <cell r="F7874" t="str">
            <v>V501</v>
          </cell>
          <cell r="G7874" t="str">
            <v>Auto</v>
          </cell>
          <cell r="H7874">
            <v>311</v>
          </cell>
          <cell r="I7874">
            <v>8210</v>
          </cell>
          <cell r="J7874">
            <v>8220</v>
          </cell>
          <cell r="K7874" t="str">
            <v>V501</v>
          </cell>
        </row>
        <row r="7875">
          <cell r="A7875" t="str">
            <v>1AE1ARBPC1A10015</v>
          </cell>
          <cell r="B7875" t="str">
            <v>SMT</v>
          </cell>
        </row>
        <row r="7876">
          <cell r="A7876" t="str">
            <v>1RE1ARBPC1A10015</v>
          </cell>
          <cell r="B7876" t="str">
            <v>SMT</v>
          </cell>
        </row>
        <row r="7877">
          <cell r="A7877" t="str">
            <v>1CM1ARBPC1A11454</v>
          </cell>
          <cell r="B7877" t="str">
            <v>SMT</v>
          </cell>
          <cell r="E7877">
            <v>8210</v>
          </cell>
          <cell r="F7877" t="str">
            <v>V501</v>
          </cell>
          <cell r="G7877" t="str">
            <v>Auto</v>
          </cell>
          <cell r="H7877">
            <v>311</v>
          </cell>
          <cell r="I7877">
            <v>8210</v>
          </cell>
          <cell r="J7877">
            <v>8220</v>
          </cell>
          <cell r="K7877" t="str">
            <v>V501</v>
          </cell>
        </row>
        <row r="7878">
          <cell r="A7878" t="str">
            <v>1RH1ARBPC1A11454</v>
          </cell>
          <cell r="B7878" t="str">
            <v>SMT</v>
          </cell>
        </row>
        <row r="7879">
          <cell r="A7879" t="str">
            <v>1AE1ARBPC1A11454</v>
          </cell>
          <cell r="B7879" t="str">
            <v>SMT</v>
          </cell>
        </row>
        <row r="7880">
          <cell r="A7880" t="str">
            <v>1RE1ARBPC1A11454</v>
          </cell>
          <cell r="B7880" t="str">
            <v>SMT</v>
          </cell>
        </row>
        <row r="7881">
          <cell r="A7881" t="str">
            <v>1RH1ARBPC1A11793</v>
          </cell>
          <cell r="B7881" t="str">
            <v>SMT</v>
          </cell>
          <cell r="E7881">
            <v>8210</v>
          </cell>
          <cell r="F7881" t="str">
            <v>V501</v>
          </cell>
          <cell r="G7881" t="str">
            <v>Auto</v>
          </cell>
          <cell r="H7881">
            <v>311</v>
          </cell>
          <cell r="I7881">
            <v>8210</v>
          </cell>
          <cell r="J7881">
            <v>8220</v>
          </cell>
          <cell r="K7881" t="str">
            <v>V501</v>
          </cell>
        </row>
        <row r="7882">
          <cell r="A7882" t="str">
            <v>1AE1ARBPC1A11793</v>
          </cell>
          <cell r="B7882" t="str">
            <v>SMT</v>
          </cell>
        </row>
        <row r="7883">
          <cell r="A7883" t="str">
            <v>1RE1ARBPC1A11793</v>
          </cell>
          <cell r="B7883" t="str">
            <v>SMT</v>
          </cell>
        </row>
        <row r="7884">
          <cell r="A7884" t="str">
            <v>1RE2DVLB1991ZA Laser</v>
          </cell>
          <cell r="B7884" t="str">
            <v>SMT</v>
          </cell>
        </row>
        <row r="7885">
          <cell r="A7885" t="str">
            <v>1PB1DVLB1744ZA</v>
          </cell>
          <cell r="B7885" t="str">
            <v>SMT</v>
          </cell>
          <cell r="E7885">
            <v>9210</v>
          </cell>
          <cell r="F7885" t="str">
            <v>VE01</v>
          </cell>
          <cell r="G7885" t="str">
            <v>Auto</v>
          </cell>
          <cell r="H7885">
            <v>311</v>
          </cell>
          <cell r="I7885">
            <v>9210</v>
          </cell>
          <cell r="J7885">
            <v>9360</v>
          </cell>
          <cell r="K7885" t="str">
            <v>VE01</v>
          </cell>
        </row>
        <row r="7886">
          <cell r="A7886" t="str">
            <v>1PB1DVLB1973ZA</v>
          </cell>
          <cell r="B7886" t="str">
            <v>SMT</v>
          </cell>
          <cell r="E7886">
            <v>9210</v>
          </cell>
          <cell r="F7886" t="str">
            <v>VE01</v>
          </cell>
          <cell r="G7886" t="str">
            <v>Auto</v>
          </cell>
          <cell r="H7886">
            <v>311</v>
          </cell>
          <cell r="I7886">
            <v>9210</v>
          </cell>
          <cell r="J7886">
            <v>9360</v>
          </cell>
          <cell r="K7886" t="str">
            <v>VE01</v>
          </cell>
        </row>
        <row r="7887">
          <cell r="A7887" t="str">
            <v>1PB1DVLB1974ZA</v>
          </cell>
          <cell r="B7887" t="str">
            <v>SMT</v>
          </cell>
          <cell r="E7887">
            <v>9210</v>
          </cell>
          <cell r="F7887" t="str">
            <v>VE01</v>
          </cell>
          <cell r="G7887" t="str">
            <v>Auto</v>
          </cell>
          <cell r="H7887">
            <v>311</v>
          </cell>
          <cell r="I7887">
            <v>9210</v>
          </cell>
          <cell r="J7887">
            <v>9360</v>
          </cell>
          <cell r="K7887" t="str">
            <v>VE01</v>
          </cell>
        </row>
        <row r="7888">
          <cell r="A7888" t="str">
            <v>1PB1DVLB1975ZA</v>
          </cell>
          <cell r="B7888" t="str">
            <v>SMT</v>
          </cell>
          <cell r="E7888">
            <v>9210</v>
          </cell>
          <cell r="F7888" t="str">
            <v>VE01</v>
          </cell>
          <cell r="G7888" t="str">
            <v>Auto</v>
          </cell>
          <cell r="H7888">
            <v>311</v>
          </cell>
          <cell r="I7888">
            <v>9210</v>
          </cell>
          <cell r="J7888">
            <v>9360</v>
          </cell>
          <cell r="K7888" t="str">
            <v>VE01</v>
          </cell>
        </row>
        <row r="7889">
          <cell r="A7889" t="str">
            <v>1PB1DVLB1976ZB</v>
          </cell>
          <cell r="B7889" t="str">
            <v>SMT</v>
          </cell>
          <cell r="E7889">
            <v>9210</v>
          </cell>
          <cell r="F7889" t="str">
            <v>VE01</v>
          </cell>
          <cell r="G7889" t="str">
            <v>Auto</v>
          </cell>
          <cell r="H7889">
            <v>311</v>
          </cell>
          <cell r="I7889">
            <v>9210</v>
          </cell>
          <cell r="J7889">
            <v>9360</v>
          </cell>
          <cell r="K7889" t="str">
            <v>VE01</v>
          </cell>
        </row>
        <row r="7890">
          <cell r="A7890" t="str">
            <v>1PB1DVLB2054ZA</v>
          </cell>
          <cell r="B7890" t="str">
            <v>SMT</v>
          </cell>
          <cell r="E7890">
            <v>9210</v>
          </cell>
          <cell r="F7890" t="str">
            <v>VE01</v>
          </cell>
          <cell r="G7890" t="str">
            <v>Auto</v>
          </cell>
          <cell r="H7890">
            <v>311</v>
          </cell>
          <cell r="I7890">
            <v>9210</v>
          </cell>
          <cell r="J7890">
            <v>9360</v>
          </cell>
          <cell r="K7890" t="str">
            <v>VE01</v>
          </cell>
        </row>
        <row r="7891">
          <cell r="A7891" t="str">
            <v>1PB1DVLB2051ZA</v>
          </cell>
          <cell r="B7891" t="str">
            <v>SMT</v>
          </cell>
          <cell r="E7891">
            <v>9210</v>
          </cell>
          <cell r="F7891" t="str">
            <v>VE01</v>
          </cell>
          <cell r="G7891" t="str">
            <v>Auto</v>
          </cell>
          <cell r="H7891">
            <v>311</v>
          </cell>
          <cell r="I7891">
            <v>9210</v>
          </cell>
          <cell r="J7891">
            <v>9360</v>
          </cell>
          <cell r="K7891" t="str">
            <v>VE01</v>
          </cell>
        </row>
        <row r="7892">
          <cell r="A7892" t="str">
            <v>1PB1DVLB2053ZA</v>
          </cell>
          <cell r="B7892" t="str">
            <v>SMT</v>
          </cell>
          <cell r="E7892">
            <v>9210</v>
          </cell>
          <cell r="F7892" t="str">
            <v>VE01</v>
          </cell>
          <cell r="G7892" t="str">
            <v>Auto</v>
          </cell>
          <cell r="H7892">
            <v>311</v>
          </cell>
          <cell r="I7892">
            <v>9210</v>
          </cell>
          <cell r="J7892">
            <v>9360</v>
          </cell>
          <cell r="K7892" t="str">
            <v>VE01</v>
          </cell>
        </row>
        <row r="7893">
          <cell r="A7893" t="str">
            <v>1PB1DVLB2062ZA</v>
          </cell>
          <cell r="B7893" t="str">
            <v>SMT</v>
          </cell>
          <cell r="E7893">
            <v>9210</v>
          </cell>
          <cell r="F7893" t="str">
            <v>VE01</v>
          </cell>
          <cell r="G7893" t="str">
            <v>Auto</v>
          </cell>
          <cell r="H7893">
            <v>311</v>
          </cell>
          <cell r="I7893">
            <v>9210</v>
          </cell>
          <cell r="J7893">
            <v>9360</v>
          </cell>
          <cell r="K7893" t="str">
            <v>VE01</v>
          </cell>
        </row>
        <row r="7894">
          <cell r="A7894" t="str">
            <v>1PB1DVLB2063ZA</v>
          </cell>
          <cell r="B7894" t="str">
            <v>SMT</v>
          </cell>
          <cell r="E7894">
            <v>9210</v>
          </cell>
          <cell r="F7894" t="str">
            <v>VE01</v>
          </cell>
          <cell r="G7894" t="str">
            <v>Auto</v>
          </cell>
          <cell r="H7894">
            <v>311</v>
          </cell>
          <cell r="I7894">
            <v>9210</v>
          </cell>
          <cell r="J7894">
            <v>9360</v>
          </cell>
          <cell r="K7894" t="str">
            <v>VE01</v>
          </cell>
        </row>
        <row r="7895">
          <cell r="A7895" t="str">
            <v>1PB1DVLB2064ZA</v>
          </cell>
          <cell r="B7895" t="str">
            <v>SMT</v>
          </cell>
          <cell r="E7895">
            <v>9210</v>
          </cell>
          <cell r="F7895" t="str">
            <v>VE01</v>
          </cell>
          <cell r="G7895" t="str">
            <v>Auto</v>
          </cell>
          <cell r="H7895">
            <v>311</v>
          </cell>
          <cell r="I7895">
            <v>9210</v>
          </cell>
          <cell r="J7895">
            <v>9360</v>
          </cell>
          <cell r="K7895" t="str">
            <v>VE01</v>
          </cell>
        </row>
        <row r="7896">
          <cell r="A7896" t="str">
            <v>1PB1DVLB2083ZA</v>
          </cell>
          <cell r="B7896" t="str">
            <v>SMT</v>
          </cell>
          <cell r="E7896">
            <v>9210</v>
          </cell>
          <cell r="F7896" t="str">
            <v>VE01</v>
          </cell>
          <cell r="G7896" t="str">
            <v>Auto</v>
          </cell>
          <cell r="H7896">
            <v>311</v>
          </cell>
          <cell r="I7896">
            <v>9210</v>
          </cell>
          <cell r="J7896">
            <v>9360</v>
          </cell>
          <cell r="K7896" t="str">
            <v>VE01</v>
          </cell>
        </row>
        <row r="7897">
          <cell r="A7897" t="str">
            <v>1PB1DVLB2084ZA</v>
          </cell>
          <cell r="B7897" t="str">
            <v>SMT</v>
          </cell>
          <cell r="E7897">
            <v>9210</v>
          </cell>
          <cell r="F7897" t="str">
            <v>VE01</v>
          </cell>
          <cell r="G7897" t="str">
            <v>Auto</v>
          </cell>
          <cell r="H7897">
            <v>311</v>
          </cell>
          <cell r="I7897">
            <v>9210</v>
          </cell>
          <cell r="J7897">
            <v>9360</v>
          </cell>
          <cell r="K7897" t="str">
            <v>VE01</v>
          </cell>
        </row>
        <row r="7898">
          <cell r="A7898" t="str">
            <v>1PB1DVLB2085ZA</v>
          </cell>
          <cell r="B7898" t="str">
            <v>SMT</v>
          </cell>
          <cell r="E7898">
            <v>9210</v>
          </cell>
          <cell r="F7898" t="str">
            <v>VE01</v>
          </cell>
          <cell r="G7898" t="str">
            <v>Auto</v>
          </cell>
          <cell r="H7898">
            <v>311</v>
          </cell>
          <cell r="I7898">
            <v>9210</v>
          </cell>
          <cell r="J7898">
            <v>9360</v>
          </cell>
          <cell r="K7898" t="str">
            <v>VE01</v>
          </cell>
        </row>
        <row r="7899">
          <cell r="A7899" t="str">
            <v>1PB1DVLB2086ZA</v>
          </cell>
          <cell r="B7899" t="str">
            <v>SMT</v>
          </cell>
          <cell r="E7899">
            <v>9210</v>
          </cell>
          <cell r="F7899" t="str">
            <v>VE01</v>
          </cell>
          <cell r="G7899" t="str">
            <v>Auto</v>
          </cell>
          <cell r="H7899">
            <v>311</v>
          </cell>
          <cell r="I7899">
            <v>9210</v>
          </cell>
          <cell r="J7899">
            <v>9360</v>
          </cell>
          <cell r="K7899" t="str">
            <v>VE01</v>
          </cell>
        </row>
        <row r="7900">
          <cell r="A7900" t="str">
            <v>1PB1DVLB2074ZA</v>
          </cell>
          <cell r="B7900" t="str">
            <v>SMT</v>
          </cell>
          <cell r="E7900">
            <v>9210</v>
          </cell>
          <cell r="F7900" t="str">
            <v>VE01</v>
          </cell>
          <cell r="G7900" t="str">
            <v>Auto</v>
          </cell>
          <cell r="H7900">
            <v>311</v>
          </cell>
          <cell r="I7900">
            <v>9210</v>
          </cell>
          <cell r="J7900">
            <v>9360</v>
          </cell>
          <cell r="K7900" t="str">
            <v>VE01</v>
          </cell>
        </row>
        <row r="7901">
          <cell r="A7901" t="str">
            <v>1CM1ARBPC1A11064</v>
          </cell>
          <cell r="B7901" t="str">
            <v>SMT</v>
          </cell>
          <cell r="E7901">
            <v>8210</v>
          </cell>
          <cell r="F7901" t="str">
            <v>V501</v>
          </cell>
          <cell r="G7901" t="str">
            <v>Auto</v>
          </cell>
          <cell r="H7901">
            <v>311</v>
          </cell>
          <cell r="I7901">
            <v>8210</v>
          </cell>
          <cell r="J7901">
            <v>8220</v>
          </cell>
          <cell r="K7901" t="str">
            <v>V501</v>
          </cell>
        </row>
        <row r="7902">
          <cell r="A7902" t="str">
            <v>1RH1ARBPC1A11064</v>
          </cell>
          <cell r="B7902" t="str">
            <v>SMT</v>
          </cell>
        </row>
        <row r="7903">
          <cell r="A7903" t="str">
            <v>1AE1ARBPC1A11064</v>
          </cell>
          <cell r="B7903" t="str">
            <v>SMT</v>
          </cell>
        </row>
        <row r="7904">
          <cell r="A7904" t="str">
            <v>1RE1ARBPC1A11064</v>
          </cell>
          <cell r="B7904" t="str">
            <v>SMT</v>
          </cell>
        </row>
        <row r="7905">
          <cell r="A7905" t="str">
            <v>1CM1ARBPC1A11635</v>
          </cell>
          <cell r="B7905" t="str">
            <v>SMT</v>
          </cell>
          <cell r="E7905">
            <v>8210</v>
          </cell>
          <cell r="F7905" t="str">
            <v>V501</v>
          </cell>
          <cell r="G7905" t="str">
            <v>Auto</v>
          </cell>
          <cell r="H7905">
            <v>311</v>
          </cell>
          <cell r="I7905">
            <v>8210</v>
          </cell>
          <cell r="J7905">
            <v>8220</v>
          </cell>
          <cell r="K7905" t="str">
            <v>V501</v>
          </cell>
        </row>
        <row r="7906">
          <cell r="A7906" t="str">
            <v>1RH1ARBPC1A11635</v>
          </cell>
          <cell r="B7906" t="str">
            <v>SMT</v>
          </cell>
        </row>
        <row r="7907">
          <cell r="A7907" t="str">
            <v>1AE1ARBPC1A11635</v>
          </cell>
          <cell r="B7907" t="str">
            <v>SMT</v>
          </cell>
        </row>
        <row r="7908">
          <cell r="A7908" t="str">
            <v>1RE1ARBPC1A11635</v>
          </cell>
          <cell r="B7908" t="str">
            <v>SMT</v>
          </cell>
        </row>
        <row r="7909">
          <cell r="A7909" t="str">
            <v>1CM1H603L-3L10-PP1</v>
          </cell>
          <cell r="B7909" t="str">
            <v>SMT</v>
          </cell>
          <cell r="E7909">
            <v>6210</v>
          </cell>
          <cell r="F7909" t="str">
            <v>VG01</v>
          </cell>
          <cell r="G7909" t="str">
            <v>Auto</v>
          </cell>
          <cell r="H7909">
            <v>311</v>
          </cell>
          <cell r="I7909">
            <v>6210</v>
          </cell>
          <cell r="J7909">
            <v>6220</v>
          </cell>
          <cell r="K7909" t="str">
            <v>VG01</v>
          </cell>
        </row>
        <row r="7910">
          <cell r="A7910" t="str">
            <v>1RH1H603L-3L10-PP1</v>
          </cell>
          <cell r="B7910" t="str">
            <v>SMT</v>
          </cell>
        </row>
        <row r="7911">
          <cell r="A7911" t="str">
            <v>1TE1H603L-3L10-PP1</v>
          </cell>
          <cell r="B7911" t="str">
            <v>SMT</v>
          </cell>
        </row>
        <row r="7912">
          <cell r="A7912" t="str">
            <v>1AE1H603L-3L10-PP1</v>
          </cell>
          <cell r="B7912" t="str">
            <v>SMT</v>
          </cell>
        </row>
        <row r="7913">
          <cell r="A7913" t="str">
            <v>1HT1H603L-3L10-PP1</v>
          </cell>
          <cell r="B7913" t="str">
            <v>SMT</v>
          </cell>
        </row>
        <row r="7914">
          <cell r="A7914" t="str">
            <v>1RE2H605Q-3L10-PP1</v>
          </cell>
          <cell r="B7914" t="str">
            <v>SMT</v>
          </cell>
          <cell r="E7914">
            <v>6210</v>
          </cell>
          <cell r="F7914" t="str">
            <v>VG01</v>
          </cell>
          <cell r="G7914" t="str">
            <v>Auto</v>
          </cell>
          <cell r="H7914">
            <v>311</v>
          </cell>
          <cell r="I7914">
            <v>6210</v>
          </cell>
          <cell r="J7914">
            <v>6310</v>
          </cell>
          <cell r="K7914" t="str">
            <v>VG01</v>
          </cell>
        </row>
        <row r="7915">
          <cell r="A7915" t="str">
            <v>1RE1H605Q-3L10-PP1</v>
          </cell>
          <cell r="B7915" t="str">
            <v>SMT</v>
          </cell>
        </row>
        <row r="7916">
          <cell r="A7916" t="str">
            <v>1RH1ARBPC1A14780</v>
          </cell>
          <cell r="B7916" t="str">
            <v>SMT</v>
          </cell>
          <cell r="E7916">
            <v>8210</v>
          </cell>
          <cell r="F7916" t="str">
            <v>V501</v>
          </cell>
          <cell r="G7916" t="str">
            <v>Auto</v>
          </cell>
          <cell r="H7916">
            <v>311</v>
          </cell>
          <cell r="I7916">
            <v>8210</v>
          </cell>
          <cell r="J7916">
            <v>8220</v>
          </cell>
          <cell r="K7916" t="str">
            <v>V501</v>
          </cell>
        </row>
        <row r="7917">
          <cell r="A7917" t="str">
            <v>1AE1ARBPC1A14780</v>
          </cell>
          <cell r="B7917" t="str">
            <v>SMT</v>
          </cell>
        </row>
        <row r="7918">
          <cell r="A7918" t="str">
            <v>1RE1ARBPC1A14780</v>
          </cell>
          <cell r="B7918" t="str">
            <v>SMT</v>
          </cell>
        </row>
        <row r="7919">
          <cell r="A7919" t="str">
            <v>PULB1134ZA-S2</v>
          </cell>
          <cell r="B7919" t="str">
            <v>SMT</v>
          </cell>
        </row>
        <row r="7920">
          <cell r="A7920" t="str">
            <v>PULB1132ZA-S2</v>
          </cell>
          <cell r="B7920" t="str">
            <v>SMT</v>
          </cell>
        </row>
        <row r="7921">
          <cell r="A7921" t="str">
            <v>PULB1133ZA-S2</v>
          </cell>
          <cell r="B7921" t="str">
            <v>SMT</v>
          </cell>
        </row>
        <row r="7922">
          <cell r="A7922" t="str">
            <v>1RE1UZ650-S2</v>
          </cell>
          <cell r="B7922" t="str">
            <v>SMT</v>
          </cell>
          <cell r="E7922">
            <v>9210</v>
          </cell>
          <cell r="F7922" t="str">
            <v>VE01</v>
          </cell>
          <cell r="G7922" t="str">
            <v>Auto</v>
          </cell>
          <cell r="H7922">
            <v>311</v>
          </cell>
          <cell r="I7922">
            <v>9210</v>
          </cell>
          <cell r="J7922">
            <v>9220</v>
          </cell>
          <cell r="K7922" t="str">
            <v>VE01</v>
          </cell>
        </row>
        <row r="7923">
          <cell r="A7923" t="str">
            <v>1RE1UT630-S2</v>
          </cell>
          <cell r="B7923" t="str">
            <v>SMT</v>
          </cell>
        </row>
        <row r="7924">
          <cell r="A7924" t="str">
            <v>1RE2UT630-S2</v>
          </cell>
          <cell r="B7924" t="str">
            <v>SMT</v>
          </cell>
          <cell r="E7924">
            <v>9210</v>
          </cell>
          <cell r="F7924" t="str">
            <v>VE01</v>
          </cell>
          <cell r="G7924" t="str">
            <v>Auto</v>
          </cell>
          <cell r="H7924">
            <v>311</v>
          </cell>
          <cell r="I7924">
            <v>9210</v>
          </cell>
          <cell r="J7924">
            <v>9220</v>
          </cell>
          <cell r="K7924" t="str">
            <v>VE01</v>
          </cell>
        </row>
        <row r="7925">
          <cell r="A7925" t="str">
            <v>1RE1UT610-S2</v>
          </cell>
          <cell r="B7925" t="str">
            <v>SMT</v>
          </cell>
        </row>
        <row r="7926">
          <cell r="A7926" t="str">
            <v>1RE2UT610-S2</v>
          </cell>
          <cell r="B7926" t="str">
            <v>SMT</v>
          </cell>
          <cell r="E7926">
            <v>9210</v>
          </cell>
          <cell r="F7926" t="str">
            <v>VE01</v>
          </cell>
          <cell r="G7926" t="str">
            <v>Auto</v>
          </cell>
          <cell r="H7926">
            <v>311</v>
          </cell>
          <cell r="I7926">
            <v>9210</v>
          </cell>
          <cell r="J7926">
            <v>9220</v>
          </cell>
          <cell r="K7926" t="str">
            <v>VE01</v>
          </cell>
        </row>
        <row r="7927">
          <cell r="A7927" t="str">
            <v>1CM1ARBPC1A14830</v>
          </cell>
          <cell r="B7927" t="str">
            <v>SMT</v>
          </cell>
          <cell r="E7927">
            <v>8210</v>
          </cell>
          <cell r="F7927" t="str">
            <v>V501</v>
          </cell>
          <cell r="G7927" t="str">
            <v>Auto</v>
          </cell>
          <cell r="H7927">
            <v>311</v>
          </cell>
          <cell r="I7927">
            <v>8210</v>
          </cell>
          <cell r="J7927">
            <v>8220</v>
          </cell>
          <cell r="K7927" t="str">
            <v>V501</v>
          </cell>
        </row>
        <row r="7928">
          <cell r="A7928" t="str">
            <v>1RH1ARBPC1A14830</v>
          </cell>
          <cell r="B7928" t="str">
            <v>SMT</v>
          </cell>
        </row>
        <row r="7929">
          <cell r="A7929" t="str">
            <v>1AE1ARBPC1A14830</v>
          </cell>
          <cell r="B7929" t="str">
            <v>SMT</v>
          </cell>
        </row>
        <row r="7930">
          <cell r="A7930" t="str">
            <v>1RE1ARBPC1A14830</v>
          </cell>
          <cell r="B7930" t="str">
            <v>SMT</v>
          </cell>
        </row>
        <row r="7931">
          <cell r="A7931" t="str">
            <v>1CM1ARBPC1A08237</v>
          </cell>
          <cell r="B7931" t="str">
            <v>SMT</v>
          </cell>
          <cell r="E7931">
            <v>8210</v>
          </cell>
          <cell r="F7931" t="str">
            <v>V501</v>
          </cell>
          <cell r="G7931" t="str">
            <v>Auto</v>
          </cell>
          <cell r="H7931">
            <v>311</v>
          </cell>
          <cell r="I7931">
            <v>8210</v>
          </cell>
          <cell r="J7931">
            <v>8220</v>
          </cell>
          <cell r="K7931" t="str">
            <v>V501</v>
          </cell>
        </row>
        <row r="7932">
          <cell r="A7932" t="str">
            <v>1RH1ARBPC1A08237</v>
          </cell>
          <cell r="B7932" t="str">
            <v>SMT</v>
          </cell>
        </row>
        <row r="7933">
          <cell r="A7933" t="str">
            <v>1AE1ARBPC1A08237</v>
          </cell>
          <cell r="B7933" t="str">
            <v>SMT</v>
          </cell>
        </row>
        <row r="7934">
          <cell r="A7934" t="str">
            <v>1RE1ARBPC1A08237</v>
          </cell>
          <cell r="B7934" t="str">
            <v>SMT</v>
          </cell>
        </row>
        <row r="7935">
          <cell r="A7935" t="str">
            <v>1CM1ARBPC1A08524</v>
          </cell>
          <cell r="B7935" t="str">
            <v>SMT</v>
          </cell>
          <cell r="E7935">
            <v>8210</v>
          </cell>
          <cell r="F7935" t="str">
            <v>V501</v>
          </cell>
          <cell r="G7935" t="str">
            <v>Auto</v>
          </cell>
          <cell r="H7935">
            <v>311</v>
          </cell>
          <cell r="I7935">
            <v>8210</v>
          </cell>
          <cell r="J7935">
            <v>8220</v>
          </cell>
          <cell r="K7935" t="str">
            <v>V501</v>
          </cell>
        </row>
        <row r="7936">
          <cell r="A7936" t="str">
            <v>1RH1ARBPC1A08524</v>
          </cell>
          <cell r="B7936" t="str">
            <v>SMT</v>
          </cell>
        </row>
        <row r="7937">
          <cell r="A7937" t="str">
            <v>1AE1ARBPC1A08524</v>
          </cell>
          <cell r="B7937" t="str">
            <v>SMT</v>
          </cell>
        </row>
        <row r="7938">
          <cell r="A7938" t="str">
            <v>1RE1ARBPC1A08524</v>
          </cell>
          <cell r="B7938" t="str">
            <v>SMT</v>
          </cell>
        </row>
        <row r="7939">
          <cell r="A7939" t="str">
            <v>1CM1ARBPC1A09265</v>
          </cell>
          <cell r="B7939" t="str">
            <v>SMT</v>
          </cell>
          <cell r="E7939">
            <v>8210</v>
          </cell>
          <cell r="F7939" t="str">
            <v>V501</v>
          </cell>
          <cell r="G7939" t="str">
            <v>Auto</v>
          </cell>
          <cell r="H7939">
            <v>311</v>
          </cell>
          <cell r="I7939">
            <v>8210</v>
          </cell>
          <cell r="J7939">
            <v>8220</v>
          </cell>
          <cell r="K7939" t="str">
            <v>V501</v>
          </cell>
        </row>
        <row r="7940">
          <cell r="A7940" t="str">
            <v>1RH1ARBPC1A09265</v>
          </cell>
          <cell r="B7940" t="str">
            <v>SMT</v>
          </cell>
        </row>
        <row r="7941">
          <cell r="A7941" t="str">
            <v>1AE1ARBPC1A09265</v>
          </cell>
          <cell r="B7941" t="str">
            <v>SMT</v>
          </cell>
        </row>
        <row r="7942">
          <cell r="A7942" t="str">
            <v>1RE1ARBPC1A09265</v>
          </cell>
          <cell r="B7942" t="str">
            <v>SMT</v>
          </cell>
        </row>
        <row r="7943">
          <cell r="A7943" t="str">
            <v>1CM1ARBPC1A10034</v>
          </cell>
          <cell r="B7943" t="str">
            <v>SMT</v>
          </cell>
          <cell r="E7943">
            <v>8210</v>
          </cell>
          <cell r="F7943" t="str">
            <v>V501</v>
          </cell>
          <cell r="G7943" t="str">
            <v>Auto</v>
          </cell>
          <cell r="H7943">
            <v>311</v>
          </cell>
          <cell r="I7943">
            <v>8210</v>
          </cell>
          <cell r="J7943">
            <v>8220</v>
          </cell>
          <cell r="K7943" t="str">
            <v>V501</v>
          </cell>
        </row>
        <row r="7944">
          <cell r="A7944" t="str">
            <v>1RH1ARBPC1A10034</v>
          </cell>
          <cell r="B7944" t="str">
            <v>SMT</v>
          </cell>
        </row>
        <row r="7945">
          <cell r="A7945" t="str">
            <v>1AE1ARBPC1A10034</v>
          </cell>
          <cell r="B7945" t="str">
            <v>SMT</v>
          </cell>
        </row>
        <row r="7946">
          <cell r="A7946" t="str">
            <v>1RE1ARBPC1A10034</v>
          </cell>
          <cell r="B7946" t="str">
            <v>SMT</v>
          </cell>
        </row>
        <row r="7947">
          <cell r="A7947" t="str">
            <v>1CM1ARBPC1A10044</v>
          </cell>
          <cell r="B7947" t="str">
            <v>SMT</v>
          </cell>
          <cell r="E7947">
            <v>8210</v>
          </cell>
          <cell r="F7947" t="str">
            <v>V501</v>
          </cell>
          <cell r="G7947" t="str">
            <v>Auto</v>
          </cell>
          <cell r="H7947">
            <v>311</v>
          </cell>
          <cell r="I7947">
            <v>8210</v>
          </cell>
          <cell r="J7947">
            <v>8220</v>
          </cell>
          <cell r="K7947" t="str">
            <v>V501</v>
          </cell>
        </row>
        <row r="7948">
          <cell r="A7948" t="str">
            <v>1RH1ARBPC1A10044</v>
          </cell>
          <cell r="B7948" t="str">
            <v>SMT</v>
          </cell>
        </row>
        <row r="7949">
          <cell r="A7949" t="str">
            <v>1AE1ARBPC1A10044</v>
          </cell>
          <cell r="B7949" t="str">
            <v>SMT</v>
          </cell>
        </row>
        <row r="7950">
          <cell r="A7950" t="str">
            <v>1RE1ARBPC1A10044</v>
          </cell>
          <cell r="B7950" t="str">
            <v>SMT</v>
          </cell>
        </row>
        <row r="7951">
          <cell r="A7951" t="str">
            <v>1CM1ARBPC1A10024</v>
          </cell>
          <cell r="B7951" t="str">
            <v>SMT</v>
          </cell>
          <cell r="E7951">
            <v>8210</v>
          </cell>
          <cell r="F7951" t="str">
            <v>V501</v>
          </cell>
          <cell r="G7951" t="str">
            <v>Auto</v>
          </cell>
          <cell r="H7951">
            <v>311</v>
          </cell>
          <cell r="I7951">
            <v>8210</v>
          </cell>
          <cell r="J7951">
            <v>8220</v>
          </cell>
          <cell r="K7951" t="str">
            <v>V501</v>
          </cell>
        </row>
        <row r="7952">
          <cell r="A7952" t="str">
            <v>1RH1ARBPC1A10024</v>
          </cell>
          <cell r="B7952" t="str">
            <v>SMT</v>
          </cell>
        </row>
        <row r="7953">
          <cell r="A7953" t="str">
            <v>1AE1ARBPC1A10024</v>
          </cell>
          <cell r="B7953" t="str">
            <v>SMT</v>
          </cell>
        </row>
        <row r="7954">
          <cell r="A7954" t="str">
            <v>1RE1ARBPC1A10024</v>
          </cell>
          <cell r="B7954" t="str">
            <v>SMT</v>
          </cell>
        </row>
        <row r="7955">
          <cell r="A7955" t="str">
            <v>1CM1ARBPC1A08565</v>
          </cell>
          <cell r="B7955" t="str">
            <v>SMT</v>
          </cell>
          <cell r="E7955">
            <v>8210</v>
          </cell>
          <cell r="F7955" t="str">
            <v>V501</v>
          </cell>
          <cell r="G7955" t="str">
            <v>Auto</v>
          </cell>
          <cell r="H7955">
            <v>311</v>
          </cell>
          <cell r="I7955">
            <v>8210</v>
          </cell>
          <cell r="J7955">
            <v>8220</v>
          </cell>
          <cell r="K7955" t="str">
            <v>V501</v>
          </cell>
        </row>
        <row r="7956">
          <cell r="A7956" t="str">
            <v>1RH1ARBPC1A08565</v>
          </cell>
          <cell r="B7956" t="str">
            <v>SMT</v>
          </cell>
        </row>
        <row r="7957">
          <cell r="A7957" t="str">
            <v>1AE1ARBPC1A08565</v>
          </cell>
          <cell r="B7957" t="str">
            <v>SMT</v>
          </cell>
        </row>
        <row r="7958">
          <cell r="A7958" t="str">
            <v>1RE1ARBPC1A08565</v>
          </cell>
          <cell r="B7958" t="str">
            <v>SMT</v>
          </cell>
        </row>
        <row r="7959">
          <cell r="A7959" t="str">
            <v>1CM1ARBPC1A14641</v>
          </cell>
          <cell r="B7959" t="str">
            <v>SMT</v>
          </cell>
          <cell r="E7959">
            <v>8210</v>
          </cell>
          <cell r="F7959" t="str">
            <v>V501</v>
          </cell>
          <cell r="G7959" t="str">
            <v>Auto</v>
          </cell>
          <cell r="H7959">
            <v>311</v>
          </cell>
          <cell r="I7959">
            <v>8210</v>
          </cell>
          <cell r="J7959">
            <v>8220</v>
          </cell>
          <cell r="K7959" t="str">
            <v>V501</v>
          </cell>
        </row>
        <row r="7960">
          <cell r="A7960" t="str">
            <v>1RH1ARBPC1A14641</v>
          </cell>
          <cell r="B7960" t="str">
            <v>SMT</v>
          </cell>
        </row>
        <row r="7961">
          <cell r="A7961" t="str">
            <v>1RE1ARBPC1A14641</v>
          </cell>
          <cell r="B7961" t="str">
            <v>SMT</v>
          </cell>
        </row>
        <row r="7962">
          <cell r="A7962" t="str">
            <v>1RH1ARBPC1A13111</v>
          </cell>
          <cell r="B7962" t="str">
            <v>SMT</v>
          </cell>
          <cell r="E7962">
            <v>8210</v>
          </cell>
          <cell r="F7962" t="str">
            <v>V501</v>
          </cell>
          <cell r="G7962" t="str">
            <v>Auto</v>
          </cell>
          <cell r="H7962">
            <v>311</v>
          </cell>
          <cell r="I7962">
            <v>8210</v>
          </cell>
          <cell r="J7962">
            <v>8220</v>
          </cell>
          <cell r="K7962" t="str">
            <v>V501</v>
          </cell>
        </row>
        <row r="7963">
          <cell r="A7963" t="str">
            <v>1AE1ARBPC1A13111</v>
          </cell>
          <cell r="B7963" t="str">
            <v>SMT</v>
          </cell>
        </row>
        <row r="7964">
          <cell r="A7964" t="str">
            <v>1RE1ARBPC1A13111</v>
          </cell>
          <cell r="B7964" t="str">
            <v>SMT</v>
          </cell>
        </row>
        <row r="7965">
          <cell r="A7965" t="str">
            <v>1RH1ARBPC1A13121</v>
          </cell>
          <cell r="B7965" t="str">
            <v>SMT</v>
          </cell>
          <cell r="E7965">
            <v>8210</v>
          </cell>
          <cell r="F7965" t="str">
            <v>V501</v>
          </cell>
          <cell r="G7965" t="str">
            <v>Auto</v>
          </cell>
          <cell r="H7965">
            <v>311</v>
          </cell>
          <cell r="I7965">
            <v>8210</v>
          </cell>
          <cell r="J7965">
            <v>8220</v>
          </cell>
          <cell r="K7965" t="str">
            <v>V501</v>
          </cell>
        </row>
        <row r="7966">
          <cell r="A7966" t="str">
            <v>1AE1ARBPC1A13121</v>
          </cell>
          <cell r="B7966" t="str">
            <v>SMT</v>
          </cell>
        </row>
        <row r="7967">
          <cell r="A7967" t="str">
            <v>1RE1ARBPC1A13121</v>
          </cell>
          <cell r="B7967" t="str">
            <v>SMT</v>
          </cell>
        </row>
        <row r="7968">
          <cell r="A7968" t="str">
            <v>1RH1ARBPC1A09854</v>
          </cell>
          <cell r="B7968" t="str">
            <v>SMT</v>
          </cell>
          <cell r="E7968">
            <v>8210</v>
          </cell>
          <cell r="F7968" t="str">
            <v>V501</v>
          </cell>
          <cell r="G7968" t="str">
            <v>Auto</v>
          </cell>
          <cell r="H7968">
            <v>311</v>
          </cell>
          <cell r="I7968">
            <v>8210</v>
          </cell>
          <cell r="J7968">
            <v>8220</v>
          </cell>
          <cell r="K7968" t="str">
            <v>V501</v>
          </cell>
        </row>
        <row r="7969">
          <cell r="A7969" t="str">
            <v>1AE1ARBPC1A09854</v>
          </cell>
          <cell r="B7969" t="str">
            <v>SMT</v>
          </cell>
        </row>
        <row r="7970">
          <cell r="A7970" t="str">
            <v>1RE1ARBPC1A09854</v>
          </cell>
          <cell r="B7970" t="str">
            <v>SMT</v>
          </cell>
        </row>
        <row r="7971">
          <cell r="A7971" t="str">
            <v>1RH1ARBPC1A13131</v>
          </cell>
          <cell r="B7971" t="str">
            <v>SMT</v>
          </cell>
          <cell r="E7971">
            <v>8210</v>
          </cell>
          <cell r="F7971" t="str">
            <v>V501</v>
          </cell>
          <cell r="G7971" t="str">
            <v>Auto</v>
          </cell>
          <cell r="H7971">
            <v>311</v>
          </cell>
          <cell r="I7971">
            <v>8210</v>
          </cell>
          <cell r="J7971">
            <v>8220</v>
          </cell>
          <cell r="K7971" t="str">
            <v>V501</v>
          </cell>
        </row>
        <row r="7972">
          <cell r="A7972" t="str">
            <v>1AE1ARBPC1A13131</v>
          </cell>
          <cell r="B7972" t="str">
            <v>SMT</v>
          </cell>
        </row>
        <row r="7973">
          <cell r="A7973" t="str">
            <v>1RE1ARBPC1A13131</v>
          </cell>
          <cell r="B7973" t="str">
            <v>SMT</v>
          </cell>
        </row>
        <row r="7974">
          <cell r="A7974" t="str">
            <v>1RH1ARBPC1A09862</v>
          </cell>
          <cell r="B7974" t="str">
            <v>SMT</v>
          </cell>
          <cell r="E7974">
            <v>8210</v>
          </cell>
          <cell r="F7974" t="str">
            <v>V501</v>
          </cell>
          <cell r="G7974" t="str">
            <v>Auto</v>
          </cell>
          <cell r="H7974">
            <v>311</v>
          </cell>
          <cell r="I7974">
            <v>8210</v>
          </cell>
          <cell r="J7974">
            <v>8220</v>
          </cell>
          <cell r="K7974" t="str">
            <v>V501</v>
          </cell>
        </row>
        <row r="7975">
          <cell r="A7975" t="str">
            <v>1AE1ARBPC1A09862</v>
          </cell>
          <cell r="B7975" t="str">
            <v>SMT</v>
          </cell>
        </row>
        <row r="7976">
          <cell r="A7976" t="str">
            <v>1RE1ARBPC1A09862</v>
          </cell>
          <cell r="B7976" t="str">
            <v>SMT</v>
          </cell>
        </row>
        <row r="7977">
          <cell r="A7977" t="str">
            <v>1CM1H683L3K20AP-PP</v>
          </cell>
          <cell r="B7977" t="str">
            <v>SMT</v>
          </cell>
          <cell r="E7977">
            <v>6210</v>
          </cell>
          <cell r="F7977" t="str">
            <v>VG01</v>
          </cell>
          <cell r="G7977" t="str">
            <v>Auto</v>
          </cell>
          <cell r="H7977">
            <v>311</v>
          </cell>
          <cell r="I7977">
            <v>6210</v>
          </cell>
          <cell r="J7977">
            <v>6220</v>
          </cell>
          <cell r="K7977" t="str">
            <v>VG01</v>
          </cell>
        </row>
        <row r="7978">
          <cell r="A7978" t="str">
            <v>1RH1H683L3K20AP-PP</v>
          </cell>
          <cell r="B7978" t="str">
            <v>SMT</v>
          </cell>
        </row>
        <row r="7979">
          <cell r="A7979" t="str">
            <v>1TE1H683L3K20AP-PP</v>
          </cell>
          <cell r="B7979" t="str">
            <v>SMT</v>
          </cell>
        </row>
        <row r="7980">
          <cell r="A7980" t="str">
            <v>1AE1H683L3K20AP-PP</v>
          </cell>
          <cell r="B7980" t="str">
            <v>SMT</v>
          </cell>
        </row>
        <row r="7981">
          <cell r="A7981" t="str">
            <v>1HT1H683L3K20AP-PP</v>
          </cell>
          <cell r="B7981" t="str">
            <v>SMT</v>
          </cell>
        </row>
        <row r="7982">
          <cell r="A7982" t="str">
            <v>1CM1H603Y3L20EP-S3</v>
          </cell>
          <cell r="B7982" t="str">
            <v>SMT</v>
          </cell>
          <cell r="E7982">
            <v>6210</v>
          </cell>
          <cell r="F7982" t="str">
            <v>VG01</v>
          </cell>
          <cell r="G7982" t="str">
            <v>Auto</v>
          </cell>
          <cell r="H7982">
            <v>311</v>
          </cell>
          <cell r="I7982">
            <v>6210</v>
          </cell>
          <cell r="J7982">
            <v>6220</v>
          </cell>
          <cell r="K7982" t="str">
            <v>VG01</v>
          </cell>
        </row>
        <row r="7983">
          <cell r="A7983" t="str">
            <v>1RH1H603Y3L20EP-S3</v>
          </cell>
          <cell r="B7983" t="str">
            <v>SMT</v>
          </cell>
        </row>
        <row r="7984">
          <cell r="A7984" t="str">
            <v>1TE1H603Y3L20EP-S3</v>
          </cell>
          <cell r="B7984" t="str">
            <v>SMT</v>
          </cell>
        </row>
        <row r="7985">
          <cell r="A7985" t="str">
            <v>1AE1H603Y3L20EP-S3</v>
          </cell>
          <cell r="B7985" t="str">
            <v>SMT</v>
          </cell>
        </row>
        <row r="7986">
          <cell r="A7986" t="str">
            <v>1HT1H603Y3L20EP-S3</v>
          </cell>
          <cell r="B7986" t="str">
            <v>SMT</v>
          </cell>
        </row>
        <row r="7987">
          <cell r="A7987" t="str">
            <v>1CM1H603Y3L40AP-S3</v>
          </cell>
          <cell r="B7987" t="str">
            <v>SMT</v>
          </cell>
          <cell r="E7987">
            <v>6210</v>
          </cell>
          <cell r="F7987" t="str">
            <v>VG01</v>
          </cell>
          <cell r="G7987" t="str">
            <v>Auto</v>
          </cell>
          <cell r="H7987">
            <v>311</v>
          </cell>
          <cell r="I7987">
            <v>6210</v>
          </cell>
          <cell r="J7987">
            <v>6220</v>
          </cell>
          <cell r="K7987" t="str">
            <v>VG01</v>
          </cell>
        </row>
        <row r="7988">
          <cell r="A7988" t="str">
            <v>1RH1H603Y3L40AP-S3</v>
          </cell>
          <cell r="B7988" t="str">
            <v>SMT</v>
          </cell>
        </row>
        <row r="7989">
          <cell r="A7989" t="str">
            <v>1TE1H603Y3L40AP-S3</v>
          </cell>
          <cell r="B7989" t="str">
            <v>SMT</v>
          </cell>
        </row>
        <row r="7990">
          <cell r="A7990" t="str">
            <v>1AE1H603Y3L40AP-S3</v>
          </cell>
          <cell r="B7990" t="str">
            <v>SMT</v>
          </cell>
        </row>
        <row r="7991">
          <cell r="A7991" t="str">
            <v>1HT1H603Y3L40AP-S3</v>
          </cell>
          <cell r="B7991" t="str">
            <v>SMT</v>
          </cell>
        </row>
        <row r="7992">
          <cell r="A7992" t="str">
            <v>1CM1H603Y3L60AP-S3</v>
          </cell>
          <cell r="B7992" t="str">
            <v>SMT</v>
          </cell>
          <cell r="E7992">
            <v>6210</v>
          </cell>
          <cell r="F7992" t="str">
            <v>VG01</v>
          </cell>
          <cell r="G7992" t="str">
            <v>Auto</v>
          </cell>
          <cell r="H7992">
            <v>311</v>
          </cell>
          <cell r="I7992">
            <v>6210</v>
          </cell>
          <cell r="J7992">
            <v>6220</v>
          </cell>
          <cell r="K7992" t="str">
            <v>VG01</v>
          </cell>
        </row>
        <row r="7993">
          <cell r="A7993" t="str">
            <v>1RH1H603Y3L60AP-S3</v>
          </cell>
          <cell r="B7993" t="str">
            <v>SMT</v>
          </cell>
        </row>
        <row r="7994">
          <cell r="A7994" t="str">
            <v>1TE1H603Y3L60AP-S3</v>
          </cell>
          <cell r="B7994" t="str">
            <v>SMT</v>
          </cell>
        </row>
        <row r="7995">
          <cell r="A7995" t="str">
            <v>1AE1H603Y3L60AP-S3</v>
          </cell>
          <cell r="B7995" t="str">
            <v>SMT</v>
          </cell>
        </row>
        <row r="7996">
          <cell r="A7996" t="str">
            <v>1HT1H603Y3L60AP-S3</v>
          </cell>
          <cell r="B7996" t="str">
            <v>SMT</v>
          </cell>
        </row>
        <row r="7997">
          <cell r="A7997" t="str">
            <v>1CM1H603Y3L60CP-S3</v>
          </cell>
          <cell r="B7997" t="str">
            <v>SMT</v>
          </cell>
          <cell r="E7997">
            <v>6210</v>
          </cell>
          <cell r="F7997" t="str">
            <v>VG01</v>
          </cell>
          <cell r="G7997" t="str">
            <v>Auto</v>
          </cell>
          <cell r="H7997">
            <v>311</v>
          </cell>
          <cell r="I7997">
            <v>6210</v>
          </cell>
          <cell r="J7997">
            <v>6220</v>
          </cell>
          <cell r="K7997" t="str">
            <v>VG01</v>
          </cell>
        </row>
        <row r="7998">
          <cell r="A7998" t="str">
            <v>1RH1H603Y3L60CP-S3</v>
          </cell>
          <cell r="B7998" t="str">
            <v>SMT</v>
          </cell>
        </row>
        <row r="7999">
          <cell r="A7999" t="str">
            <v>1TE1H603Y3L60CP-S3</v>
          </cell>
          <cell r="B7999" t="str">
            <v>SMT</v>
          </cell>
        </row>
        <row r="8000">
          <cell r="A8000" t="str">
            <v>1AE1H603Y3L60CP-S3</v>
          </cell>
          <cell r="B8000" t="str">
            <v>SMT</v>
          </cell>
        </row>
        <row r="8001">
          <cell r="A8001" t="str">
            <v>1HT1H603Y3L60CP-S3</v>
          </cell>
          <cell r="B8001" t="str">
            <v>SMT</v>
          </cell>
        </row>
        <row r="8002">
          <cell r="A8002" t="str">
            <v>1CM1ART003T20150</v>
          </cell>
          <cell r="B8002" t="str">
            <v>SMT</v>
          </cell>
          <cell r="E8002">
            <v>8210</v>
          </cell>
          <cell r="F8002" t="str">
            <v>V501</v>
          </cell>
          <cell r="G8002" t="str">
            <v>Auto</v>
          </cell>
          <cell r="H8002">
            <v>311</v>
          </cell>
          <cell r="I8002">
            <v>8210</v>
          </cell>
          <cell r="J8002">
            <v>8220</v>
          </cell>
          <cell r="K8002" t="str">
            <v>V501</v>
          </cell>
        </row>
        <row r="8003">
          <cell r="A8003" t="str">
            <v>1RH1ART003T20150</v>
          </cell>
          <cell r="B8003" t="str">
            <v>SMT</v>
          </cell>
        </row>
        <row r="8004">
          <cell r="A8004" t="str">
            <v>1AE1ART003T20150</v>
          </cell>
          <cell r="B8004" t="str">
            <v>SMT</v>
          </cell>
        </row>
        <row r="8005">
          <cell r="A8005" t="str">
            <v>1RE1ART003T20150</v>
          </cell>
          <cell r="B8005" t="str">
            <v>SMT</v>
          </cell>
        </row>
        <row r="8006">
          <cell r="A8006" t="str">
            <v>1RE1A608T-3G6B</v>
          </cell>
          <cell r="B8006" t="str">
            <v>SMT</v>
          </cell>
          <cell r="E8006">
            <v>6210</v>
          </cell>
          <cell r="F8006" t="str">
            <v>VG01</v>
          </cell>
          <cell r="G8006" t="str">
            <v>Auto</v>
          </cell>
          <cell r="H8006">
            <v>311</v>
          </cell>
          <cell r="I8006">
            <v>6210</v>
          </cell>
          <cell r="J8006">
            <v>6310</v>
          </cell>
          <cell r="K8006" t="str">
            <v>VG01</v>
          </cell>
        </row>
        <row r="8007">
          <cell r="A8007" t="str">
            <v>A6407-3G61</v>
          </cell>
          <cell r="B8007" t="str">
            <v>SMT</v>
          </cell>
        </row>
        <row r="8008">
          <cell r="A8008" t="str">
            <v>1CM1H683L3K20AP-T1</v>
          </cell>
          <cell r="B8008" t="str">
            <v>SMT</v>
          </cell>
          <cell r="E8008">
            <v>6210</v>
          </cell>
          <cell r="F8008" t="str">
            <v>VG01</v>
          </cell>
          <cell r="G8008" t="str">
            <v>Auto</v>
          </cell>
          <cell r="H8008">
            <v>311</v>
          </cell>
          <cell r="I8008">
            <v>6210</v>
          </cell>
          <cell r="J8008">
            <v>6220</v>
          </cell>
          <cell r="K8008" t="str">
            <v>VG01</v>
          </cell>
        </row>
        <row r="8009">
          <cell r="A8009" t="str">
            <v>1RH1H683L3K20AP-T1</v>
          </cell>
          <cell r="B8009" t="str">
            <v>SMT</v>
          </cell>
        </row>
        <row r="8010">
          <cell r="A8010" t="str">
            <v>1TE1H683L3K20AP-T1</v>
          </cell>
          <cell r="B8010" t="str">
            <v>SMT</v>
          </cell>
        </row>
        <row r="8011">
          <cell r="A8011" t="str">
            <v>1AE1H683L3K20AP-T1</v>
          </cell>
          <cell r="B8011" t="str">
            <v>SMT</v>
          </cell>
        </row>
        <row r="8012">
          <cell r="A8012" t="str">
            <v>1HT1H683L3K20AP-T1</v>
          </cell>
          <cell r="B8012" t="str">
            <v>SMT</v>
          </cell>
        </row>
        <row r="8013">
          <cell r="A8013" t="str">
            <v>1RE2H605Q-3L10-PP2</v>
          </cell>
          <cell r="B8013" t="str">
            <v>SMT</v>
          </cell>
          <cell r="E8013">
            <v>6210</v>
          </cell>
          <cell r="F8013" t="str">
            <v>VG01</v>
          </cell>
          <cell r="G8013" t="str">
            <v>Auto</v>
          </cell>
          <cell r="H8013">
            <v>311</v>
          </cell>
          <cell r="I8013">
            <v>6210</v>
          </cell>
          <cell r="J8013">
            <v>6310</v>
          </cell>
          <cell r="K8013" t="str">
            <v>VG01</v>
          </cell>
        </row>
        <row r="8014">
          <cell r="A8014" t="str">
            <v>1RE1H605Q-3L10-PP2</v>
          </cell>
          <cell r="B8014" t="str">
            <v>SMT</v>
          </cell>
        </row>
        <row r="8015">
          <cell r="A8015" t="str">
            <v>1VJ1H605Q-3L10-PP2</v>
          </cell>
          <cell r="B8015" t="str">
            <v>SMT</v>
          </cell>
        </row>
        <row r="8016">
          <cell r="A8016" t="str">
            <v>1CM1H603L-3L10-PP2</v>
          </cell>
          <cell r="B8016" t="str">
            <v>SMT</v>
          </cell>
          <cell r="E8016">
            <v>6210</v>
          </cell>
          <cell r="F8016" t="str">
            <v>VG01</v>
          </cell>
          <cell r="G8016" t="str">
            <v>Auto</v>
          </cell>
          <cell r="H8016">
            <v>311</v>
          </cell>
          <cell r="I8016">
            <v>6210</v>
          </cell>
          <cell r="J8016">
            <v>6220</v>
          </cell>
          <cell r="K8016" t="str">
            <v>VG01</v>
          </cell>
        </row>
        <row r="8017">
          <cell r="A8017" t="str">
            <v>1RH1H603L-3L10-PP2</v>
          </cell>
          <cell r="B8017" t="str">
            <v>SMT</v>
          </cell>
        </row>
        <row r="8018">
          <cell r="A8018" t="str">
            <v>1TE1H603L-3L10-PP2</v>
          </cell>
          <cell r="B8018" t="str">
            <v>SMT</v>
          </cell>
        </row>
        <row r="8019">
          <cell r="A8019" t="str">
            <v>1AE1H603L-3L10-PP2</v>
          </cell>
          <cell r="B8019" t="str">
            <v>SMT</v>
          </cell>
        </row>
        <row r="8020">
          <cell r="A8020" t="str">
            <v>1HT1H603L-3L10-PP2</v>
          </cell>
          <cell r="B8020" t="str">
            <v>SMT</v>
          </cell>
        </row>
        <row r="8021">
          <cell r="A8021" t="str">
            <v>1CM1ARBPC1A12384</v>
          </cell>
          <cell r="B8021" t="str">
            <v>SMT</v>
          </cell>
          <cell r="C8021">
            <v>1</v>
          </cell>
          <cell r="E8021">
            <v>8210</v>
          </cell>
          <cell r="F8021" t="str">
            <v>V501</v>
          </cell>
          <cell r="G8021" t="str">
            <v>Auto</v>
          </cell>
          <cell r="H8021">
            <v>311</v>
          </cell>
          <cell r="I8021">
            <v>8210</v>
          </cell>
          <cell r="J8021">
            <v>8220</v>
          </cell>
          <cell r="K8021" t="str">
            <v>V501</v>
          </cell>
        </row>
        <row r="8022">
          <cell r="A8022" t="str">
            <v>1RH1ARBPC1A12384</v>
          </cell>
          <cell r="B8022" t="str">
            <v>SMT</v>
          </cell>
          <cell r="C8022">
            <v>1</v>
          </cell>
        </row>
        <row r="8023">
          <cell r="A8023" t="str">
            <v>1RE1ARBPC1A12384</v>
          </cell>
          <cell r="B8023" t="str">
            <v>SMT</v>
          </cell>
          <cell r="C8023">
            <v>1</v>
          </cell>
        </row>
        <row r="8024">
          <cell r="A8024" t="str">
            <v>1CM1H603L-3L10</v>
          </cell>
          <cell r="B8024" t="str">
            <v>SMT</v>
          </cell>
          <cell r="C8024">
            <v>1</v>
          </cell>
          <cell r="E8024">
            <v>6210</v>
          </cell>
          <cell r="F8024" t="str">
            <v>VG01</v>
          </cell>
          <cell r="G8024" t="str">
            <v>Auto</v>
          </cell>
          <cell r="H8024">
            <v>311</v>
          </cell>
          <cell r="I8024">
            <v>6210</v>
          </cell>
          <cell r="J8024">
            <v>6220</v>
          </cell>
          <cell r="K8024" t="str">
            <v>VG01</v>
          </cell>
        </row>
        <row r="8025">
          <cell r="A8025" t="str">
            <v>1RH1H603L-3L10</v>
          </cell>
          <cell r="B8025" t="str">
            <v>SMT</v>
          </cell>
          <cell r="C8025">
            <v>1</v>
          </cell>
        </row>
        <row r="8026">
          <cell r="A8026" t="str">
            <v>1TE1H603L-3L10</v>
          </cell>
          <cell r="B8026" t="str">
            <v>SMT</v>
          </cell>
          <cell r="C8026">
            <v>1</v>
          </cell>
        </row>
        <row r="8027">
          <cell r="A8027" t="str">
            <v>1AE1H603L-3L10</v>
          </cell>
          <cell r="B8027" t="str">
            <v>SMT</v>
          </cell>
          <cell r="C8027">
            <v>1</v>
          </cell>
        </row>
        <row r="8028">
          <cell r="A8028" t="str">
            <v>1HT1H603L-3L10</v>
          </cell>
          <cell r="B8028" t="str">
            <v>SMT</v>
          </cell>
          <cell r="C8028">
            <v>1</v>
          </cell>
        </row>
        <row r="8029">
          <cell r="A8029" t="str">
            <v>1CM1H683L3K20AP</v>
          </cell>
          <cell r="B8029" t="str">
            <v>SMT</v>
          </cell>
          <cell r="C8029">
            <v>1</v>
          </cell>
          <cell r="E8029">
            <v>6210</v>
          </cell>
          <cell r="F8029" t="str">
            <v>VG01</v>
          </cell>
          <cell r="G8029" t="str">
            <v>Auto</v>
          </cell>
          <cell r="H8029">
            <v>311</v>
          </cell>
          <cell r="I8029">
            <v>6210</v>
          </cell>
          <cell r="J8029">
            <v>6220</v>
          </cell>
          <cell r="K8029" t="str">
            <v>VG01</v>
          </cell>
        </row>
        <row r="8030">
          <cell r="A8030" t="str">
            <v>1RH1H683L3K20AP</v>
          </cell>
          <cell r="B8030" t="str">
            <v>SMT</v>
          </cell>
          <cell r="C8030">
            <v>1</v>
          </cell>
        </row>
        <row r="8031">
          <cell r="A8031" t="str">
            <v>1TE1H683L3K20AP</v>
          </cell>
          <cell r="B8031" t="str">
            <v>SMT</v>
          </cell>
          <cell r="C8031">
            <v>1</v>
          </cell>
        </row>
        <row r="8032">
          <cell r="A8032" t="str">
            <v>1AE1H683L3K20AP</v>
          </cell>
          <cell r="B8032" t="str">
            <v>SMT</v>
          </cell>
          <cell r="C8032">
            <v>1</v>
          </cell>
        </row>
        <row r="8033">
          <cell r="A8033" t="str">
            <v>1HT1H683L3K20AP</v>
          </cell>
          <cell r="B8033" t="str">
            <v>SMT</v>
          </cell>
          <cell r="C8033">
            <v>1</v>
          </cell>
        </row>
        <row r="8034">
          <cell r="A8034" t="str">
            <v>1RE2H605Q-3L10</v>
          </cell>
          <cell r="B8034" t="str">
            <v>SMT</v>
          </cell>
          <cell r="C8034">
            <v>1</v>
          </cell>
          <cell r="E8034">
            <v>6210</v>
          </cell>
          <cell r="F8034" t="str">
            <v>VG01</v>
          </cell>
          <cell r="G8034" t="str">
            <v>Auto</v>
          </cell>
          <cell r="H8034">
            <v>311</v>
          </cell>
          <cell r="I8034">
            <v>6210</v>
          </cell>
          <cell r="J8034">
            <v>6220</v>
          </cell>
          <cell r="K8034" t="str">
            <v>VG01</v>
          </cell>
        </row>
        <row r="8035">
          <cell r="A8035" t="str">
            <v>1RE1H605Q-3L10</v>
          </cell>
          <cell r="B8035" t="str">
            <v>SMT</v>
          </cell>
          <cell r="C8035">
            <v>1</v>
          </cell>
        </row>
        <row r="8036">
          <cell r="A8036" t="str">
            <v>1VJ1H605Q-3L10</v>
          </cell>
          <cell r="B8036" t="str">
            <v>SMT</v>
          </cell>
          <cell r="C8036">
            <v>1</v>
          </cell>
        </row>
        <row r="8037">
          <cell r="A8037" t="str">
            <v>1RE2H685Q3K20AP</v>
          </cell>
          <cell r="B8037" t="str">
            <v>SMT</v>
          </cell>
          <cell r="C8037">
            <v>1</v>
          </cell>
          <cell r="E8037">
            <v>6210</v>
          </cell>
          <cell r="F8037" t="str">
            <v>VG01</v>
          </cell>
          <cell r="G8037" t="str">
            <v>Auto</v>
          </cell>
          <cell r="H8037">
            <v>311</v>
          </cell>
          <cell r="I8037">
            <v>6210</v>
          </cell>
          <cell r="J8037">
            <v>6220</v>
          </cell>
          <cell r="K8037" t="str">
            <v>VG01</v>
          </cell>
        </row>
        <row r="8038">
          <cell r="A8038" t="str">
            <v>1RE1H685Q3K20AP</v>
          </cell>
          <cell r="B8038" t="str">
            <v>SMT</v>
          </cell>
          <cell r="C8038">
            <v>1</v>
          </cell>
        </row>
        <row r="8039">
          <cell r="A8039" t="str">
            <v>1VJ1H685Q3K20AP</v>
          </cell>
          <cell r="B8039" t="str">
            <v>SMT</v>
          </cell>
          <cell r="C8039">
            <v>1</v>
          </cell>
        </row>
        <row r="8040">
          <cell r="A8040" t="str">
            <v>1VJ2H685Q3K20AP</v>
          </cell>
          <cell r="B8040" t="str">
            <v>SMT</v>
          </cell>
          <cell r="C8040">
            <v>1</v>
          </cell>
        </row>
        <row r="8041">
          <cell r="A8041" t="str">
            <v>1VJ3H685Q3K20AP</v>
          </cell>
          <cell r="B8041" t="str">
            <v>SMT</v>
          </cell>
          <cell r="C8041">
            <v>1</v>
          </cell>
        </row>
        <row r="8042">
          <cell r="A8042" t="str">
            <v>1CM1ARBPC1A03751</v>
          </cell>
          <cell r="B8042" t="str">
            <v>SMT</v>
          </cell>
          <cell r="C8042">
            <v>1</v>
          </cell>
          <cell r="E8042">
            <v>8210</v>
          </cell>
          <cell r="F8042" t="str">
            <v>V501</v>
          </cell>
          <cell r="G8042" t="str">
            <v>Auto</v>
          </cell>
          <cell r="H8042">
            <v>311</v>
          </cell>
          <cell r="I8042">
            <v>8210</v>
          </cell>
          <cell r="J8042">
            <v>8220</v>
          </cell>
          <cell r="K8042" t="str">
            <v>V501</v>
          </cell>
        </row>
        <row r="8043">
          <cell r="A8043" t="str">
            <v>1RH1ARBPC1A03751</v>
          </cell>
          <cell r="B8043" t="str">
            <v>SMT</v>
          </cell>
          <cell r="C8043">
            <v>1</v>
          </cell>
        </row>
        <row r="8044">
          <cell r="A8044" t="str">
            <v>1AE1ARBPC1A03751</v>
          </cell>
          <cell r="B8044" t="str">
            <v>SMT</v>
          </cell>
          <cell r="C8044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hi AE Jum, HT"/>
    </sheetNames>
    <sheetDataSet>
      <sheetData sheetId="0">
        <row r="1">
          <cell r="A1" t="str">
            <v>Model</v>
          </cell>
          <cell r="B1" t="str">
            <v>Điểm cắm</v>
          </cell>
        </row>
        <row r="2">
          <cell r="A2" t="str">
            <v>1AE1603L6P10AP1-T1</v>
          </cell>
          <cell r="B2">
            <v>24</v>
          </cell>
        </row>
        <row r="3">
          <cell r="A3" t="str">
            <v>1AE1A603L3E6AAP</v>
          </cell>
          <cell r="B3">
            <v>60</v>
          </cell>
        </row>
        <row r="4">
          <cell r="A4" t="str">
            <v>1AE1A603L3E6AAP-P1</v>
          </cell>
          <cell r="B4">
            <v>60</v>
          </cell>
        </row>
        <row r="5">
          <cell r="A5" t="str">
            <v>1AE1A603L3E6AAP-P2</v>
          </cell>
          <cell r="B5">
            <v>60</v>
          </cell>
        </row>
        <row r="6">
          <cell r="A6" t="str">
            <v>1AE1A603L3E8AAP</v>
          </cell>
          <cell r="B6">
            <v>59</v>
          </cell>
        </row>
        <row r="7">
          <cell r="A7" t="str">
            <v>1AE1A603L3E8AAP-P1</v>
          </cell>
          <cell r="B7">
            <v>59</v>
          </cell>
        </row>
        <row r="8">
          <cell r="A8" t="str">
            <v>1AE1A603L3E8AAP-P2</v>
          </cell>
          <cell r="B8">
            <v>59</v>
          </cell>
        </row>
        <row r="9">
          <cell r="A9" t="str">
            <v>1AE1A603L3F0AAP</v>
          </cell>
          <cell r="B9">
            <v>60</v>
          </cell>
        </row>
        <row r="10">
          <cell r="A10" t="str">
            <v>1AE1A603L3F0AAP-P1</v>
          </cell>
          <cell r="B10">
            <v>60</v>
          </cell>
        </row>
        <row r="11">
          <cell r="A11" t="str">
            <v>1AE1A603L3F0AAP-P2</v>
          </cell>
          <cell r="B11">
            <v>60</v>
          </cell>
        </row>
        <row r="12">
          <cell r="A12" t="str">
            <v>1AE1A603L3F6AEU</v>
          </cell>
          <cell r="B12">
            <v>60</v>
          </cell>
        </row>
        <row r="13">
          <cell r="A13" t="str">
            <v>1AE1A603L3F6AEU-P1</v>
          </cell>
          <cell r="B13">
            <v>60</v>
          </cell>
        </row>
        <row r="14">
          <cell r="A14" t="str">
            <v>1AE1A603L3F6AEU-P2</v>
          </cell>
          <cell r="B14">
            <v>60</v>
          </cell>
        </row>
        <row r="15">
          <cell r="A15" t="str">
            <v>1AE1A603L3F7AEU</v>
          </cell>
          <cell r="B15">
            <v>60</v>
          </cell>
        </row>
        <row r="16">
          <cell r="A16" t="str">
            <v>1AE1A603L3F7AEU-P1</v>
          </cell>
          <cell r="B16">
            <v>60</v>
          </cell>
        </row>
        <row r="17">
          <cell r="A17" t="str">
            <v>1AE1A603L3F7AEU-P2</v>
          </cell>
          <cell r="B17">
            <v>60</v>
          </cell>
        </row>
        <row r="18">
          <cell r="A18" t="str">
            <v>1AE1A603L3F9ABP</v>
          </cell>
          <cell r="B18">
            <v>59</v>
          </cell>
        </row>
        <row r="19">
          <cell r="A19" t="str">
            <v>1AE1A603L3F9ABP-P1</v>
          </cell>
          <cell r="B19">
            <v>59</v>
          </cell>
        </row>
        <row r="20">
          <cell r="A20" t="str">
            <v>1AE1A603L3F9ABP-P2</v>
          </cell>
          <cell r="B20">
            <v>59</v>
          </cell>
        </row>
        <row r="21">
          <cell r="A21" t="str">
            <v>1AE1A603L3F9AWT</v>
          </cell>
          <cell r="B21">
            <v>59</v>
          </cell>
        </row>
        <row r="22">
          <cell r="A22" t="str">
            <v>1AE1A603L3F9AWT-P1</v>
          </cell>
          <cell r="B22">
            <v>59</v>
          </cell>
        </row>
        <row r="23">
          <cell r="A23" t="str">
            <v>1AE1A603L3F9AWT-P2</v>
          </cell>
          <cell r="B23">
            <v>59</v>
          </cell>
        </row>
        <row r="24">
          <cell r="A24" t="str">
            <v>1AE1A603L3G0ABP</v>
          </cell>
          <cell r="B24">
            <v>60</v>
          </cell>
        </row>
        <row r="25">
          <cell r="A25" t="str">
            <v>1AE1A603L3G0ABP-P1</v>
          </cell>
          <cell r="B25">
            <v>60</v>
          </cell>
        </row>
        <row r="26">
          <cell r="A26" t="str">
            <v>1AE1A603L3G0ABP-P2</v>
          </cell>
          <cell r="B26">
            <v>60</v>
          </cell>
        </row>
        <row r="27">
          <cell r="A27" t="str">
            <v>1AE1A603L3G1AEU</v>
          </cell>
          <cell r="B27">
            <v>60</v>
          </cell>
        </row>
        <row r="28">
          <cell r="A28" t="str">
            <v>1AE1A603L3G1AEU-P1</v>
          </cell>
          <cell r="B28">
            <v>60</v>
          </cell>
        </row>
        <row r="29">
          <cell r="A29" t="str">
            <v>1AE1A603L3G1AEU-P2</v>
          </cell>
          <cell r="B29">
            <v>60</v>
          </cell>
        </row>
        <row r="30">
          <cell r="A30" t="str">
            <v>1AE1A603L3G2AEU</v>
          </cell>
          <cell r="B30">
            <v>60</v>
          </cell>
        </row>
        <row r="31">
          <cell r="A31" t="str">
            <v>1AE1A603L3G2AEU-P1</v>
          </cell>
          <cell r="B31">
            <v>60</v>
          </cell>
        </row>
        <row r="32">
          <cell r="A32" t="str">
            <v>1AE1A603L3G2AEU-P2</v>
          </cell>
          <cell r="B32">
            <v>60</v>
          </cell>
        </row>
        <row r="33">
          <cell r="A33" t="str">
            <v>1AE1A603L3G80RP</v>
          </cell>
          <cell r="B33">
            <v>133</v>
          </cell>
        </row>
        <row r="34">
          <cell r="A34" t="str">
            <v>1AE1A603L3G80RP-P1</v>
          </cell>
          <cell r="B34">
            <v>133</v>
          </cell>
        </row>
        <row r="35">
          <cell r="A35" t="str">
            <v>1AE1A603L3G81RP</v>
          </cell>
          <cell r="B35">
            <v>133</v>
          </cell>
        </row>
        <row r="36">
          <cell r="A36" t="str">
            <v>1AE1A603L3G8AAP</v>
          </cell>
          <cell r="B36">
            <v>133</v>
          </cell>
        </row>
        <row r="37">
          <cell r="A37" t="str">
            <v>1AE1A603L3G8AAP-P1</v>
          </cell>
          <cell r="B37">
            <v>133</v>
          </cell>
        </row>
        <row r="38">
          <cell r="A38" t="str">
            <v>1AE1A603L3G8AAP-P2</v>
          </cell>
          <cell r="B38">
            <v>133</v>
          </cell>
        </row>
        <row r="39">
          <cell r="A39" t="str">
            <v>1AE1A603L3G8ABP</v>
          </cell>
          <cell r="B39">
            <v>115</v>
          </cell>
        </row>
        <row r="40">
          <cell r="A40" t="str">
            <v>1AE1A603L3G8ABP-P1</v>
          </cell>
          <cell r="B40">
            <v>115</v>
          </cell>
        </row>
        <row r="41">
          <cell r="A41" t="str">
            <v>1AE1A603L3G8ABP-P2</v>
          </cell>
          <cell r="B41">
            <v>115</v>
          </cell>
        </row>
        <row r="42">
          <cell r="A42" t="str">
            <v>1AE1A603L3G8AYP</v>
          </cell>
          <cell r="B42">
            <v>115</v>
          </cell>
        </row>
        <row r="43">
          <cell r="A43" t="str">
            <v>1AE1A603L3G8AYP-P1</v>
          </cell>
          <cell r="B43">
            <v>115</v>
          </cell>
        </row>
        <row r="44">
          <cell r="A44" t="str">
            <v>1AE1A603L3G8AYP-P2</v>
          </cell>
          <cell r="B44">
            <v>115</v>
          </cell>
        </row>
        <row r="45">
          <cell r="A45" t="str">
            <v>1AE1A603L3G90P3</v>
          </cell>
          <cell r="B45">
            <v>93</v>
          </cell>
        </row>
        <row r="46">
          <cell r="A46" t="str">
            <v>1AE1A603L3G90P3-P1</v>
          </cell>
          <cell r="B46">
            <v>33</v>
          </cell>
        </row>
        <row r="47">
          <cell r="A47" t="str">
            <v>1AE1A603L-3G9A</v>
          </cell>
          <cell r="B47">
            <v>93</v>
          </cell>
        </row>
        <row r="48">
          <cell r="A48" t="str">
            <v>1AE1A603L3G9AP1</v>
          </cell>
          <cell r="B48">
            <v>93</v>
          </cell>
        </row>
        <row r="49">
          <cell r="A49" t="str">
            <v>1AE1A603L-3G9A-P1</v>
          </cell>
          <cell r="B49">
            <v>93</v>
          </cell>
        </row>
        <row r="50">
          <cell r="A50" t="str">
            <v>1AE1A603L3G9AP1-P1</v>
          </cell>
          <cell r="B50">
            <v>93</v>
          </cell>
        </row>
        <row r="51">
          <cell r="A51" t="str">
            <v>1AE1A603L3G9AP1-P2</v>
          </cell>
          <cell r="B51">
            <v>93</v>
          </cell>
        </row>
        <row r="52">
          <cell r="A52" t="str">
            <v>1AE1A603L-3G9A-P2</v>
          </cell>
          <cell r="B52">
            <v>93</v>
          </cell>
        </row>
        <row r="53">
          <cell r="A53" t="str">
            <v>1AE1A603L3H7AAP</v>
          </cell>
          <cell r="B53">
            <v>57</v>
          </cell>
        </row>
        <row r="54">
          <cell r="A54" t="str">
            <v>1AE1A603L3H7AAP-P1</v>
          </cell>
          <cell r="B54">
            <v>57</v>
          </cell>
        </row>
        <row r="55">
          <cell r="A55" t="str">
            <v>1AE1A603L3H7AAP-P2</v>
          </cell>
          <cell r="B55">
            <v>57</v>
          </cell>
        </row>
        <row r="56">
          <cell r="A56" t="str">
            <v>1AE1A603L3H8AAP</v>
          </cell>
          <cell r="B56">
            <v>56</v>
          </cell>
        </row>
        <row r="57">
          <cell r="A57" t="str">
            <v>1AE1A603L3H8AAP-P1</v>
          </cell>
          <cell r="B57">
            <v>56</v>
          </cell>
        </row>
        <row r="58">
          <cell r="A58" t="str">
            <v>1AE1A603L3H8AAP-P2</v>
          </cell>
          <cell r="B58">
            <v>56</v>
          </cell>
        </row>
        <row r="59">
          <cell r="A59" t="str">
            <v>1AE1A603L3H9AAP</v>
          </cell>
          <cell r="B59">
            <v>57</v>
          </cell>
        </row>
        <row r="60">
          <cell r="A60" t="str">
            <v>1AE1A603L3H9AAP-P1</v>
          </cell>
          <cell r="B60">
            <v>57</v>
          </cell>
        </row>
        <row r="61">
          <cell r="A61" t="str">
            <v>1AE1A603L3H9AAP-P2</v>
          </cell>
          <cell r="B61">
            <v>57</v>
          </cell>
        </row>
        <row r="62">
          <cell r="A62" t="str">
            <v>1AE1A603L-3J0A</v>
          </cell>
          <cell r="B62">
            <v>57</v>
          </cell>
        </row>
        <row r="63">
          <cell r="A63" t="str">
            <v>1AE1A603L3J0AP1</v>
          </cell>
          <cell r="B63">
            <v>57</v>
          </cell>
        </row>
        <row r="64">
          <cell r="A64" t="str">
            <v>1AE1A603L-3J0A-P1</v>
          </cell>
          <cell r="B64">
            <v>57</v>
          </cell>
        </row>
        <row r="65">
          <cell r="A65" t="str">
            <v>1AE1A603L3J0AP2</v>
          </cell>
          <cell r="B65">
            <v>57</v>
          </cell>
        </row>
        <row r="66">
          <cell r="A66" t="str">
            <v>1AE1A603L-3J0A-P2</v>
          </cell>
          <cell r="B66">
            <v>57</v>
          </cell>
        </row>
        <row r="67">
          <cell r="A67" t="str">
            <v>1AE1A603L3J1AP2</v>
          </cell>
          <cell r="B67">
            <v>65</v>
          </cell>
        </row>
        <row r="68">
          <cell r="A68" t="str">
            <v>1AE1A603L3J1AP2-P1</v>
          </cell>
          <cell r="B68">
            <v>65</v>
          </cell>
        </row>
        <row r="69">
          <cell r="A69" t="str">
            <v>1AE1A603L3J1AP2-P2</v>
          </cell>
          <cell r="B69">
            <v>65</v>
          </cell>
        </row>
        <row r="70">
          <cell r="A70" t="str">
            <v>1AE1A603L-3J2A</v>
          </cell>
          <cell r="B70">
            <v>57</v>
          </cell>
        </row>
        <row r="71">
          <cell r="A71" t="str">
            <v>1AE1A603L3J2AP3</v>
          </cell>
          <cell r="B71">
            <v>57</v>
          </cell>
        </row>
        <row r="72">
          <cell r="A72" t="str">
            <v>1AE1A603L3J2AP5</v>
          </cell>
          <cell r="B72">
            <v>57</v>
          </cell>
        </row>
        <row r="73">
          <cell r="A73" t="str">
            <v>1AE1A603L-3J3A</v>
          </cell>
          <cell r="B73">
            <v>74</v>
          </cell>
        </row>
        <row r="74">
          <cell r="A74" t="str">
            <v>1AE1A603L3J3AP1</v>
          </cell>
          <cell r="B74">
            <v>74</v>
          </cell>
        </row>
        <row r="75">
          <cell r="A75" t="str">
            <v>1AE1A603L-3J3A-P1</v>
          </cell>
          <cell r="B75">
            <v>74</v>
          </cell>
        </row>
        <row r="76">
          <cell r="A76" t="str">
            <v>1AE1A603L-3J3A-P2</v>
          </cell>
          <cell r="B76">
            <v>74</v>
          </cell>
        </row>
        <row r="77">
          <cell r="A77" t="str">
            <v>1AE1A603L3J90QP</v>
          </cell>
          <cell r="B77">
            <v>54</v>
          </cell>
        </row>
        <row r="78">
          <cell r="A78" t="str">
            <v>1AE1A603L3J9ABP</v>
          </cell>
          <cell r="B78">
            <v>54</v>
          </cell>
        </row>
        <row r="79">
          <cell r="A79" t="str">
            <v>1AE1A603L3J9ABP-P1</v>
          </cell>
          <cell r="B79">
            <v>54</v>
          </cell>
        </row>
        <row r="80">
          <cell r="A80" t="str">
            <v>1AE1A603L3J9ABP-P2</v>
          </cell>
          <cell r="B80">
            <v>54</v>
          </cell>
        </row>
        <row r="81">
          <cell r="A81" t="str">
            <v>1AE1A603L3K4ATP</v>
          </cell>
          <cell r="B81">
            <v>60</v>
          </cell>
        </row>
        <row r="82">
          <cell r="A82" t="str">
            <v>1AE1A603L3K4ATP-P1</v>
          </cell>
          <cell r="B82">
            <v>60</v>
          </cell>
        </row>
        <row r="83">
          <cell r="A83" t="str">
            <v>1AE1A603L3K4ATP-P2</v>
          </cell>
          <cell r="B83">
            <v>60</v>
          </cell>
        </row>
        <row r="84">
          <cell r="A84" t="str">
            <v>1AE1A603L-3K50</v>
          </cell>
          <cell r="B84">
            <v>57</v>
          </cell>
        </row>
        <row r="85">
          <cell r="A85" t="str">
            <v>1AE1A603L-3K50-P1</v>
          </cell>
          <cell r="B85">
            <v>57</v>
          </cell>
        </row>
        <row r="86">
          <cell r="A86" t="str">
            <v>1AE1A603L-3K50-P2</v>
          </cell>
          <cell r="B86">
            <v>57</v>
          </cell>
        </row>
        <row r="87">
          <cell r="A87" t="str">
            <v>1AE1A603M-3J0A</v>
          </cell>
          <cell r="B87">
            <v>2</v>
          </cell>
        </row>
        <row r="88">
          <cell r="A88" t="str">
            <v>1AE1A603M-3J0A-P1</v>
          </cell>
          <cell r="B88">
            <v>2</v>
          </cell>
        </row>
        <row r="89">
          <cell r="A89" t="str">
            <v>1AE1A603M-3J0A-P2</v>
          </cell>
          <cell r="B89">
            <v>2</v>
          </cell>
        </row>
        <row r="90">
          <cell r="A90" t="str">
            <v>1AE1A603M-3J3A</v>
          </cell>
          <cell r="B90">
            <v>1</v>
          </cell>
        </row>
        <row r="91">
          <cell r="A91" t="str">
            <v>1AE1A603M-3J3A-P1</v>
          </cell>
          <cell r="B91">
            <v>1</v>
          </cell>
        </row>
        <row r="92">
          <cell r="A92" t="str">
            <v>1AE1A603M-3J3A-P2</v>
          </cell>
          <cell r="B92">
            <v>1</v>
          </cell>
        </row>
        <row r="93">
          <cell r="A93" t="str">
            <v>1AE1A603Y3E6AAP</v>
          </cell>
          <cell r="B93">
            <v>19</v>
          </cell>
        </row>
        <row r="94">
          <cell r="A94" t="str">
            <v>1AE1A603Y3E6AAP-P1</v>
          </cell>
          <cell r="B94">
            <v>19</v>
          </cell>
        </row>
        <row r="95">
          <cell r="A95" t="str">
            <v>1AE1A603Y3E6AAP-P2</v>
          </cell>
          <cell r="B95">
            <v>19</v>
          </cell>
        </row>
        <row r="96">
          <cell r="A96" t="str">
            <v>1AE1A603Y3E6ACP</v>
          </cell>
          <cell r="B96">
            <v>20</v>
          </cell>
        </row>
        <row r="97">
          <cell r="A97" t="str">
            <v>1AE1A603Y3E6ACP-P1</v>
          </cell>
          <cell r="B97">
            <v>20</v>
          </cell>
        </row>
        <row r="98">
          <cell r="A98" t="str">
            <v>1AE1A603Y3E6ACP-P2</v>
          </cell>
          <cell r="B98">
            <v>20</v>
          </cell>
        </row>
        <row r="99">
          <cell r="A99" t="str">
            <v>1AE1A603Y3F0AAP</v>
          </cell>
          <cell r="B99">
            <v>19</v>
          </cell>
        </row>
        <row r="100">
          <cell r="A100" t="str">
            <v>1AE1A603Y3F0AAP-P1</v>
          </cell>
          <cell r="B100">
            <v>19</v>
          </cell>
        </row>
        <row r="101">
          <cell r="A101" t="str">
            <v>1AE1A603Y3F0AAP-P2</v>
          </cell>
          <cell r="B101">
            <v>19</v>
          </cell>
        </row>
        <row r="102">
          <cell r="A102" t="str">
            <v>1AE1A603Y3F0ACP</v>
          </cell>
          <cell r="B102">
            <v>20</v>
          </cell>
        </row>
        <row r="103">
          <cell r="A103" t="str">
            <v>1AE1A603Y3F0ACP-P1</v>
          </cell>
          <cell r="B103">
            <v>20</v>
          </cell>
        </row>
        <row r="104">
          <cell r="A104" t="str">
            <v>1AE1A603Y3F0ACP-P2</v>
          </cell>
          <cell r="B104">
            <v>20</v>
          </cell>
        </row>
        <row r="105">
          <cell r="A105" t="str">
            <v>1AE1A603Y3F9ABP</v>
          </cell>
          <cell r="B105">
            <v>20</v>
          </cell>
        </row>
        <row r="106">
          <cell r="A106" t="str">
            <v>1AE1A603Y3F9ABP-P1</v>
          </cell>
          <cell r="B106">
            <v>20</v>
          </cell>
        </row>
        <row r="107">
          <cell r="A107" t="str">
            <v>1AE1A603Y3F9ABP-P2</v>
          </cell>
          <cell r="B107">
            <v>20</v>
          </cell>
        </row>
        <row r="108">
          <cell r="A108" t="str">
            <v>1AE1A603Y3F9AMP</v>
          </cell>
          <cell r="B108">
            <v>19</v>
          </cell>
        </row>
        <row r="109">
          <cell r="A109" t="str">
            <v>1AE1A603Y3F9AMP-P1</v>
          </cell>
          <cell r="B109">
            <v>19</v>
          </cell>
        </row>
        <row r="110">
          <cell r="A110" t="str">
            <v>1AE1A603Y3F9AMP-P2</v>
          </cell>
          <cell r="B110">
            <v>19</v>
          </cell>
        </row>
        <row r="111">
          <cell r="A111" t="str">
            <v>1AE1A603Y3G1AEU</v>
          </cell>
          <cell r="B111">
            <v>20</v>
          </cell>
        </row>
        <row r="112">
          <cell r="A112" t="str">
            <v>1AE1A603Y3G1AEU-P1</v>
          </cell>
          <cell r="B112">
            <v>20</v>
          </cell>
        </row>
        <row r="113">
          <cell r="A113" t="str">
            <v>1AE1A603Y3G1AEU-P2</v>
          </cell>
          <cell r="B113">
            <v>20</v>
          </cell>
        </row>
        <row r="114">
          <cell r="A114" t="str">
            <v>1AE1A603Y-3J0A</v>
          </cell>
          <cell r="B114">
            <v>21</v>
          </cell>
        </row>
        <row r="115">
          <cell r="A115" t="str">
            <v>1AE1A603Y-3J0A-P1</v>
          </cell>
          <cell r="B115">
            <v>21</v>
          </cell>
        </row>
        <row r="116">
          <cell r="A116" t="str">
            <v>1AE1A603Y-3J0A-P2</v>
          </cell>
          <cell r="B116">
            <v>21</v>
          </cell>
        </row>
        <row r="117">
          <cell r="A117" t="str">
            <v>1AE1A603Y-3J3A</v>
          </cell>
          <cell r="B117">
            <v>14</v>
          </cell>
        </row>
        <row r="118">
          <cell r="A118" t="str">
            <v>1AE1A603Y-3J3A-P1</v>
          </cell>
          <cell r="B118">
            <v>14</v>
          </cell>
        </row>
        <row r="119">
          <cell r="A119" t="str">
            <v>1AE1A603Y-3J3A-P2</v>
          </cell>
          <cell r="B119">
            <v>14</v>
          </cell>
        </row>
        <row r="120">
          <cell r="A120" t="str">
            <v>1AE1A603Y-3J8A</v>
          </cell>
          <cell r="B120">
            <v>15</v>
          </cell>
        </row>
        <row r="121">
          <cell r="A121" t="str">
            <v>1AE1A603Y-3J8A-P1</v>
          </cell>
          <cell r="B121">
            <v>15</v>
          </cell>
        </row>
        <row r="122">
          <cell r="A122" t="str">
            <v>1AE1A603Y-3J8A-P2</v>
          </cell>
          <cell r="B122">
            <v>15</v>
          </cell>
        </row>
        <row r="123">
          <cell r="A123" t="str">
            <v>1AE1A603Y3J9ABP</v>
          </cell>
          <cell r="B123">
            <v>21</v>
          </cell>
        </row>
        <row r="124">
          <cell r="A124" t="str">
            <v>1AE1A603Y3J9ABP-P1</v>
          </cell>
          <cell r="B124">
            <v>21</v>
          </cell>
        </row>
        <row r="125">
          <cell r="A125" t="str">
            <v>1AE1A603Y3J9ABP-P2</v>
          </cell>
          <cell r="B125">
            <v>21</v>
          </cell>
        </row>
        <row r="126">
          <cell r="A126" t="str">
            <v>1AE1A608B3G1AEU</v>
          </cell>
          <cell r="B126">
            <v>12</v>
          </cell>
        </row>
        <row r="127">
          <cell r="A127" t="str">
            <v>1AE1A608B3G1AEU-P1</v>
          </cell>
          <cell r="B127">
            <v>12</v>
          </cell>
        </row>
        <row r="128">
          <cell r="A128" t="str">
            <v>1AE1A608B3G1AEU-P2</v>
          </cell>
          <cell r="B128">
            <v>12</v>
          </cell>
        </row>
        <row r="129">
          <cell r="A129" t="str">
            <v>1AE1A608B3H7AAP</v>
          </cell>
          <cell r="B129">
            <v>14</v>
          </cell>
        </row>
        <row r="130">
          <cell r="A130" t="str">
            <v>1AE1A608B3H7AAP-P1</v>
          </cell>
          <cell r="B130">
            <v>14</v>
          </cell>
        </row>
        <row r="131">
          <cell r="A131" t="str">
            <v>1AE1A608B3H7AAP-P2</v>
          </cell>
          <cell r="B131">
            <v>14</v>
          </cell>
        </row>
        <row r="132">
          <cell r="A132" t="str">
            <v>1AE1A608B3H9AAP</v>
          </cell>
          <cell r="B132">
            <v>10</v>
          </cell>
        </row>
        <row r="133">
          <cell r="A133" t="str">
            <v>1AE1A608B3H9AAP-P1</v>
          </cell>
          <cell r="B133">
            <v>10</v>
          </cell>
        </row>
        <row r="134">
          <cell r="A134" t="str">
            <v>1AE1A608B3H9AAP-P2</v>
          </cell>
          <cell r="B134">
            <v>10</v>
          </cell>
        </row>
        <row r="135">
          <cell r="A135" t="str">
            <v>1AE1ARBP01A00382</v>
          </cell>
          <cell r="B135">
            <v>5</v>
          </cell>
        </row>
        <row r="136">
          <cell r="A136" t="str">
            <v>1AE1ARBP01A00420</v>
          </cell>
          <cell r="B136">
            <v>13</v>
          </cell>
        </row>
        <row r="137">
          <cell r="A137" t="str">
            <v>1AE1ARBP01A00430</v>
          </cell>
          <cell r="B137">
            <v>1</v>
          </cell>
        </row>
        <row r="138">
          <cell r="A138" t="str">
            <v>1AE1ARBP01A00850</v>
          </cell>
          <cell r="B138">
            <v>13</v>
          </cell>
        </row>
        <row r="139">
          <cell r="A139" t="str">
            <v>1AE1ARBPC1A01971</v>
          </cell>
          <cell r="B139">
            <v>55</v>
          </cell>
        </row>
        <row r="140">
          <cell r="A140" t="str">
            <v>1AE1ARBPC1A01975</v>
          </cell>
          <cell r="B140">
            <v>54</v>
          </cell>
        </row>
        <row r="141">
          <cell r="A141" t="str">
            <v>1AE1ARBPC1A03913</v>
          </cell>
          <cell r="B141">
            <v>7</v>
          </cell>
        </row>
        <row r="142">
          <cell r="A142" t="str">
            <v>1AE1ARBPC1A04390</v>
          </cell>
          <cell r="B142">
            <v>55</v>
          </cell>
        </row>
        <row r="143">
          <cell r="A143" t="str">
            <v>1AE1ARBPC1A04740</v>
          </cell>
          <cell r="B143">
            <v>55</v>
          </cell>
        </row>
        <row r="144">
          <cell r="A144" t="str">
            <v>1AE1ARBPC1A07102</v>
          </cell>
          <cell r="B144">
            <v>56</v>
          </cell>
        </row>
        <row r="145">
          <cell r="A145" t="str">
            <v>1AE1ARBPC1A07121</v>
          </cell>
          <cell r="B145">
            <v>56</v>
          </cell>
        </row>
        <row r="146">
          <cell r="A146" t="str">
            <v>1AE1ARBPC1A07170</v>
          </cell>
          <cell r="B146">
            <v>7</v>
          </cell>
        </row>
        <row r="147">
          <cell r="A147" t="str">
            <v>1AE1ARBPC1A07511</v>
          </cell>
          <cell r="B147">
            <v>3</v>
          </cell>
        </row>
        <row r="148">
          <cell r="A148" t="str">
            <v>1AE1ARBPC1A07521</v>
          </cell>
          <cell r="B148">
            <v>3</v>
          </cell>
        </row>
        <row r="149">
          <cell r="A149" t="str">
            <v>1AE1ARBPC1A07541</v>
          </cell>
          <cell r="B149">
            <v>3</v>
          </cell>
        </row>
        <row r="150">
          <cell r="A150" t="str">
            <v>1AE1ARBPC1A08234</v>
          </cell>
          <cell r="B150">
            <v>5</v>
          </cell>
        </row>
        <row r="151">
          <cell r="A151" t="str">
            <v>1AE1ARBPC1A08410</v>
          </cell>
          <cell r="B151">
            <v>3</v>
          </cell>
        </row>
        <row r="152">
          <cell r="A152" t="str">
            <v>1AE1ARBPC1A08563</v>
          </cell>
          <cell r="B152">
            <v>5</v>
          </cell>
        </row>
        <row r="153">
          <cell r="A153" t="str">
            <v>1AE1ARBPC1A08802</v>
          </cell>
          <cell r="B153">
            <v>4</v>
          </cell>
        </row>
        <row r="154">
          <cell r="A154" t="str">
            <v>1AE1ARBPC1A08942</v>
          </cell>
          <cell r="B154">
            <v>5</v>
          </cell>
        </row>
        <row r="155">
          <cell r="A155" t="str">
            <v>1AE1ARBPC1A09003</v>
          </cell>
          <cell r="B155">
            <v>5</v>
          </cell>
        </row>
        <row r="156">
          <cell r="A156" t="str">
            <v>1AE1ARBPC1A09142</v>
          </cell>
          <cell r="B156">
            <v>6</v>
          </cell>
        </row>
        <row r="157">
          <cell r="A157" t="str">
            <v>1AE1ARBPC1A09151</v>
          </cell>
          <cell r="B157">
            <v>6</v>
          </cell>
        </row>
        <row r="158">
          <cell r="A158" t="str">
            <v>1AE1ARBPC1A09173</v>
          </cell>
          <cell r="B158">
            <v>6</v>
          </cell>
        </row>
        <row r="159">
          <cell r="A159" t="str">
            <v>1AE1ARBPC1A09263</v>
          </cell>
          <cell r="B159">
            <v>4</v>
          </cell>
        </row>
        <row r="160">
          <cell r="A160" t="str">
            <v>1AE1ARBPC1A09503</v>
          </cell>
          <cell r="B160">
            <v>8</v>
          </cell>
        </row>
        <row r="161">
          <cell r="A161" t="str">
            <v>1AE1ARBPC1A09504</v>
          </cell>
          <cell r="B161">
            <v>8</v>
          </cell>
        </row>
        <row r="162">
          <cell r="A162" t="str">
            <v>1AE1ARBPC1A09714</v>
          </cell>
          <cell r="B162">
            <v>4</v>
          </cell>
        </row>
        <row r="163">
          <cell r="A163" t="str">
            <v>1AE1ARBPC1A09831</v>
          </cell>
          <cell r="B163">
            <v>5</v>
          </cell>
        </row>
        <row r="164">
          <cell r="A164" t="str">
            <v>1AE1ARBPC1A09851</v>
          </cell>
          <cell r="B164">
            <v>5</v>
          </cell>
        </row>
        <row r="165">
          <cell r="A165" t="str">
            <v>1AE1ARBPC1A09893</v>
          </cell>
          <cell r="B165">
            <v>5</v>
          </cell>
        </row>
        <row r="166">
          <cell r="A166" t="str">
            <v>1AE1ARBPC1A09951</v>
          </cell>
          <cell r="B166">
            <v>5</v>
          </cell>
        </row>
        <row r="167">
          <cell r="A167" t="str">
            <v>1AE1ARBPC1A09974</v>
          </cell>
          <cell r="B167">
            <v>6</v>
          </cell>
        </row>
        <row r="168">
          <cell r="A168" t="str">
            <v>1AE1ARBPC1A09982</v>
          </cell>
          <cell r="B168">
            <v>5</v>
          </cell>
        </row>
        <row r="169">
          <cell r="A169" t="str">
            <v>1AE1ARBPC1A09984</v>
          </cell>
          <cell r="B169">
            <v>6</v>
          </cell>
        </row>
        <row r="170">
          <cell r="A170" t="str">
            <v>1AE1ARBPC1A09992</v>
          </cell>
          <cell r="B170">
            <v>4</v>
          </cell>
        </row>
        <row r="171">
          <cell r="A171" t="str">
            <v>1AE1ARBPC1A09994</v>
          </cell>
          <cell r="B171">
            <v>5</v>
          </cell>
        </row>
        <row r="172">
          <cell r="A172" t="str">
            <v>1AE1ARBPC1A10002</v>
          </cell>
          <cell r="B172">
            <v>4</v>
          </cell>
        </row>
        <row r="173">
          <cell r="A173" t="str">
            <v>1AE1ARBPC1A10004</v>
          </cell>
          <cell r="B173">
            <v>5</v>
          </cell>
        </row>
        <row r="174">
          <cell r="A174" t="str">
            <v>1AE1ARBPC1A10012</v>
          </cell>
          <cell r="B174">
            <v>7</v>
          </cell>
        </row>
        <row r="175">
          <cell r="A175" t="str">
            <v>1AE1ARBPC1A10013</v>
          </cell>
          <cell r="B175">
            <v>7</v>
          </cell>
        </row>
        <row r="176">
          <cell r="A176" t="str">
            <v>1AE1ARBPC1A10021</v>
          </cell>
          <cell r="B176">
            <v>5</v>
          </cell>
        </row>
        <row r="177">
          <cell r="A177" t="str">
            <v>1AE1ARBPC1A10654</v>
          </cell>
          <cell r="B177">
            <v>5</v>
          </cell>
        </row>
        <row r="178">
          <cell r="A178" t="str">
            <v>1AE1ARBPC1A10663</v>
          </cell>
          <cell r="B178">
            <v>5</v>
          </cell>
        </row>
        <row r="179">
          <cell r="A179" t="str">
            <v>1AE1ARBPC1A10670</v>
          </cell>
          <cell r="B179">
            <v>6</v>
          </cell>
        </row>
        <row r="180">
          <cell r="A180" t="str">
            <v>1AE1ARBPC1A10772</v>
          </cell>
          <cell r="B180">
            <v>4</v>
          </cell>
        </row>
        <row r="181">
          <cell r="A181" t="str">
            <v>1AE1ARBPC1A10773</v>
          </cell>
          <cell r="B181">
            <v>4</v>
          </cell>
        </row>
        <row r="182">
          <cell r="A182" t="str">
            <v>1AE1ARBPC1A10774</v>
          </cell>
          <cell r="B182">
            <v>4</v>
          </cell>
        </row>
        <row r="183">
          <cell r="A183" t="str">
            <v>1AE1ARBPC1A10781</v>
          </cell>
          <cell r="B183">
            <v>3</v>
          </cell>
        </row>
        <row r="184">
          <cell r="A184" t="str">
            <v>1AE1ARBPC1A10783</v>
          </cell>
          <cell r="B184">
            <v>4</v>
          </cell>
        </row>
        <row r="185">
          <cell r="A185" t="str">
            <v>1AE1ARBPC1A10791</v>
          </cell>
          <cell r="B185">
            <v>4</v>
          </cell>
        </row>
        <row r="186">
          <cell r="A186" t="str">
            <v>1AE1ARBPC1A10830</v>
          </cell>
          <cell r="B186">
            <v>6</v>
          </cell>
        </row>
        <row r="187">
          <cell r="A187" t="str">
            <v>1AE1ARBPC1A10910</v>
          </cell>
          <cell r="B187">
            <v>6</v>
          </cell>
        </row>
        <row r="188">
          <cell r="A188" t="str">
            <v>1AE1ARBPC1A11051</v>
          </cell>
          <cell r="B188">
            <v>4</v>
          </cell>
        </row>
        <row r="189">
          <cell r="A189" t="str">
            <v>1AE1ARBPC1A11060</v>
          </cell>
          <cell r="B189">
            <v>6</v>
          </cell>
        </row>
        <row r="190">
          <cell r="A190" t="str">
            <v>1AE1ARBPC1A11061</v>
          </cell>
          <cell r="B190">
            <v>6</v>
          </cell>
        </row>
        <row r="191">
          <cell r="A191" t="str">
            <v>1AE1ARBPC1A11190</v>
          </cell>
          <cell r="B191">
            <v>6</v>
          </cell>
        </row>
        <row r="192">
          <cell r="A192" t="str">
            <v>1AE1ARBPC1A11230</v>
          </cell>
          <cell r="B192">
            <v>6</v>
          </cell>
        </row>
        <row r="193">
          <cell r="A193" t="str">
            <v>1AE1ARBPC1A11250</v>
          </cell>
          <cell r="B193">
            <v>6</v>
          </cell>
        </row>
        <row r="194">
          <cell r="A194" t="str">
            <v>1AE1ARBPC1A11251</v>
          </cell>
          <cell r="B194">
            <v>6</v>
          </cell>
        </row>
        <row r="195">
          <cell r="A195" t="str">
            <v>1AE1ARBPC1A11390</v>
          </cell>
          <cell r="B195">
            <v>6</v>
          </cell>
        </row>
        <row r="196">
          <cell r="A196" t="str">
            <v>1AE1ARBPC1A11400</v>
          </cell>
          <cell r="B196">
            <v>6</v>
          </cell>
        </row>
        <row r="197">
          <cell r="A197" t="str">
            <v>1AE1ARBPC1A11410</v>
          </cell>
          <cell r="B197">
            <v>6</v>
          </cell>
        </row>
        <row r="198">
          <cell r="A198" t="str">
            <v>1AE1ARBPC1A11450</v>
          </cell>
          <cell r="B198">
            <v>6</v>
          </cell>
        </row>
        <row r="199">
          <cell r="A199" t="str">
            <v>1AE1ARBPC1A11451</v>
          </cell>
          <cell r="B199">
            <v>6</v>
          </cell>
        </row>
        <row r="200">
          <cell r="A200" t="str">
            <v>1AE1ARBPC1A11460</v>
          </cell>
          <cell r="B200">
            <v>8</v>
          </cell>
        </row>
        <row r="201">
          <cell r="A201" t="str">
            <v>1AE1ARBPC1A11461</v>
          </cell>
          <cell r="B201">
            <v>8</v>
          </cell>
        </row>
        <row r="202">
          <cell r="A202" t="str">
            <v>1AE1ARBPC1A11462</v>
          </cell>
          <cell r="B202">
            <v>8</v>
          </cell>
        </row>
        <row r="203">
          <cell r="A203" t="str">
            <v>1AE1ARBPC1A11620</v>
          </cell>
          <cell r="B203">
            <v>5</v>
          </cell>
        </row>
        <row r="204">
          <cell r="A204" t="str">
            <v>1AE1ARBPC1A11620T</v>
          </cell>
          <cell r="B204">
            <v>7</v>
          </cell>
        </row>
        <row r="205">
          <cell r="A205" t="str">
            <v>1AE1ARBPC1A11622</v>
          </cell>
          <cell r="B205">
            <v>7</v>
          </cell>
        </row>
        <row r="206">
          <cell r="A206" t="str">
            <v>1AE1ARBPC1A11790</v>
          </cell>
          <cell r="B206">
            <v>7</v>
          </cell>
        </row>
        <row r="207">
          <cell r="A207" t="str">
            <v>1AE1ARBPC1A11791</v>
          </cell>
          <cell r="B207">
            <v>7</v>
          </cell>
        </row>
        <row r="208">
          <cell r="A208" t="str">
            <v>1AE1ARBPC1A11800T1</v>
          </cell>
          <cell r="B208">
            <v>4</v>
          </cell>
        </row>
        <row r="209">
          <cell r="A209" t="str">
            <v>1AE1ARBPC1A11802</v>
          </cell>
          <cell r="B209">
            <v>4</v>
          </cell>
        </row>
        <row r="210">
          <cell r="A210" t="str">
            <v>1AE1ARBPC1A11810</v>
          </cell>
          <cell r="B210">
            <v>4</v>
          </cell>
        </row>
        <row r="211">
          <cell r="A211" t="str">
            <v>1AE1ARBPC1A12350</v>
          </cell>
          <cell r="B211">
            <v>6</v>
          </cell>
        </row>
        <row r="212">
          <cell r="A212" t="str">
            <v>1AE1ARBPC1A12360</v>
          </cell>
          <cell r="B212">
            <v>3</v>
          </cell>
        </row>
        <row r="213">
          <cell r="A213" t="str">
            <v>1AE1ARBPC1A12370</v>
          </cell>
          <cell r="B213">
            <v>3</v>
          </cell>
        </row>
        <row r="214">
          <cell r="A214" t="str">
            <v>1AE1ARBPC1A12400</v>
          </cell>
          <cell r="B214">
            <v>56</v>
          </cell>
        </row>
        <row r="215">
          <cell r="A215" t="str">
            <v>1AE1ARBPC1A12410</v>
          </cell>
          <cell r="B215">
            <v>56</v>
          </cell>
        </row>
        <row r="216">
          <cell r="A216" t="str">
            <v>1AE1ARBPC1A12420</v>
          </cell>
          <cell r="B216">
            <v>56</v>
          </cell>
        </row>
        <row r="217">
          <cell r="A217" t="str">
            <v>1AE1ARBPC1A12580</v>
          </cell>
          <cell r="B217">
            <v>42</v>
          </cell>
        </row>
        <row r="218">
          <cell r="A218" t="str">
            <v>1AE1ARBPC1A12590</v>
          </cell>
          <cell r="B218">
            <v>42</v>
          </cell>
        </row>
        <row r="219">
          <cell r="A219" t="str">
            <v>1AE1ARBPC1A12610</v>
          </cell>
          <cell r="B219">
            <v>42</v>
          </cell>
        </row>
        <row r="220">
          <cell r="A220" t="str">
            <v>1AE1ARBPC1A12620</v>
          </cell>
          <cell r="B220">
            <v>6</v>
          </cell>
        </row>
        <row r="221">
          <cell r="A221" t="str">
            <v>1AE1ARBPC1A12630</v>
          </cell>
          <cell r="B221">
            <v>7</v>
          </cell>
        </row>
        <row r="222">
          <cell r="A222" t="str">
            <v>1AE1ARBPC1A12630T4</v>
          </cell>
          <cell r="B222">
            <v>7</v>
          </cell>
        </row>
        <row r="223">
          <cell r="A223" t="str">
            <v>1AE1ARBPC1A12680</v>
          </cell>
          <cell r="B223">
            <v>4</v>
          </cell>
        </row>
        <row r="224">
          <cell r="A224" t="str">
            <v>1AE1ARBPC1A12750</v>
          </cell>
          <cell r="B224">
            <v>5</v>
          </cell>
        </row>
        <row r="225">
          <cell r="A225" t="str">
            <v>1AE1ARBPC1A12751</v>
          </cell>
          <cell r="B225">
            <v>6</v>
          </cell>
        </row>
        <row r="226">
          <cell r="A226" t="str">
            <v>1AE1ARBPC1A12752</v>
          </cell>
          <cell r="B226">
            <v>6</v>
          </cell>
        </row>
        <row r="227">
          <cell r="A227" t="str">
            <v>1AE1ARBPC1A12753</v>
          </cell>
          <cell r="B227">
            <v>6</v>
          </cell>
        </row>
        <row r="228">
          <cell r="A228" t="str">
            <v>1AE1ARBPC1A12910</v>
          </cell>
          <cell r="B228">
            <v>5</v>
          </cell>
        </row>
        <row r="229">
          <cell r="A229" t="str">
            <v>1AE1ARBPD3A00032</v>
          </cell>
          <cell r="B229">
            <v>18</v>
          </cell>
        </row>
        <row r="230">
          <cell r="A230" t="str">
            <v>1AE1ARBPLLA00341</v>
          </cell>
          <cell r="B230">
            <v>2</v>
          </cell>
        </row>
        <row r="231">
          <cell r="A231" t="str">
            <v>1AE1BP01A00421-TH1</v>
          </cell>
          <cell r="B231">
            <v>13</v>
          </cell>
        </row>
        <row r="232">
          <cell r="A232" t="str">
            <v>1AE1BP01A00421-TW1</v>
          </cell>
          <cell r="B232">
            <v>13</v>
          </cell>
        </row>
        <row r="233">
          <cell r="A233" t="str">
            <v>1AE1C1A11621-T4</v>
          </cell>
          <cell r="B233">
            <v>7</v>
          </cell>
        </row>
        <row r="234">
          <cell r="A234" t="str">
            <v>1AE1F603L370AEU</v>
          </cell>
          <cell r="B234">
            <v>70</v>
          </cell>
        </row>
        <row r="235">
          <cell r="A235" t="str">
            <v>1AE1F603L370AHP</v>
          </cell>
          <cell r="B235">
            <v>70</v>
          </cell>
        </row>
        <row r="236">
          <cell r="A236" t="str">
            <v>1AE1F603L6P1AAP1</v>
          </cell>
          <cell r="B236">
            <v>40</v>
          </cell>
        </row>
        <row r="237">
          <cell r="A237" t="str">
            <v>1AE1F603L9J90BZS</v>
          </cell>
          <cell r="B237">
            <v>70</v>
          </cell>
        </row>
        <row r="238">
          <cell r="A238" t="str">
            <v>1AE1F603L9J9ABZ</v>
          </cell>
          <cell r="B238">
            <v>70</v>
          </cell>
        </row>
        <row r="239">
          <cell r="A239" t="str">
            <v>1AE1F603LBS7AAP</v>
          </cell>
          <cell r="B239">
            <v>45</v>
          </cell>
        </row>
        <row r="240">
          <cell r="A240" t="str">
            <v>1AE1F603LCE5AP1</v>
          </cell>
          <cell r="B240">
            <v>71</v>
          </cell>
        </row>
        <row r="241">
          <cell r="A241" t="str">
            <v>1AE1F603LCE6AP1</v>
          </cell>
          <cell r="B241">
            <v>71</v>
          </cell>
        </row>
        <row r="242">
          <cell r="A242" t="str">
            <v>1AE1F603LCE7AEP</v>
          </cell>
          <cell r="B242">
            <v>45</v>
          </cell>
        </row>
        <row r="243">
          <cell r="A243" t="str">
            <v>1AE1H603L3J80P1</v>
          </cell>
          <cell r="B243">
            <v>12</v>
          </cell>
        </row>
        <row r="244">
          <cell r="A244" t="str">
            <v>1AE1H603L3J81P1</v>
          </cell>
          <cell r="B244">
            <v>12</v>
          </cell>
        </row>
        <row r="245">
          <cell r="A245" t="str">
            <v>1AE1H603L3J81P1-PP</v>
          </cell>
          <cell r="B245">
            <v>12</v>
          </cell>
        </row>
        <row r="246">
          <cell r="A246" t="str">
            <v>1AE1H603L3K20BP</v>
          </cell>
          <cell r="B246">
            <v>150</v>
          </cell>
        </row>
        <row r="247">
          <cell r="A247" t="str">
            <v>1AE1H603L3K20BP-P1</v>
          </cell>
          <cell r="B247">
            <v>150</v>
          </cell>
        </row>
        <row r="248">
          <cell r="A248" t="str">
            <v>1AE1H603L6P10AP1</v>
          </cell>
          <cell r="B248">
            <v>24</v>
          </cell>
        </row>
        <row r="249">
          <cell r="A249" t="str">
            <v>1AE1H603Y-3J00</v>
          </cell>
          <cell r="B249">
            <v>26</v>
          </cell>
        </row>
        <row r="250">
          <cell r="A250" t="str">
            <v>1AE1H603Y-3K20</v>
          </cell>
          <cell r="B250">
            <v>10</v>
          </cell>
        </row>
        <row r="251">
          <cell r="A251" t="str">
            <v>1AE1H603Y3K20BP</v>
          </cell>
          <cell r="B251">
            <v>10</v>
          </cell>
        </row>
        <row r="252">
          <cell r="A252" t="str">
            <v>1AE1H603Y3K20BP-P1</v>
          </cell>
          <cell r="B252">
            <v>10</v>
          </cell>
        </row>
        <row r="253">
          <cell r="A253" t="str">
            <v>1AE1H603Y3K20BPP1T</v>
          </cell>
          <cell r="B253">
            <v>10</v>
          </cell>
        </row>
        <row r="254">
          <cell r="A254" t="str">
            <v>1AE1H603Y-3K20FES1</v>
          </cell>
          <cell r="B254">
            <v>10</v>
          </cell>
        </row>
        <row r="255">
          <cell r="A255" t="str">
            <v>1AE1H603Y-3K20FES2</v>
          </cell>
          <cell r="B255">
            <v>10</v>
          </cell>
        </row>
        <row r="256">
          <cell r="A256" t="str">
            <v>1AE1H603Y-3K20-P1</v>
          </cell>
          <cell r="B256">
            <v>10</v>
          </cell>
        </row>
        <row r="257">
          <cell r="A257" t="str">
            <v>1AE1H603Y-3K20P2</v>
          </cell>
          <cell r="B257">
            <v>10</v>
          </cell>
        </row>
        <row r="258">
          <cell r="A258" t="str">
            <v>1AE1H603Y-3K20-P2</v>
          </cell>
          <cell r="B258">
            <v>10</v>
          </cell>
        </row>
        <row r="259">
          <cell r="A259" t="str">
            <v>1AE1H603Y-3K20PP1</v>
          </cell>
          <cell r="B259">
            <v>10</v>
          </cell>
        </row>
        <row r="260">
          <cell r="A260" t="str">
            <v>1AE1H603Y-3K20PP2</v>
          </cell>
          <cell r="B260">
            <v>10</v>
          </cell>
        </row>
        <row r="261">
          <cell r="A261" t="str">
            <v>1AE1H653L-3K20FES1</v>
          </cell>
          <cell r="B261">
            <v>149</v>
          </cell>
        </row>
        <row r="262">
          <cell r="A262" t="str">
            <v>1AE1H683L-3K20</v>
          </cell>
          <cell r="B262">
            <v>150</v>
          </cell>
        </row>
        <row r="263">
          <cell r="A263" t="str">
            <v>1AE1H683L3K20BP-FE</v>
          </cell>
          <cell r="B263">
            <v>150</v>
          </cell>
        </row>
        <row r="264">
          <cell r="A264" t="str">
            <v>1AE1H683L3K20BPP1T</v>
          </cell>
          <cell r="B264">
            <v>150</v>
          </cell>
        </row>
        <row r="265">
          <cell r="A265" t="str">
            <v>1AE1H683L-3K20FES2</v>
          </cell>
          <cell r="B265">
            <v>152</v>
          </cell>
        </row>
        <row r="266">
          <cell r="A266" t="str">
            <v>1AE1H683L-3K20-P2</v>
          </cell>
          <cell r="B266">
            <v>151</v>
          </cell>
        </row>
        <row r="267">
          <cell r="A267" t="str">
            <v>1AE1H683L-3K20PP1</v>
          </cell>
          <cell r="B267">
            <v>151</v>
          </cell>
        </row>
        <row r="268">
          <cell r="A268" t="str">
            <v>1AE1H683L-3K20-PP1</v>
          </cell>
          <cell r="B268">
            <v>150</v>
          </cell>
        </row>
        <row r="269">
          <cell r="A269" t="str">
            <v>1AE1H683L-3K20PP2</v>
          </cell>
          <cell r="B269">
            <v>151</v>
          </cell>
        </row>
        <row r="270">
          <cell r="A270" t="str">
            <v>1AE1H683L-3K20-PP2</v>
          </cell>
          <cell r="B270">
            <v>150</v>
          </cell>
        </row>
        <row r="271">
          <cell r="A271" t="str">
            <v>1AE1J603L3J8AP2</v>
          </cell>
          <cell r="B271">
            <v>11</v>
          </cell>
        </row>
        <row r="272">
          <cell r="A272" t="str">
            <v>1AE1J603L3J8AP2FES</v>
          </cell>
          <cell r="B272">
            <v>11</v>
          </cell>
        </row>
        <row r="273">
          <cell r="A273" t="str">
            <v>1AE1J603L3J8AP2-P1</v>
          </cell>
          <cell r="B273">
            <v>11</v>
          </cell>
        </row>
        <row r="274">
          <cell r="A274" t="str">
            <v>1AE1J603L3J8AP2-P2</v>
          </cell>
          <cell r="B274">
            <v>11</v>
          </cell>
        </row>
        <row r="275">
          <cell r="A275" t="str">
            <v>1AE1LPFG510RAAZA</v>
          </cell>
          <cell r="B275">
            <v>0</v>
          </cell>
        </row>
        <row r="276">
          <cell r="A276" t="str">
            <v>1AE1LPFG510RDAZA</v>
          </cell>
          <cell r="B276">
            <v>0</v>
          </cell>
        </row>
        <row r="277">
          <cell r="A277" t="str">
            <v>1AE1LPFG510REAZB</v>
          </cell>
          <cell r="B277">
            <v>0</v>
          </cell>
        </row>
        <row r="278">
          <cell r="A278" t="str">
            <v>1AE1LPFG520RAAWA</v>
          </cell>
          <cell r="B278">
            <v>0</v>
          </cell>
        </row>
        <row r="279">
          <cell r="A279" t="str">
            <v>1AE1LPFG520RAAXA</v>
          </cell>
          <cell r="B279">
            <v>0</v>
          </cell>
        </row>
        <row r="280">
          <cell r="A280" t="str">
            <v>1AE1LPFG520RAAZA</v>
          </cell>
          <cell r="B280">
            <v>0</v>
          </cell>
        </row>
        <row r="281">
          <cell r="A281" t="str">
            <v>1AE1LPFG520RBAZA</v>
          </cell>
          <cell r="B281">
            <v>0</v>
          </cell>
        </row>
        <row r="282">
          <cell r="A282" t="str">
            <v>1AE1LPFG520RDAYA</v>
          </cell>
          <cell r="B282">
            <v>0</v>
          </cell>
        </row>
        <row r="283">
          <cell r="A283" t="str">
            <v>1AE1LPFG520RDAZA</v>
          </cell>
          <cell r="B283">
            <v>0</v>
          </cell>
        </row>
        <row r="284">
          <cell r="A284" t="str">
            <v>1AE1LPFG520REAYA</v>
          </cell>
          <cell r="B284">
            <v>0</v>
          </cell>
        </row>
        <row r="285">
          <cell r="A285" t="str">
            <v>1AE1LPFG520REAZA</v>
          </cell>
          <cell r="B285">
            <v>0</v>
          </cell>
        </row>
        <row r="286">
          <cell r="A286" t="str">
            <v>1AE1LPMB2110RUKZA</v>
          </cell>
          <cell r="B286">
            <v>32</v>
          </cell>
        </row>
        <row r="287">
          <cell r="A287" t="str">
            <v>1AE1LPMB2130CXK-R1</v>
          </cell>
          <cell r="B287">
            <v>14</v>
          </cell>
        </row>
        <row r="288">
          <cell r="A288" t="str">
            <v>1AE1LPMB2130CXKZA</v>
          </cell>
          <cell r="B288">
            <v>15</v>
          </cell>
        </row>
        <row r="289">
          <cell r="A289" t="str">
            <v>1AE1LPMB536CXKZA</v>
          </cell>
          <cell r="B289">
            <v>18</v>
          </cell>
        </row>
        <row r="290">
          <cell r="A290" t="str">
            <v>1AE1LPMB545JTCYA</v>
          </cell>
          <cell r="B290">
            <v>12</v>
          </cell>
        </row>
        <row r="291">
          <cell r="A291" t="str">
            <v>1AE1LPMB545JTCZA</v>
          </cell>
          <cell r="B291">
            <v>4</v>
          </cell>
        </row>
        <row r="292">
          <cell r="A292" t="str">
            <v>1AE1LPMB545JTKZA</v>
          </cell>
          <cell r="B292">
            <v>7</v>
          </cell>
        </row>
        <row r="293">
          <cell r="A293" t="str">
            <v>1AE1PNLXE1015ZA/AS</v>
          </cell>
          <cell r="B293">
            <v>1</v>
          </cell>
        </row>
        <row r="294">
          <cell r="A294" t="str">
            <v>1AE1PQJX2PKAL01ZB</v>
          </cell>
          <cell r="B294">
            <v>1</v>
          </cell>
        </row>
        <row r="295">
          <cell r="A295" t="str">
            <v>1AE1PQJX2PSL01ZB</v>
          </cell>
          <cell r="B295">
            <v>1</v>
          </cell>
        </row>
        <row r="296">
          <cell r="A296" t="str">
            <v>1AE1PQJX2PSWL01ZB</v>
          </cell>
          <cell r="B296">
            <v>1</v>
          </cell>
        </row>
        <row r="297">
          <cell r="A297" t="str">
            <v>1AE1PSJXN0133ZB</v>
          </cell>
          <cell r="B297">
            <v>1</v>
          </cell>
        </row>
        <row r="298">
          <cell r="A298" t="str">
            <v>1AE1PSJXN0134ZB</v>
          </cell>
          <cell r="B298">
            <v>1</v>
          </cell>
        </row>
        <row r="299">
          <cell r="A299" t="str">
            <v>1AE1RBPC1A09150</v>
          </cell>
          <cell r="B299">
            <v>6</v>
          </cell>
        </row>
        <row r="300">
          <cell r="A300" t="str">
            <v>1AE1T30865</v>
          </cell>
          <cell r="B300">
            <v>8</v>
          </cell>
        </row>
        <row r="301">
          <cell r="A301" t="str">
            <v>1AE1T30865RUV4</v>
          </cell>
          <cell r="B301">
            <v>8</v>
          </cell>
        </row>
        <row r="302">
          <cell r="A302" t="str">
            <v>1AE1T30865XEU</v>
          </cell>
          <cell r="B302">
            <v>8</v>
          </cell>
        </row>
        <row r="303">
          <cell r="A303" t="str">
            <v>1AE1T30865XSX</v>
          </cell>
          <cell r="B303">
            <v>8</v>
          </cell>
        </row>
        <row r="304">
          <cell r="A304" t="str">
            <v>1AE1T30865XV4</v>
          </cell>
          <cell r="B304">
            <v>8</v>
          </cell>
        </row>
        <row r="305">
          <cell r="A305" t="str">
            <v>1AE1T7710ALV4</v>
          </cell>
          <cell r="B305">
            <v>10</v>
          </cell>
        </row>
        <row r="306">
          <cell r="A306" t="str">
            <v>1AE1T7710CNV4</v>
          </cell>
          <cell r="B306">
            <v>10</v>
          </cell>
        </row>
        <row r="307">
          <cell r="A307" t="str">
            <v>1AE1T7710CV4</v>
          </cell>
          <cell r="B307">
            <v>10</v>
          </cell>
        </row>
        <row r="308">
          <cell r="A308" t="str">
            <v>1AE1T7710EV4</v>
          </cell>
          <cell r="B308">
            <v>10</v>
          </cell>
        </row>
        <row r="309">
          <cell r="A309" t="str">
            <v>1AE1T7710NEV4</v>
          </cell>
          <cell r="B309">
            <v>10</v>
          </cell>
        </row>
        <row r="310">
          <cell r="A310" t="str">
            <v>1AE1T7710NZ</v>
          </cell>
          <cell r="B310">
            <v>10</v>
          </cell>
        </row>
        <row r="311">
          <cell r="A311" t="str">
            <v>1AE1T7710NZB</v>
          </cell>
          <cell r="B311">
            <v>10</v>
          </cell>
        </row>
        <row r="312">
          <cell r="A312" t="str">
            <v>1AE1T7710RUV4</v>
          </cell>
          <cell r="B312">
            <v>10</v>
          </cell>
        </row>
        <row r="313">
          <cell r="A313" t="str">
            <v>1AE1T7710XV4</v>
          </cell>
          <cell r="B313">
            <v>10</v>
          </cell>
        </row>
        <row r="314">
          <cell r="A314" t="str">
            <v>1AE1T7710XV4SX</v>
          </cell>
          <cell r="B314">
            <v>10</v>
          </cell>
        </row>
        <row r="315">
          <cell r="A315" t="str">
            <v>1AE1T7765</v>
          </cell>
          <cell r="B315">
            <v>8</v>
          </cell>
        </row>
        <row r="316">
          <cell r="A316" t="str">
            <v>1AE1T7765X</v>
          </cell>
          <cell r="B316">
            <v>8</v>
          </cell>
        </row>
        <row r="317">
          <cell r="A317" t="str">
            <v>1AE1T7765XEU</v>
          </cell>
          <cell r="B317">
            <v>8</v>
          </cell>
        </row>
        <row r="318">
          <cell r="A318" t="str">
            <v>1AE1T7765XSX</v>
          </cell>
          <cell r="B318">
            <v>8</v>
          </cell>
        </row>
        <row r="319">
          <cell r="A319" t="str">
            <v>1AE1TP7NA7723DC</v>
          </cell>
          <cell r="B319">
            <v>111</v>
          </cell>
        </row>
        <row r="320">
          <cell r="A320" t="str">
            <v>1AE1TP7NA7723DE</v>
          </cell>
          <cell r="B320">
            <v>114</v>
          </cell>
        </row>
        <row r="321">
          <cell r="A321" t="str">
            <v>1AE1TP7NA7724AC</v>
          </cell>
          <cell r="B321">
            <v>48</v>
          </cell>
        </row>
        <row r="322">
          <cell r="A322" t="str">
            <v>1AE1TP7NA7724AE</v>
          </cell>
          <cell r="B322">
            <v>47</v>
          </cell>
        </row>
        <row r="323">
          <cell r="A323" t="str">
            <v>1AE1TP7NA7724AF-1</v>
          </cell>
          <cell r="B323">
            <v>48</v>
          </cell>
        </row>
        <row r="324">
          <cell r="A324" t="str">
            <v>1AE1TP7NA7724AG-1</v>
          </cell>
          <cell r="B324">
            <v>46</v>
          </cell>
        </row>
        <row r="325">
          <cell r="A325" t="str">
            <v>1AE1TP7NA7725DC</v>
          </cell>
          <cell r="B325">
            <v>123</v>
          </cell>
        </row>
        <row r="326">
          <cell r="A326" t="str">
            <v>1AE1TP7NA7725DD</v>
          </cell>
          <cell r="B326">
            <v>127</v>
          </cell>
        </row>
        <row r="327">
          <cell r="A327" t="str">
            <v>1AE1TP7NA7726DB</v>
          </cell>
          <cell r="B327">
            <v>86</v>
          </cell>
        </row>
        <row r="328">
          <cell r="A328" t="str">
            <v>1AE1TP7NA7885DA</v>
          </cell>
          <cell r="B328">
            <v>106</v>
          </cell>
        </row>
        <row r="329">
          <cell r="A329" t="str">
            <v>1AE1TP7NA7885DB</v>
          </cell>
          <cell r="B329">
            <v>106</v>
          </cell>
        </row>
        <row r="330">
          <cell r="A330" t="str">
            <v>1AE1TP7NA7885DC</v>
          </cell>
          <cell r="B330">
            <v>106</v>
          </cell>
        </row>
        <row r="331">
          <cell r="A331" t="str">
            <v>1AE1TP7NA7885DD</v>
          </cell>
          <cell r="B331">
            <v>106</v>
          </cell>
        </row>
        <row r="332">
          <cell r="A332" t="str">
            <v>1AE1TP7NA7958DA-1</v>
          </cell>
          <cell r="B332">
            <v>116</v>
          </cell>
        </row>
        <row r="333">
          <cell r="A333" t="str">
            <v>1AE1TP7NA7958DB-1</v>
          </cell>
          <cell r="B333">
            <v>117</v>
          </cell>
        </row>
        <row r="334">
          <cell r="A334" t="str">
            <v>1AE1TP7NA7960DA-1</v>
          </cell>
          <cell r="B334">
            <v>119</v>
          </cell>
        </row>
        <row r="335">
          <cell r="A335" t="str">
            <v>1AE1TP7NA7960DB-1</v>
          </cell>
          <cell r="B335">
            <v>122</v>
          </cell>
        </row>
        <row r="336">
          <cell r="A336" t="str">
            <v>1AE1TP7NA7960DC-1</v>
          </cell>
          <cell r="B336">
            <v>115</v>
          </cell>
        </row>
        <row r="337">
          <cell r="A337" t="str">
            <v>1AE1TP7NA7960DE-1</v>
          </cell>
          <cell r="B337">
            <v>111</v>
          </cell>
        </row>
        <row r="338">
          <cell r="A338" t="str">
            <v>1AE1TP7NA7960DF-1</v>
          </cell>
          <cell r="B338">
            <v>113</v>
          </cell>
        </row>
        <row r="339">
          <cell r="A339" t="str">
            <v>1AE1TP7NA7961DA-1</v>
          </cell>
          <cell r="B339">
            <v>85</v>
          </cell>
        </row>
        <row r="340">
          <cell r="A340" t="str">
            <v>1AE1VBE504</v>
          </cell>
          <cell r="B340">
            <v>21</v>
          </cell>
        </row>
        <row r="341">
          <cell r="A341" t="str">
            <v>1AEA603Y3G1AEU-P2</v>
          </cell>
          <cell r="B341">
            <v>20</v>
          </cell>
        </row>
        <row r="342">
          <cell r="A342" t="str">
            <v>1AEA603Y-3J0A-P2</v>
          </cell>
          <cell r="B342">
            <v>21</v>
          </cell>
        </row>
        <row r="343">
          <cell r="A343" t="str">
            <v>1AEA603Y-3J3A-P2</v>
          </cell>
          <cell r="B343">
            <v>14</v>
          </cell>
        </row>
        <row r="344">
          <cell r="A344" t="str">
            <v>1AP1ARBPC1A11810</v>
          </cell>
          <cell r="B344">
            <v>27</v>
          </cell>
        </row>
        <row r="345">
          <cell r="A345" t="str">
            <v>1AP4LP1525JPZA</v>
          </cell>
          <cell r="B345">
            <v>9</v>
          </cell>
        </row>
        <row r="346">
          <cell r="A346" t="str">
            <v>1BR1PNLP2596ZA</v>
          </cell>
          <cell r="B346">
            <v>2</v>
          </cell>
        </row>
        <row r="347">
          <cell r="A347" t="str">
            <v>1CM1334PCB00-AREB</v>
          </cell>
          <cell r="B347">
            <v>301</v>
          </cell>
        </row>
        <row r="348">
          <cell r="A348" t="str">
            <v>1CM1603L6P10AP1-T1</v>
          </cell>
          <cell r="B348">
            <v>60</v>
          </cell>
        </row>
        <row r="349">
          <cell r="A349" t="str">
            <v>1CM1A603L3E6AAP</v>
          </cell>
          <cell r="B349">
            <v>116</v>
          </cell>
        </row>
        <row r="350">
          <cell r="A350" t="str">
            <v>1CM1A603L3E6AAP-P1</v>
          </cell>
          <cell r="B350">
            <v>114</v>
          </cell>
        </row>
        <row r="351">
          <cell r="A351" t="str">
            <v>1CM1A603L3E6AAP-P2</v>
          </cell>
          <cell r="B351">
            <v>114</v>
          </cell>
        </row>
        <row r="352">
          <cell r="A352" t="str">
            <v>1CM1A603L3E8AAP</v>
          </cell>
          <cell r="B352">
            <v>116</v>
          </cell>
        </row>
        <row r="353">
          <cell r="A353" t="str">
            <v>1CM1A603L3E8AAP-P1</v>
          </cell>
          <cell r="B353">
            <v>114</v>
          </cell>
        </row>
        <row r="354">
          <cell r="A354" t="str">
            <v>1CM1A603L3E8AAP-P2</v>
          </cell>
          <cell r="B354">
            <v>114</v>
          </cell>
        </row>
        <row r="355">
          <cell r="A355" t="str">
            <v>1CM1A603L3F0AAP</v>
          </cell>
          <cell r="B355">
            <v>114</v>
          </cell>
        </row>
        <row r="356">
          <cell r="A356" t="str">
            <v>1CM1A603L3F0AAP-P1</v>
          </cell>
          <cell r="B356">
            <v>112</v>
          </cell>
        </row>
        <row r="357">
          <cell r="A357" t="str">
            <v>1CM1A603L3F0AAP-P2</v>
          </cell>
          <cell r="B357">
            <v>112</v>
          </cell>
        </row>
        <row r="358">
          <cell r="A358" t="str">
            <v>1CM1A603L3F6AEU</v>
          </cell>
          <cell r="B358">
            <v>113</v>
          </cell>
        </row>
        <row r="359">
          <cell r="A359" t="str">
            <v>1CM1A603L3F6AEU-P1</v>
          </cell>
          <cell r="B359">
            <v>113</v>
          </cell>
        </row>
        <row r="360">
          <cell r="A360" t="str">
            <v>1CM1A603L3F6AEU-P2</v>
          </cell>
          <cell r="B360">
            <v>113</v>
          </cell>
        </row>
        <row r="361">
          <cell r="A361" t="str">
            <v>1CM1A603L3F7AEU</v>
          </cell>
          <cell r="B361">
            <v>113</v>
          </cell>
        </row>
        <row r="362">
          <cell r="A362" t="str">
            <v>1CM1A603L3F7AEU-P1</v>
          </cell>
          <cell r="B362">
            <v>113</v>
          </cell>
        </row>
        <row r="363">
          <cell r="A363" t="str">
            <v>1CM1A603L3F7AEU-P2</v>
          </cell>
          <cell r="B363">
            <v>113</v>
          </cell>
        </row>
        <row r="364">
          <cell r="A364" t="str">
            <v>1CM1A603L3F9ABP</v>
          </cell>
          <cell r="B364">
            <v>113</v>
          </cell>
        </row>
        <row r="365">
          <cell r="A365" t="str">
            <v>1CM1A603L3F9ABP-P1</v>
          </cell>
          <cell r="B365">
            <v>113</v>
          </cell>
        </row>
        <row r="366">
          <cell r="A366" t="str">
            <v>1CM1A603L3F9ABP-P2</v>
          </cell>
          <cell r="B366">
            <v>113</v>
          </cell>
        </row>
        <row r="367">
          <cell r="A367" t="str">
            <v>1CM1A603L3F9AWT</v>
          </cell>
          <cell r="B367">
            <v>113</v>
          </cell>
        </row>
        <row r="368">
          <cell r="A368" t="str">
            <v>1CM1A603L3F9AWT-P1</v>
          </cell>
          <cell r="B368">
            <v>113</v>
          </cell>
        </row>
        <row r="369">
          <cell r="A369" t="str">
            <v>1CM1A603L3F9AWT-P2</v>
          </cell>
          <cell r="B369">
            <v>113</v>
          </cell>
        </row>
        <row r="370">
          <cell r="A370" t="str">
            <v>1CM1A603L3G0ABP</v>
          </cell>
          <cell r="B370">
            <v>113</v>
          </cell>
        </row>
        <row r="371">
          <cell r="A371" t="str">
            <v>1CM1A603L3G0ABP-P1</v>
          </cell>
          <cell r="B371">
            <v>113</v>
          </cell>
        </row>
        <row r="372">
          <cell r="A372" t="str">
            <v>1CM1A603L3G0ABP-P2</v>
          </cell>
          <cell r="B372">
            <v>113</v>
          </cell>
        </row>
        <row r="373">
          <cell r="A373" t="str">
            <v>1CM1A603L3G1AEU</v>
          </cell>
          <cell r="B373">
            <v>113</v>
          </cell>
        </row>
        <row r="374">
          <cell r="A374" t="str">
            <v>1CM1A603L3G1AEU-P1</v>
          </cell>
          <cell r="B374">
            <v>113</v>
          </cell>
        </row>
        <row r="375">
          <cell r="A375" t="str">
            <v>1CM1A603L3G1AEU-P2</v>
          </cell>
          <cell r="B375">
            <v>113</v>
          </cell>
        </row>
        <row r="376">
          <cell r="A376" t="str">
            <v>1CM1A603L3G2AEU</v>
          </cell>
          <cell r="B376">
            <v>113</v>
          </cell>
        </row>
        <row r="377">
          <cell r="A377" t="str">
            <v>1CM1A603L3G2AEU-P1</v>
          </cell>
          <cell r="B377">
            <v>113</v>
          </cell>
        </row>
        <row r="378">
          <cell r="A378" t="str">
            <v>1CM1A603L3G2AEU-P2</v>
          </cell>
          <cell r="B378">
            <v>113</v>
          </cell>
        </row>
        <row r="379">
          <cell r="A379" t="str">
            <v>1CM1A603L3G80RP</v>
          </cell>
          <cell r="B379">
            <v>328</v>
          </cell>
        </row>
        <row r="380">
          <cell r="A380" t="str">
            <v>1CM1A603L3G80RP-P1</v>
          </cell>
          <cell r="B380">
            <v>328</v>
          </cell>
        </row>
        <row r="381">
          <cell r="A381" t="str">
            <v>1CM1A603L3G81RP</v>
          </cell>
          <cell r="B381">
            <v>328</v>
          </cell>
        </row>
        <row r="382">
          <cell r="A382" t="str">
            <v>1CM1A603L3G8AAP</v>
          </cell>
          <cell r="B382">
            <v>328</v>
          </cell>
        </row>
        <row r="383">
          <cell r="A383" t="str">
            <v>1CM1A603L3G8AAP-P1</v>
          </cell>
          <cell r="B383">
            <v>328</v>
          </cell>
        </row>
        <row r="384">
          <cell r="A384" t="str">
            <v>1CM1A603L3G8AAP-P2</v>
          </cell>
          <cell r="B384">
            <v>328</v>
          </cell>
        </row>
        <row r="385">
          <cell r="A385" t="str">
            <v>1CM1A603L3G8ABP</v>
          </cell>
          <cell r="B385">
            <v>391</v>
          </cell>
        </row>
        <row r="386">
          <cell r="A386" t="str">
            <v>1CM1A603L3G8ABP-P1</v>
          </cell>
          <cell r="B386">
            <v>391</v>
          </cell>
        </row>
        <row r="387">
          <cell r="A387" t="str">
            <v>1CM1A603L3G8ABP-P2</v>
          </cell>
          <cell r="B387">
            <v>391</v>
          </cell>
        </row>
        <row r="388">
          <cell r="A388" t="str">
            <v>1CM1A603L3G8AYP</v>
          </cell>
          <cell r="B388">
            <v>391</v>
          </cell>
        </row>
        <row r="389">
          <cell r="A389" t="str">
            <v>1CM1A603L3G8AYP-P1</v>
          </cell>
          <cell r="B389">
            <v>391</v>
          </cell>
        </row>
        <row r="390">
          <cell r="A390" t="str">
            <v>1CM1A603L3G8AYP-P2</v>
          </cell>
          <cell r="B390">
            <v>391</v>
          </cell>
        </row>
        <row r="391">
          <cell r="A391" t="str">
            <v>1CM1A603L3G90P3</v>
          </cell>
          <cell r="B391">
            <v>230</v>
          </cell>
        </row>
        <row r="392">
          <cell r="A392" t="str">
            <v>1CM1A603L3G90P3-P1</v>
          </cell>
          <cell r="B392">
            <v>155</v>
          </cell>
        </row>
        <row r="393">
          <cell r="A393" t="str">
            <v>1CM1A603L-3G9A</v>
          </cell>
          <cell r="B393">
            <v>230</v>
          </cell>
        </row>
        <row r="394">
          <cell r="A394" t="str">
            <v>1CM1A603L3G9AP1</v>
          </cell>
          <cell r="B394">
            <v>230</v>
          </cell>
        </row>
        <row r="395">
          <cell r="A395" t="str">
            <v>1CM1A603L-3G9A-P1</v>
          </cell>
          <cell r="B395">
            <v>230</v>
          </cell>
        </row>
        <row r="396">
          <cell r="A396" t="str">
            <v>1CM1A603L3G9AP1-P1</v>
          </cell>
          <cell r="B396">
            <v>230</v>
          </cell>
        </row>
        <row r="397">
          <cell r="A397" t="str">
            <v>1CM1A603L3G9AP1-P2</v>
          </cell>
          <cell r="B397">
            <v>230</v>
          </cell>
        </row>
        <row r="398">
          <cell r="A398" t="str">
            <v>1CM1A603L-3G9A-P2</v>
          </cell>
          <cell r="B398">
            <v>230</v>
          </cell>
        </row>
        <row r="399">
          <cell r="A399" t="str">
            <v>1CM1A603L3H7AAP</v>
          </cell>
          <cell r="B399">
            <v>117</v>
          </cell>
        </row>
        <row r="400">
          <cell r="A400" t="str">
            <v>1CM1A603L3H7AAP-P1</v>
          </cell>
          <cell r="B400">
            <v>115</v>
          </cell>
        </row>
        <row r="401">
          <cell r="A401" t="str">
            <v>1CM1A603L3H7AAP-P2</v>
          </cell>
          <cell r="B401">
            <v>115</v>
          </cell>
        </row>
        <row r="402">
          <cell r="A402" t="str">
            <v>1CM1A603L3H8AAP</v>
          </cell>
          <cell r="B402">
            <v>117</v>
          </cell>
        </row>
        <row r="403">
          <cell r="A403" t="str">
            <v>1CM1A603L3H8AAP-P1</v>
          </cell>
          <cell r="B403">
            <v>115</v>
          </cell>
        </row>
        <row r="404">
          <cell r="A404" t="str">
            <v>1CM1A603L3H8AAP-P2</v>
          </cell>
          <cell r="B404">
            <v>115</v>
          </cell>
        </row>
        <row r="405">
          <cell r="A405" t="str">
            <v>1CM1A603L3H9AAP</v>
          </cell>
          <cell r="B405">
            <v>115</v>
          </cell>
        </row>
        <row r="406">
          <cell r="A406" t="str">
            <v>1CM1A603L3H9AAP-P1</v>
          </cell>
          <cell r="B406">
            <v>113</v>
          </cell>
        </row>
        <row r="407">
          <cell r="A407" t="str">
            <v>1CM1A603L3H9AAP-P2</v>
          </cell>
          <cell r="B407">
            <v>113</v>
          </cell>
        </row>
        <row r="408">
          <cell r="A408" t="str">
            <v>1CM1A603L-3J0A</v>
          </cell>
          <cell r="B408">
            <v>159</v>
          </cell>
        </row>
        <row r="409">
          <cell r="A409" t="str">
            <v>1CM1A603L3J0AP1</v>
          </cell>
          <cell r="B409">
            <v>159</v>
          </cell>
        </row>
        <row r="410">
          <cell r="A410" t="str">
            <v>1CM1A603L-3J0A-P1</v>
          </cell>
          <cell r="B410">
            <v>159</v>
          </cell>
        </row>
        <row r="411">
          <cell r="A411" t="str">
            <v>1CM1A603L3J0AP2</v>
          </cell>
          <cell r="B411">
            <v>159</v>
          </cell>
        </row>
        <row r="412">
          <cell r="A412" t="str">
            <v>1CM1A603L-3J0A-P2</v>
          </cell>
          <cell r="B412">
            <v>159</v>
          </cell>
        </row>
        <row r="413">
          <cell r="A413" t="str">
            <v>1CM1A603L3J1AP2</v>
          </cell>
          <cell r="B413">
            <v>179</v>
          </cell>
        </row>
        <row r="414">
          <cell r="A414" t="str">
            <v>1CM1A603L3J1AP2-P1</v>
          </cell>
          <cell r="B414">
            <v>179</v>
          </cell>
        </row>
        <row r="415">
          <cell r="A415" t="str">
            <v>1CM1A603L3J1AP2-P2</v>
          </cell>
          <cell r="B415">
            <v>179</v>
          </cell>
        </row>
        <row r="416">
          <cell r="A416" t="str">
            <v>1CM1A603L-3J2A</v>
          </cell>
          <cell r="B416">
            <v>159</v>
          </cell>
        </row>
        <row r="417">
          <cell r="A417" t="str">
            <v>1CM1A603L3J2AP3</v>
          </cell>
          <cell r="B417">
            <v>159</v>
          </cell>
        </row>
        <row r="418">
          <cell r="A418" t="str">
            <v>1CM1A603L3J2AP5</v>
          </cell>
          <cell r="B418">
            <v>159</v>
          </cell>
        </row>
        <row r="419">
          <cell r="A419" t="str">
            <v>1CM1A603L-3J3A</v>
          </cell>
          <cell r="B419">
            <v>222</v>
          </cell>
        </row>
        <row r="420">
          <cell r="A420" t="str">
            <v>1CM1A603L3J3AP1</v>
          </cell>
          <cell r="B420">
            <v>222</v>
          </cell>
        </row>
        <row r="421">
          <cell r="A421" t="str">
            <v>1CM1A603L-3J3A-P1</v>
          </cell>
          <cell r="B421">
            <v>222</v>
          </cell>
        </row>
        <row r="422">
          <cell r="A422" t="str">
            <v>1CM1A603L-3J3A-P2</v>
          </cell>
          <cell r="B422">
            <v>222</v>
          </cell>
        </row>
        <row r="423">
          <cell r="A423" t="str">
            <v>1CM1A603L3J90QP</v>
          </cell>
          <cell r="B423">
            <v>159</v>
          </cell>
        </row>
        <row r="424">
          <cell r="A424" t="str">
            <v>1CM1A603L3J9ABP</v>
          </cell>
          <cell r="B424">
            <v>168</v>
          </cell>
        </row>
        <row r="425">
          <cell r="A425" t="str">
            <v>1CM1A603L3J9ABP-P1</v>
          </cell>
          <cell r="B425">
            <v>168</v>
          </cell>
        </row>
        <row r="426">
          <cell r="A426" t="str">
            <v>1CM1A603L3J9ABP-P2</v>
          </cell>
          <cell r="B426">
            <v>168</v>
          </cell>
        </row>
        <row r="427">
          <cell r="A427" t="str">
            <v>1CM1A603L3K4ATP</v>
          </cell>
          <cell r="B427">
            <v>113</v>
          </cell>
        </row>
        <row r="428">
          <cell r="A428" t="str">
            <v>1CM1A603L3K4ATP-P1</v>
          </cell>
          <cell r="B428">
            <v>113</v>
          </cell>
        </row>
        <row r="429">
          <cell r="A429" t="str">
            <v>1CM1A603L3K4ATP-P2</v>
          </cell>
          <cell r="B429">
            <v>113</v>
          </cell>
        </row>
        <row r="430">
          <cell r="A430" t="str">
            <v>1CM1A603L-3K50</v>
          </cell>
          <cell r="B430">
            <v>159</v>
          </cell>
        </row>
        <row r="431">
          <cell r="A431" t="str">
            <v>1CM1A603L-3K50-P1</v>
          </cell>
          <cell r="B431">
            <v>159</v>
          </cell>
        </row>
        <row r="432">
          <cell r="A432" t="str">
            <v>1CM1A603L-3K50-P2</v>
          </cell>
          <cell r="B432">
            <v>159</v>
          </cell>
        </row>
        <row r="433">
          <cell r="A433" t="str">
            <v>1CM1A603Y3E6AAP</v>
          </cell>
          <cell r="B433">
            <v>15</v>
          </cell>
        </row>
        <row r="434">
          <cell r="A434" t="str">
            <v>1CM1A603Y3E6AAP-P1</v>
          </cell>
          <cell r="B434">
            <v>15</v>
          </cell>
        </row>
        <row r="435">
          <cell r="A435" t="str">
            <v>1CM1A603Y3E6AAP-P2</v>
          </cell>
          <cell r="B435">
            <v>15</v>
          </cell>
        </row>
        <row r="436">
          <cell r="A436" t="str">
            <v>1CM1A603Y3E6ACP</v>
          </cell>
          <cell r="B436">
            <v>15</v>
          </cell>
        </row>
        <row r="437">
          <cell r="A437" t="str">
            <v>1CM1A603Y3E6ACP-P1</v>
          </cell>
          <cell r="B437">
            <v>15</v>
          </cell>
        </row>
        <row r="438">
          <cell r="A438" t="str">
            <v>1CM1A603Y3E6ACP-P2</v>
          </cell>
          <cell r="B438">
            <v>15</v>
          </cell>
        </row>
        <row r="439">
          <cell r="A439" t="str">
            <v>1CM1A603Y3F0AAP</v>
          </cell>
          <cell r="B439">
            <v>15</v>
          </cell>
        </row>
        <row r="440">
          <cell r="A440" t="str">
            <v>1CM1A603Y3F0AAP-P1</v>
          </cell>
          <cell r="B440">
            <v>15</v>
          </cell>
        </row>
        <row r="441">
          <cell r="A441" t="str">
            <v>1CM1A603Y3F0AAP-P2</v>
          </cell>
          <cell r="B441">
            <v>15</v>
          </cell>
        </row>
        <row r="442">
          <cell r="A442" t="str">
            <v>1CM1A603Y3F0ACP</v>
          </cell>
          <cell r="B442">
            <v>15</v>
          </cell>
        </row>
        <row r="443">
          <cell r="A443" t="str">
            <v>1CM1A603Y3F0ACP-P1</v>
          </cell>
          <cell r="B443">
            <v>15</v>
          </cell>
        </row>
        <row r="444">
          <cell r="A444" t="str">
            <v>1CM1A603Y3F0ACP-P2</v>
          </cell>
          <cell r="B444">
            <v>15</v>
          </cell>
        </row>
        <row r="445">
          <cell r="A445" t="str">
            <v>1CM1A603Y3F9ABP</v>
          </cell>
          <cell r="B445">
            <v>15</v>
          </cell>
        </row>
        <row r="446">
          <cell r="A446" t="str">
            <v>1CM1A603Y3F9ABP-P1</v>
          </cell>
          <cell r="B446">
            <v>15</v>
          </cell>
        </row>
        <row r="447">
          <cell r="A447" t="str">
            <v>1CM1A603Y3F9ABP-P2</v>
          </cell>
          <cell r="B447">
            <v>15</v>
          </cell>
        </row>
        <row r="448">
          <cell r="A448" t="str">
            <v>1CM1A603Y3F9AMP</v>
          </cell>
          <cell r="B448">
            <v>15</v>
          </cell>
        </row>
        <row r="449">
          <cell r="A449" t="str">
            <v>1CM1A603Y3F9AMP-P1</v>
          </cell>
          <cell r="B449">
            <v>15</v>
          </cell>
        </row>
        <row r="450">
          <cell r="A450" t="str">
            <v>1CM1A603Y3F9AMP-P2</v>
          </cell>
          <cell r="B450">
            <v>15</v>
          </cell>
        </row>
        <row r="451">
          <cell r="A451" t="str">
            <v>1CM1A603Y3G1AEU</v>
          </cell>
          <cell r="B451">
            <v>15</v>
          </cell>
        </row>
        <row r="452">
          <cell r="A452" t="str">
            <v>1CM1A603Y3G1AEU-P1</v>
          </cell>
          <cell r="B452">
            <v>15</v>
          </cell>
        </row>
        <row r="453">
          <cell r="A453" t="str">
            <v>1CM1A603Y3G1AEU-P2</v>
          </cell>
          <cell r="B453">
            <v>15</v>
          </cell>
        </row>
        <row r="454">
          <cell r="A454" t="str">
            <v>1CM1A603Y-3J0A</v>
          </cell>
          <cell r="B454">
            <v>49</v>
          </cell>
        </row>
        <row r="455">
          <cell r="A455" t="str">
            <v>1CM1A603Y-3J0A-P1</v>
          </cell>
          <cell r="B455">
            <v>49</v>
          </cell>
        </row>
        <row r="456">
          <cell r="A456" t="str">
            <v>1CM1A603Y-3J0A-P2</v>
          </cell>
          <cell r="B456">
            <v>49</v>
          </cell>
        </row>
        <row r="457">
          <cell r="A457" t="str">
            <v>1CM1A603Y-3J3A</v>
          </cell>
          <cell r="B457">
            <v>41</v>
          </cell>
        </row>
        <row r="458">
          <cell r="A458" t="str">
            <v>1CM1A603Y-3J3A-P1</v>
          </cell>
          <cell r="B458">
            <v>41</v>
          </cell>
        </row>
        <row r="459">
          <cell r="A459" t="str">
            <v>1CM1A603Y-3J3A-P2</v>
          </cell>
          <cell r="B459">
            <v>41</v>
          </cell>
        </row>
        <row r="460">
          <cell r="A460" t="str">
            <v>1CM1A603Y-3J8A</v>
          </cell>
          <cell r="B460">
            <v>48</v>
          </cell>
        </row>
        <row r="461">
          <cell r="A461" t="str">
            <v>1CM1A603Y-3J8A-P1</v>
          </cell>
          <cell r="B461">
            <v>48</v>
          </cell>
        </row>
        <row r="462">
          <cell r="A462" t="str">
            <v>1CM1A603Y-3J8A-P2</v>
          </cell>
          <cell r="B462">
            <v>48</v>
          </cell>
        </row>
        <row r="463">
          <cell r="A463" t="str">
            <v>1CM1A603Y3J9ABP</v>
          </cell>
          <cell r="B463">
            <v>36</v>
          </cell>
        </row>
        <row r="464">
          <cell r="A464" t="str">
            <v>1CM1A603Y3J9ABP-P1</v>
          </cell>
          <cell r="B464">
            <v>36</v>
          </cell>
        </row>
        <row r="465">
          <cell r="A465" t="str">
            <v>1CM1A603Y3J9ABP-P2</v>
          </cell>
          <cell r="B465">
            <v>36</v>
          </cell>
        </row>
        <row r="466">
          <cell r="A466" t="str">
            <v>1CM1ARBP01A00382</v>
          </cell>
          <cell r="B466">
            <v>45</v>
          </cell>
        </row>
        <row r="467">
          <cell r="A467" t="str">
            <v>1CM1ARBP01A00420</v>
          </cell>
          <cell r="B467">
            <v>54</v>
          </cell>
        </row>
        <row r="468">
          <cell r="A468" t="str">
            <v>1CM1ARBP01A00850</v>
          </cell>
          <cell r="B468">
            <v>54</v>
          </cell>
        </row>
        <row r="469">
          <cell r="A469" t="str">
            <v>1CM1ARBP0DA01470</v>
          </cell>
          <cell r="B469">
            <v>62</v>
          </cell>
        </row>
        <row r="470">
          <cell r="A470" t="str">
            <v>1CM1ARBP0DA01940</v>
          </cell>
          <cell r="B470">
            <v>62</v>
          </cell>
        </row>
        <row r="471">
          <cell r="A471" t="str">
            <v>1CM1ARBP0DA01950</v>
          </cell>
          <cell r="B471">
            <v>62</v>
          </cell>
        </row>
        <row r="472">
          <cell r="A472" t="str">
            <v>1CM1ARBP0DA02071</v>
          </cell>
          <cell r="B472">
            <v>72</v>
          </cell>
        </row>
        <row r="473">
          <cell r="A473" t="str">
            <v>1CM1ARBP0DA02260</v>
          </cell>
          <cell r="B473">
            <v>72</v>
          </cell>
        </row>
        <row r="474">
          <cell r="A474" t="str">
            <v>1CM1ARBP0DA02270</v>
          </cell>
          <cell r="B474">
            <v>59</v>
          </cell>
        </row>
        <row r="475">
          <cell r="A475" t="str">
            <v>1CM1ARBPB2A00090</v>
          </cell>
          <cell r="B475">
            <v>4</v>
          </cell>
        </row>
        <row r="476">
          <cell r="A476" t="str">
            <v>1CM1ARBPC1A01971</v>
          </cell>
          <cell r="B476">
            <v>278</v>
          </cell>
        </row>
        <row r="477">
          <cell r="A477" t="str">
            <v>1CM1ARBPC1A01971-T</v>
          </cell>
          <cell r="B477">
            <v>278</v>
          </cell>
        </row>
        <row r="478">
          <cell r="A478" t="str">
            <v>1CM1ARBPC1A01975</v>
          </cell>
          <cell r="B478">
            <v>278</v>
          </cell>
        </row>
        <row r="479">
          <cell r="A479" t="str">
            <v>1CM1ARBPC1A04390</v>
          </cell>
          <cell r="B479">
            <v>278</v>
          </cell>
        </row>
        <row r="480">
          <cell r="A480" t="str">
            <v>1CM1ARBPC1A04740</v>
          </cell>
          <cell r="B480">
            <v>278</v>
          </cell>
        </row>
        <row r="481">
          <cell r="A481" t="str">
            <v>1CM1ARBPC1A07102</v>
          </cell>
          <cell r="B481">
            <v>269</v>
          </cell>
        </row>
        <row r="482">
          <cell r="A482" t="str">
            <v>1CM1ARBPC1A07121</v>
          </cell>
          <cell r="B482">
            <v>269</v>
          </cell>
        </row>
        <row r="483">
          <cell r="A483" t="str">
            <v>1CM1ARBPC1A07511</v>
          </cell>
          <cell r="B483">
            <v>90</v>
          </cell>
        </row>
        <row r="484">
          <cell r="A484" t="str">
            <v>1CM1ARBPC1A07521</v>
          </cell>
          <cell r="B484">
            <v>92</v>
          </cell>
        </row>
        <row r="485">
          <cell r="A485" t="str">
            <v>1CM1ARBPC1A07541</v>
          </cell>
          <cell r="B485">
            <v>80</v>
          </cell>
        </row>
        <row r="486">
          <cell r="A486" t="str">
            <v>1CM1ARBPC1A08234</v>
          </cell>
          <cell r="B486">
            <v>23</v>
          </cell>
        </row>
        <row r="487">
          <cell r="A487" t="str">
            <v>1CM1ARBPC1A08410</v>
          </cell>
          <cell r="B487">
            <v>84</v>
          </cell>
        </row>
        <row r="488">
          <cell r="A488" t="str">
            <v>1CM1ARBPC1A08563</v>
          </cell>
          <cell r="B488">
            <v>23</v>
          </cell>
        </row>
        <row r="489">
          <cell r="A489" t="str">
            <v>1CM1ARBPC1A08802</v>
          </cell>
          <cell r="B489">
            <v>23</v>
          </cell>
        </row>
        <row r="490">
          <cell r="A490" t="str">
            <v>1CM1ARBPC1A09263</v>
          </cell>
          <cell r="B490">
            <v>23</v>
          </cell>
        </row>
        <row r="491">
          <cell r="A491" t="str">
            <v>1CM1ARBPC1A09714</v>
          </cell>
          <cell r="B491">
            <v>23</v>
          </cell>
        </row>
        <row r="492">
          <cell r="A492" t="str">
            <v>1CM1ARBPC1A09974</v>
          </cell>
          <cell r="B492">
            <v>23</v>
          </cell>
        </row>
        <row r="493">
          <cell r="A493" t="str">
            <v>1CM1ARBPC1A09982</v>
          </cell>
          <cell r="B493">
            <v>23</v>
          </cell>
        </row>
        <row r="494">
          <cell r="A494" t="str">
            <v>1CM1ARBPC1A09984</v>
          </cell>
          <cell r="B494">
            <v>22</v>
          </cell>
        </row>
        <row r="495">
          <cell r="A495" t="str">
            <v>1CM1ARBPC1A09992</v>
          </cell>
          <cell r="B495">
            <v>24</v>
          </cell>
        </row>
        <row r="496">
          <cell r="A496" t="str">
            <v>1CM1ARBPC1A09994</v>
          </cell>
          <cell r="B496">
            <v>23</v>
          </cell>
        </row>
        <row r="497">
          <cell r="A497" t="str">
            <v>1CM1ARBPC1A10002</v>
          </cell>
          <cell r="B497">
            <v>22</v>
          </cell>
        </row>
        <row r="498">
          <cell r="A498" t="str">
            <v>1CM1ARBPC1A10004</v>
          </cell>
          <cell r="B498">
            <v>22</v>
          </cell>
        </row>
        <row r="499">
          <cell r="A499" t="str">
            <v>1CM1ARBPC1A10021</v>
          </cell>
          <cell r="B499">
            <v>23</v>
          </cell>
        </row>
        <row r="500">
          <cell r="A500" t="str">
            <v>1CM1ARBPC1A10654</v>
          </cell>
          <cell r="B500">
            <v>25</v>
          </cell>
        </row>
        <row r="501">
          <cell r="A501" t="str">
            <v>1CM1ARBPC1A10663</v>
          </cell>
          <cell r="B501">
            <v>25</v>
          </cell>
        </row>
        <row r="502">
          <cell r="A502" t="str">
            <v>1CM1ARBPC1A10772</v>
          </cell>
          <cell r="B502">
            <v>67</v>
          </cell>
        </row>
        <row r="503">
          <cell r="A503" t="str">
            <v>1CM1ARBPC1A10773</v>
          </cell>
          <cell r="B503">
            <v>67</v>
          </cell>
        </row>
        <row r="504">
          <cell r="A504" t="str">
            <v>1CM1ARBPC1A10774</v>
          </cell>
          <cell r="B504">
            <v>67</v>
          </cell>
        </row>
        <row r="505">
          <cell r="A505" t="str">
            <v>1CM1ARBPC1A10781</v>
          </cell>
          <cell r="B505">
            <v>28</v>
          </cell>
        </row>
        <row r="506">
          <cell r="A506" t="str">
            <v>1CM1ARBPC1A10783</v>
          </cell>
          <cell r="B506">
            <v>67</v>
          </cell>
        </row>
        <row r="507">
          <cell r="A507" t="str">
            <v>1CM1ARBPC1A10791</v>
          </cell>
          <cell r="B507">
            <v>67</v>
          </cell>
        </row>
        <row r="508">
          <cell r="A508" t="str">
            <v>1CM1ARBPC1A11051</v>
          </cell>
          <cell r="B508">
            <v>22</v>
          </cell>
        </row>
        <row r="509">
          <cell r="A509" t="str">
            <v>1CM1ARBPC1A11060</v>
          </cell>
          <cell r="B509">
            <v>23</v>
          </cell>
        </row>
        <row r="510">
          <cell r="A510" t="str">
            <v>1CM1ARBPC1A11061</v>
          </cell>
          <cell r="B510">
            <v>23</v>
          </cell>
        </row>
        <row r="511">
          <cell r="A511" t="str">
            <v>1CM1ARBPC1A11450</v>
          </cell>
          <cell r="B511">
            <v>22</v>
          </cell>
        </row>
        <row r="512">
          <cell r="A512" t="str">
            <v>1CM1ARBPC1A11451</v>
          </cell>
          <cell r="B512">
            <v>22</v>
          </cell>
        </row>
        <row r="513">
          <cell r="A513" t="str">
            <v>1CM1ARBPC1A11620</v>
          </cell>
          <cell r="B513">
            <v>12</v>
          </cell>
        </row>
        <row r="514">
          <cell r="A514" t="str">
            <v>1CM1ARBPC1A11620T</v>
          </cell>
          <cell r="B514">
            <v>23</v>
          </cell>
        </row>
        <row r="515">
          <cell r="A515" t="str">
            <v>1CM1ARBPC1A11622</v>
          </cell>
          <cell r="B515">
            <v>23</v>
          </cell>
        </row>
        <row r="516">
          <cell r="A516" t="str">
            <v>1CM1ARBPC1A11800T1</v>
          </cell>
          <cell r="B516">
            <v>67</v>
          </cell>
        </row>
        <row r="517">
          <cell r="A517" t="str">
            <v>1CM1ARBPC1A11802</v>
          </cell>
          <cell r="B517">
            <v>67</v>
          </cell>
        </row>
        <row r="518">
          <cell r="A518" t="str">
            <v>1CM1ARBPC1A11810</v>
          </cell>
          <cell r="B518">
            <v>22</v>
          </cell>
        </row>
        <row r="519">
          <cell r="A519" t="str">
            <v>1CM1ARBPC1A12360</v>
          </cell>
          <cell r="B519">
            <v>83</v>
          </cell>
        </row>
        <row r="520">
          <cell r="A520" t="str">
            <v>1CM1ARBPC1A12370</v>
          </cell>
          <cell r="B520">
            <v>92</v>
          </cell>
        </row>
        <row r="521">
          <cell r="A521" t="str">
            <v>1CM1ARBPC1A12400</v>
          </cell>
          <cell r="B521">
            <v>271</v>
          </cell>
        </row>
        <row r="522">
          <cell r="A522" t="str">
            <v>1CM1ARBPC1A12410</v>
          </cell>
          <cell r="B522">
            <v>272</v>
          </cell>
        </row>
        <row r="523">
          <cell r="A523" t="str">
            <v>1CM1ARBPC1A12420</v>
          </cell>
          <cell r="B523">
            <v>269</v>
          </cell>
        </row>
        <row r="524">
          <cell r="A524" t="str">
            <v>1CM1ARBPC1A12580</v>
          </cell>
          <cell r="B524">
            <v>261</v>
          </cell>
        </row>
        <row r="525">
          <cell r="A525" t="str">
            <v>1CM1ARBPC1A12590</v>
          </cell>
          <cell r="B525">
            <v>261</v>
          </cell>
        </row>
        <row r="526">
          <cell r="A526" t="str">
            <v>1CM1ARBPC1A12610</v>
          </cell>
          <cell r="B526">
            <v>261</v>
          </cell>
        </row>
        <row r="527">
          <cell r="A527" t="str">
            <v>1CM1ARBPC1A12630</v>
          </cell>
          <cell r="B527">
            <v>23</v>
          </cell>
        </row>
        <row r="528">
          <cell r="A528" t="str">
            <v>1CM1ARBPC1A12630T4</v>
          </cell>
          <cell r="B528">
            <v>23</v>
          </cell>
        </row>
        <row r="529">
          <cell r="A529" t="str">
            <v>1CM1ARBPC1A12680</v>
          </cell>
          <cell r="B529">
            <v>67</v>
          </cell>
        </row>
        <row r="530">
          <cell r="A530" t="str">
            <v>1CM1ARBPC1A12750</v>
          </cell>
          <cell r="B530">
            <v>25</v>
          </cell>
        </row>
        <row r="531">
          <cell r="A531" t="str">
            <v>1CM1ARBPC1A12751</v>
          </cell>
          <cell r="B531">
            <v>25</v>
          </cell>
        </row>
        <row r="532">
          <cell r="A532" t="str">
            <v>1CM1ARBPC1A12752</v>
          </cell>
          <cell r="B532">
            <v>25</v>
          </cell>
        </row>
        <row r="533">
          <cell r="A533" t="str">
            <v>1CM1ARBPC1A12753</v>
          </cell>
          <cell r="B533">
            <v>25</v>
          </cell>
        </row>
        <row r="534">
          <cell r="A534" t="str">
            <v>1CM1ARBPC1A12910</v>
          </cell>
          <cell r="B534">
            <v>23</v>
          </cell>
        </row>
        <row r="535">
          <cell r="A535" t="str">
            <v>1CM1ARBPD2A00151</v>
          </cell>
          <cell r="B535">
            <v>4</v>
          </cell>
        </row>
        <row r="536">
          <cell r="A536" t="str">
            <v>1CM1ARBPD3A00032</v>
          </cell>
          <cell r="B536">
            <v>64</v>
          </cell>
        </row>
        <row r="537">
          <cell r="A537" t="str">
            <v>1CM1ARR000A18180</v>
          </cell>
          <cell r="B537">
            <v>61</v>
          </cell>
        </row>
        <row r="538">
          <cell r="A538" t="str">
            <v>1CM1ARR000A18190</v>
          </cell>
          <cell r="B538">
            <v>61</v>
          </cell>
        </row>
        <row r="539">
          <cell r="A539" t="str">
            <v>1CM1ARR000A18200</v>
          </cell>
          <cell r="B539">
            <v>69</v>
          </cell>
        </row>
        <row r="540">
          <cell r="A540" t="str">
            <v>1CM1BP01A00421-TH1</v>
          </cell>
          <cell r="B540">
            <v>54</v>
          </cell>
        </row>
        <row r="541">
          <cell r="A541" t="str">
            <v>1CM1BP01A00421-TW1</v>
          </cell>
          <cell r="B541">
            <v>54</v>
          </cell>
        </row>
        <row r="542">
          <cell r="A542" t="str">
            <v>1CM1C1A11621-T4</v>
          </cell>
          <cell r="B542">
            <v>314</v>
          </cell>
        </row>
        <row r="543">
          <cell r="A543" t="str">
            <v>1CM1D820V4</v>
          </cell>
          <cell r="B543">
            <v>381</v>
          </cell>
        </row>
        <row r="544">
          <cell r="A544" t="str">
            <v>1CM1D880V4</v>
          </cell>
          <cell r="B544">
            <v>410</v>
          </cell>
        </row>
        <row r="545">
          <cell r="A545" t="str">
            <v>1CM1D924V4</v>
          </cell>
          <cell r="B545">
            <v>274</v>
          </cell>
        </row>
        <row r="546">
          <cell r="A546" t="str">
            <v>1CM1D926V4</v>
          </cell>
          <cell r="B546">
            <v>231</v>
          </cell>
        </row>
        <row r="547">
          <cell r="A547" t="str">
            <v>1CM1D935V4</v>
          </cell>
          <cell r="B547">
            <v>462</v>
          </cell>
        </row>
        <row r="548">
          <cell r="A548" t="str">
            <v>1CM1DPLB1227</v>
          </cell>
          <cell r="B548">
            <v>151</v>
          </cell>
        </row>
        <row r="549">
          <cell r="A549" t="str">
            <v>1CM1F205BV4</v>
          </cell>
          <cell r="B549">
            <v>211</v>
          </cell>
        </row>
        <row r="550">
          <cell r="A550" t="str">
            <v>1CM1F206BV4</v>
          </cell>
          <cell r="B550">
            <v>210</v>
          </cell>
        </row>
        <row r="551">
          <cell r="A551" t="str">
            <v>1CM1F220V4</v>
          </cell>
          <cell r="B551">
            <v>160</v>
          </cell>
        </row>
        <row r="552">
          <cell r="A552" t="str">
            <v>1CM1F221V4</v>
          </cell>
          <cell r="B552">
            <v>106</v>
          </cell>
        </row>
        <row r="553">
          <cell r="A553" t="str">
            <v>1CM1F2221V4</v>
          </cell>
          <cell r="B553">
            <v>105</v>
          </cell>
        </row>
        <row r="554">
          <cell r="A554" t="str">
            <v>1CM1F222V4</v>
          </cell>
          <cell r="B554">
            <v>120</v>
          </cell>
        </row>
        <row r="555">
          <cell r="A555" t="str">
            <v>1CM1F223F</v>
          </cell>
          <cell r="B555">
            <v>204</v>
          </cell>
        </row>
        <row r="556">
          <cell r="A556" t="str">
            <v>1CM1F223K</v>
          </cell>
          <cell r="B556">
            <v>204</v>
          </cell>
        </row>
        <row r="557">
          <cell r="A557" t="str">
            <v>1CM1F223NAV4</v>
          </cell>
          <cell r="B557">
            <v>204</v>
          </cell>
        </row>
        <row r="558">
          <cell r="A558" t="str">
            <v>1CM1F230V4</v>
          </cell>
          <cell r="B558">
            <v>218</v>
          </cell>
        </row>
        <row r="559">
          <cell r="A559" t="str">
            <v>1CM1F260V4</v>
          </cell>
          <cell r="B559">
            <v>181</v>
          </cell>
        </row>
        <row r="560">
          <cell r="A560" t="str">
            <v>1CM1F603L370AEU</v>
          </cell>
          <cell r="B560">
            <v>83</v>
          </cell>
        </row>
        <row r="561">
          <cell r="A561" t="str">
            <v>1CM1F603L370AHP</v>
          </cell>
          <cell r="B561">
            <v>83</v>
          </cell>
        </row>
        <row r="562">
          <cell r="A562" t="str">
            <v>1CM1F603L6P1AAP1</v>
          </cell>
          <cell r="B562">
            <v>33</v>
          </cell>
        </row>
        <row r="563">
          <cell r="A563" t="str">
            <v>1CM1F603L9J90BZS</v>
          </cell>
          <cell r="B563">
            <v>84</v>
          </cell>
        </row>
        <row r="564">
          <cell r="A564" t="str">
            <v>1CM1F603L9J9ABZ</v>
          </cell>
          <cell r="B564">
            <v>83</v>
          </cell>
        </row>
        <row r="565">
          <cell r="A565" t="str">
            <v>1CM1F603LBS7AAP</v>
          </cell>
          <cell r="B565">
            <v>131</v>
          </cell>
        </row>
        <row r="566">
          <cell r="A566" t="str">
            <v>1CM1F603LCE5AP1</v>
          </cell>
          <cell r="B566">
            <v>83</v>
          </cell>
        </row>
        <row r="567">
          <cell r="A567" t="str">
            <v>1CM1F603LCE6AP1</v>
          </cell>
          <cell r="B567">
            <v>83</v>
          </cell>
        </row>
        <row r="568">
          <cell r="A568" t="str">
            <v>1CM1F603LCE7AEP</v>
          </cell>
          <cell r="B568">
            <v>129</v>
          </cell>
        </row>
        <row r="569">
          <cell r="A569" t="str">
            <v>1CM1H603L3J80P1</v>
          </cell>
          <cell r="B569">
            <v>114</v>
          </cell>
        </row>
        <row r="570">
          <cell r="A570" t="str">
            <v>1CM1H603L3J81P1</v>
          </cell>
          <cell r="B570">
            <v>117</v>
          </cell>
        </row>
        <row r="571">
          <cell r="A571" t="str">
            <v>1CM1H603L3J81P1-PP</v>
          </cell>
          <cell r="B571">
            <v>117</v>
          </cell>
        </row>
        <row r="572">
          <cell r="A572" t="str">
            <v>1CM1H603L3K20BP</v>
          </cell>
          <cell r="B572">
            <v>430</v>
          </cell>
        </row>
        <row r="573">
          <cell r="A573" t="str">
            <v>1CM1H603L3K20BP-P1</v>
          </cell>
          <cell r="B573">
            <v>430</v>
          </cell>
        </row>
        <row r="574">
          <cell r="A574" t="str">
            <v>1CM1H603L6P10AP1</v>
          </cell>
          <cell r="B574">
            <v>67</v>
          </cell>
        </row>
        <row r="575">
          <cell r="A575" t="str">
            <v>1CM1H603Y-3J00</v>
          </cell>
          <cell r="B575">
            <v>66</v>
          </cell>
        </row>
        <row r="576">
          <cell r="A576" t="str">
            <v>1CM1H603Y-3K20</v>
          </cell>
          <cell r="B576">
            <v>6</v>
          </cell>
        </row>
        <row r="577">
          <cell r="A577" t="str">
            <v>1CM1H603Y3K20BP</v>
          </cell>
          <cell r="B577">
            <v>6</v>
          </cell>
        </row>
        <row r="578">
          <cell r="A578" t="str">
            <v>1CM1H603Y3K20BP-P1</v>
          </cell>
          <cell r="B578">
            <v>6</v>
          </cell>
        </row>
        <row r="579">
          <cell r="A579" t="str">
            <v>1CM1H603Y3K20BPP1T</v>
          </cell>
          <cell r="B579">
            <v>6</v>
          </cell>
        </row>
        <row r="580">
          <cell r="A580" t="str">
            <v>1CM1H603Y-3K20FES1</v>
          </cell>
          <cell r="B580">
            <v>6</v>
          </cell>
        </row>
        <row r="581">
          <cell r="A581" t="str">
            <v>1CM1H603Y-3K20FES2</v>
          </cell>
          <cell r="B581">
            <v>10</v>
          </cell>
        </row>
        <row r="582">
          <cell r="A582" t="str">
            <v>1CM1H603Y-3K20-P1</v>
          </cell>
          <cell r="B582">
            <v>6</v>
          </cell>
        </row>
        <row r="583">
          <cell r="A583" t="str">
            <v>1CM1H603Y-3K20P2</v>
          </cell>
          <cell r="B583">
            <v>6</v>
          </cell>
        </row>
        <row r="584">
          <cell r="A584" t="str">
            <v>1CM1H603Y-3K20-P2</v>
          </cell>
          <cell r="B584">
            <v>6</v>
          </cell>
        </row>
        <row r="585">
          <cell r="A585" t="str">
            <v>1CM1H603Y-3K20PP1</v>
          </cell>
          <cell r="B585">
            <v>6</v>
          </cell>
        </row>
        <row r="586">
          <cell r="A586" t="str">
            <v>1CM1H603Y-3K20PP2</v>
          </cell>
          <cell r="B586">
            <v>6</v>
          </cell>
        </row>
        <row r="587">
          <cell r="A587" t="str">
            <v>1CM1H653L-3K20FES1</v>
          </cell>
          <cell r="B587">
            <v>430</v>
          </cell>
        </row>
        <row r="588">
          <cell r="A588" t="str">
            <v>1CM1H683L-3K20</v>
          </cell>
          <cell r="B588">
            <v>413</v>
          </cell>
        </row>
        <row r="589">
          <cell r="A589" t="str">
            <v>1CM1H683L3K20BP-FE</v>
          </cell>
          <cell r="B589">
            <v>430</v>
          </cell>
        </row>
        <row r="590">
          <cell r="A590" t="str">
            <v>1CM1H683L3K20BPP1T</v>
          </cell>
          <cell r="B590">
            <v>430</v>
          </cell>
        </row>
        <row r="591">
          <cell r="A591" t="str">
            <v>1CM1H683L-3K20FES2</v>
          </cell>
          <cell r="B591">
            <v>421</v>
          </cell>
        </row>
        <row r="592">
          <cell r="A592" t="str">
            <v>1CM1H683L-3K20-P2</v>
          </cell>
          <cell r="B592">
            <v>428</v>
          </cell>
        </row>
        <row r="593">
          <cell r="A593" t="str">
            <v>1CM1H683L-3K20PP1</v>
          </cell>
          <cell r="B593">
            <v>426</v>
          </cell>
        </row>
        <row r="594">
          <cell r="A594" t="str">
            <v>1CM1H683L-3K20-PP1</v>
          </cell>
          <cell r="B594">
            <v>413</v>
          </cell>
        </row>
        <row r="595">
          <cell r="A595" t="str">
            <v>1CM1H683L-3K20PP2</v>
          </cell>
          <cell r="B595">
            <v>426</v>
          </cell>
        </row>
        <row r="596">
          <cell r="A596" t="str">
            <v>1CM1H683L-3K20-PP2</v>
          </cell>
          <cell r="B596">
            <v>413</v>
          </cell>
        </row>
        <row r="597">
          <cell r="A597" t="str">
            <v>1CM1J603L3J8AP2</v>
          </cell>
          <cell r="B597">
            <v>101</v>
          </cell>
        </row>
        <row r="598">
          <cell r="A598" t="str">
            <v>1CM1J603L3J8AP2-P1</v>
          </cell>
          <cell r="B598">
            <v>101</v>
          </cell>
        </row>
        <row r="599">
          <cell r="A599" t="str">
            <v>1CM1J603L3J8AP2-P2</v>
          </cell>
          <cell r="B599">
            <v>101</v>
          </cell>
        </row>
        <row r="600">
          <cell r="A600" t="str">
            <v>1CM1LP1282ZAL4-S1</v>
          </cell>
          <cell r="B600">
            <v>465</v>
          </cell>
        </row>
        <row r="601">
          <cell r="A601" t="str">
            <v>1CM1LP1537ZA-S1</v>
          </cell>
          <cell r="B601">
            <v>461</v>
          </cell>
        </row>
        <row r="602">
          <cell r="A602" t="str">
            <v>1CM1LP2555ZA</v>
          </cell>
          <cell r="B602">
            <v>176</v>
          </cell>
        </row>
        <row r="603">
          <cell r="A603" t="str">
            <v>1CM1LP2560ZA</v>
          </cell>
          <cell r="B603">
            <v>163</v>
          </cell>
        </row>
        <row r="604">
          <cell r="A604" t="str">
            <v>1CM1LP2561ZA</v>
          </cell>
          <cell r="B604">
            <v>276</v>
          </cell>
        </row>
        <row r="605">
          <cell r="A605" t="str">
            <v>1CM1LPMB2110RUKZA</v>
          </cell>
          <cell r="B605">
            <v>53</v>
          </cell>
        </row>
        <row r="606">
          <cell r="A606" t="str">
            <v>1CM1LPMB2110RUSZA</v>
          </cell>
          <cell r="B606">
            <v>16</v>
          </cell>
        </row>
        <row r="607">
          <cell r="A607" t="str">
            <v>1CM1LPMB2123CNSZA</v>
          </cell>
          <cell r="B607">
            <v>15</v>
          </cell>
        </row>
        <row r="608">
          <cell r="A608" t="str">
            <v>1CM1LPMB2130CXK-R1</v>
          </cell>
          <cell r="B608">
            <v>47</v>
          </cell>
        </row>
        <row r="609">
          <cell r="A609" t="str">
            <v>1CM1LPMB2130CXKZA</v>
          </cell>
          <cell r="B609">
            <v>47</v>
          </cell>
        </row>
        <row r="610">
          <cell r="A610" t="str">
            <v>1CM1LPMB2130CXS-R1</v>
          </cell>
          <cell r="B610">
            <v>17</v>
          </cell>
        </row>
        <row r="611">
          <cell r="A611" t="str">
            <v>1CM1LPMB2130CXSZA</v>
          </cell>
          <cell r="B611">
            <v>18</v>
          </cell>
        </row>
        <row r="612">
          <cell r="A612" t="str">
            <v>1CM1LPMB536CXKZA</v>
          </cell>
          <cell r="B612">
            <v>46</v>
          </cell>
        </row>
        <row r="613">
          <cell r="A613" t="str">
            <v>1CM1LPMB536CXSZA</v>
          </cell>
          <cell r="B613">
            <v>32</v>
          </cell>
        </row>
        <row r="614">
          <cell r="A614" t="str">
            <v>1CM1LPMB545JTK-R1</v>
          </cell>
          <cell r="B614">
            <v>22</v>
          </cell>
        </row>
        <row r="615">
          <cell r="A615" t="str">
            <v>1CM1LPMB545JTKZA</v>
          </cell>
          <cell r="B615">
            <v>23</v>
          </cell>
        </row>
        <row r="616">
          <cell r="A616" t="str">
            <v>1CM1LPMB545JTS-R1</v>
          </cell>
          <cell r="B616">
            <v>32</v>
          </cell>
        </row>
        <row r="617">
          <cell r="A617" t="str">
            <v>1CM1LPMB545JTSZA</v>
          </cell>
          <cell r="B617">
            <v>30</v>
          </cell>
        </row>
        <row r="618">
          <cell r="A618" t="str">
            <v>1CM1LPNT511P3ZA</v>
          </cell>
          <cell r="B618">
            <v>7</v>
          </cell>
        </row>
        <row r="619">
          <cell r="A619" t="str">
            <v>1CM1LPNT511P3ZAS1</v>
          </cell>
          <cell r="B619">
            <v>46</v>
          </cell>
        </row>
        <row r="620">
          <cell r="A620" t="str">
            <v>1CM1LPPU100GPZA</v>
          </cell>
          <cell r="B620">
            <v>28</v>
          </cell>
        </row>
        <row r="621">
          <cell r="A621" t="str">
            <v>1CM1LPPU100GPZA-R1</v>
          </cell>
          <cell r="B621">
            <v>28</v>
          </cell>
        </row>
        <row r="622">
          <cell r="A622" t="str">
            <v>1CM1LPPU100GPZA-S1</v>
          </cell>
          <cell r="B622">
            <v>31</v>
          </cell>
        </row>
        <row r="623">
          <cell r="A623" t="str">
            <v>1CM1LPPU100GPZA-S2</v>
          </cell>
          <cell r="B623">
            <v>30</v>
          </cell>
        </row>
        <row r="624">
          <cell r="A624" t="str">
            <v>1CM1LPPU100NPZA</v>
          </cell>
          <cell r="B624">
            <v>26</v>
          </cell>
        </row>
        <row r="625">
          <cell r="A625" t="str">
            <v>1CM1LPPU100NPZA-R1</v>
          </cell>
          <cell r="B625">
            <v>26</v>
          </cell>
        </row>
        <row r="626">
          <cell r="A626" t="str">
            <v>1CM1LPPU100NPZA-S1</v>
          </cell>
          <cell r="B626">
            <v>29</v>
          </cell>
        </row>
        <row r="627">
          <cell r="A627" t="str">
            <v>1CM1LPPU100NPZA-S2</v>
          </cell>
          <cell r="B627">
            <v>28</v>
          </cell>
        </row>
        <row r="628">
          <cell r="A628" t="str">
            <v>1CM1LPPU102NPZA</v>
          </cell>
          <cell r="B628">
            <v>26</v>
          </cell>
        </row>
        <row r="629">
          <cell r="A629" t="str">
            <v>1CM1LPPU102NPZA-R1</v>
          </cell>
          <cell r="B629">
            <v>26</v>
          </cell>
        </row>
        <row r="630">
          <cell r="A630" t="str">
            <v>1CM1LPPU102NPZA-S2</v>
          </cell>
          <cell r="B630">
            <v>28</v>
          </cell>
        </row>
        <row r="631">
          <cell r="A631" t="str">
            <v>1CM1LPPU103NPZA-S1</v>
          </cell>
          <cell r="B631">
            <v>29</v>
          </cell>
        </row>
        <row r="632">
          <cell r="A632" t="str">
            <v>1CM1LPS1015CSK1</v>
          </cell>
          <cell r="B632">
            <v>14</v>
          </cell>
        </row>
        <row r="633">
          <cell r="A633" t="str">
            <v>1CM1LPS1015CSZA</v>
          </cell>
          <cell r="B633">
            <v>14</v>
          </cell>
        </row>
        <row r="634">
          <cell r="A634" t="str">
            <v>1CM1LPS1026CSK1</v>
          </cell>
          <cell r="B634">
            <v>16</v>
          </cell>
        </row>
        <row r="635">
          <cell r="A635" t="str">
            <v>1CM1LPS1026CSZA</v>
          </cell>
          <cell r="B635">
            <v>16</v>
          </cell>
        </row>
        <row r="636">
          <cell r="A636" t="str">
            <v>1CM1LPS1058YW-R1</v>
          </cell>
          <cell r="B636">
            <v>7</v>
          </cell>
        </row>
        <row r="637">
          <cell r="A637" t="str">
            <v>1CM1LPS1058YW-S1</v>
          </cell>
          <cell r="B637">
            <v>7</v>
          </cell>
        </row>
        <row r="638">
          <cell r="A638" t="str">
            <v>1CM1LPS2087HL-S1</v>
          </cell>
          <cell r="B638">
            <v>4</v>
          </cell>
        </row>
        <row r="639">
          <cell r="A639" t="str">
            <v>1CM1LPS2087HP-S1</v>
          </cell>
          <cell r="B639">
            <v>11</v>
          </cell>
        </row>
        <row r="640">
          <cell r="A640" t="str">
            <v>1CM1LPS2087HS-S1</v>
          </cell>
          <cell r="B640">
            <v>37</v>
          </cell>
        </row>
        <row r="641">
          <cell r="A641" t="str">
            <v>1CM1LPS2087L-R1</v>
          </cell>
          <cell r="B641">
            <v>4</v>
          </cell>
        </row>
        <row r="642">
          <cell r="A642" t="str">
            <v>1CM1LPS2087LZA</v>
          </cell>
          <cell r="B642">
            <v>4</v>
          </cell>
        </row>
        <row r="643">
          <cell r="A643" t="str">
            <v>1CM1LPS2087P-R1</v>
          </cell>
          <cell r="B643">
            <v>11</v>
          </cell>
        </row>
        <row r="644">
          <cell r="A644" t="str">
            <v>1CM1LPS2087PZA</v>
          </cell>
          <cell r="B644">
            <v>11</v>
          </cell>
        </row>
        <row r="645">
          <cell r="A645" t="str">
            <v>1CM1LPS2087S-R1</v>
          </cell>
          <cell r="B645">
            <v>37</v>
          </cell>
        </row>
        <row r="646">
          <cell r="A646" t="str">
            <v>1CM1LPS2087SZA</v>
          </cell>
          <cell r="B646">
            <v>44</v>
          </cell>
        </row>
        <row r="647">
          <cell r="A647" t="str">
            <v>1CM1LPS7097S-S1</v>
          </cell>
          <cell r="B647">
            <v>147</v>
          </cell>
        </row>
        <row r="648">
          <cell r="A648" t="str">
            <v>1CM1LPS8127R-R1</v>
          </cell>
          <cell r="B648">
            <v>114</v>
          </cell>
        </row>
        <row r="649">
          <cell r="A649" t="str">
            <v>1CM1LPS8127RZA</v>
          </cell>
          <cell r="B649">
            <v>115</v>
          </cell>
        </row>
        <row r="650">
          <cell r="A650" t="str">
            <v>1CM1LPS8127S-R1</v>
          </cell>
          <cell r="B650">
            <v>43</v>
          </cell>
        </row>
        <row r="651">
          <cell r="A651" t="str">
            <v>1CM1LPS8127SZA</v>
          </cell>
          <cell r="B651">
            <v>43</v>
          </cell>
        </row>
        <row r="652">
          <cell r="A652" t="str">
            <v>1CM1LPS8130RZA</v>
          </cell>
          <cell r="B652">
            <v>148</v>
          </cell>
        </row>
        <row r="653">
          <cell r="A653" t="str">
            <v>1CM1LPS8147R-R1</v>
          </cell>
          <cell r="B653">
            <v>147</v>
          </cell>
        </row>
        <row r="654">
          <cell r="A654" t="str">
            <v>1CM1LPS8147RZA</v>
          </cell>
          <cell r="B654">
            <v>148</v>
          </cell>
        </row>
        <row r="655">
          <cell r="A655" t="str">
            <v>1CM1LPS8147S-R1</v>
          </cell>
          <cell r="B655">
            <v>43</v>
          </cell>
        </row>
        <row r="656">
          <cell r="A656" t="str">
            <v>1CM1LPS8147SZA</v>
          </cell>
          <cell r="B656">
            <v>43</v>
          </cell>
        </row>
        <row r="657">
          <cell r="A657" t="str">
            <v>1CM1LPTE82480SXZA</v>
          </cell>
          <cell r="B657">
            <v>267</v>
          </cell>
        </row>
        <row r="658">
          <cell r="A658" t="str">
            <v>1CM1LPTE82483SXZA</v>
          </cell>
          <cell r="B658">
            <v>359</v>
          </cell>
        </row>
        <row r="659">
          <cell r="A659" t="str">
            <v>1CM1LPTEM824RUZA</v>
          </cell>
          <cell r="B659">
            <v>465</v>
          </cell>
        </row>
        <row r="660">
          <cell r="A660" t="str">
            <v>1CM1NCP1170</v>
          </cell>
          <cell r="B660">
            <v>264</v>
          </cell>
        </row>
        <row r="661">
          <cell r="A661" t="str">
            <v>1CM1NCP1170CN</v>
          </cell>
          <cell r="B661">
            <v>263</v>
          </cell>
        </row>
        <row r="662">
          <cell r="A662" t="str">
            <v>1CM1NCP1170M1</v>
          </cell>
          <cell r="B662">
            <v>265</v>
          </cell>
        </row>
        <row r="663">
          <cell r="A663" t="str">
            <v>1CM1NCP1170NEV4</v>
          </cell>
          <cell r="B663">
            <v>264</v>
          </cell>
        </row>
        <row r="664">
          <cell r="A664" t="str">
            <v>1CM1NCP1170XJ</v>
          </cell>
          <cell r="B664">
            <v>264</v>
          </cell>
        </row>
        <row r="665">
          <cell r="A665" t="str">
            <v>1CM1NCP1187</v>
          </cell>
          <cell r="B665">
            <v>162</v>
          </cell>
        </row>
        <row r="666">
          <cell r="A666" t="str">
            <v>1CM1NCP1187X</v>
          </cell>
          <cell r="B666">
            <v>162</v>
          </cell>
        </row>
        <row r="667">
          <cell r="A667" t="str">
            <v>1CM1NCP1188CN</v>
          </cell>
          <cell r="B667">
            <v>163</v>
          </cell>
        </row>
        <row r="668">
          <cell r="A668" t="str">
            <v>1CM1NCP1188XJ</v>
          </cell>
          <cell r="B668">
            <v>163</v>
          </cell>
        </row>
        <row r="669">
          <cell r="A669" t="str">
            <v>1CM1NCP1190</v>
          </cell>
          <cell r="B669">
            <v>177</v>
          </cell>
        </row>
        <row r="670">
          <cell r="A670" t="str">
            <v>1CM1NCP1190CN</v>
          </cell>
          <cell r="B670">
            <v>176</v>
          </cell>
        </row>
        <row r="671">
          <cell r="A671" t="str">
            <v>1CM1NCP1190M1</v>
          </cell>
          <cell r="B671">
            <v>178</v>
          </cell>
        </row>
        <row r="672">
          <cell r="A672" t="str">
            <v>1CM1NCP1190XEU</v>
          </cell>
          <cell r="B672">
            <v>177</v>
          </cell>
        </row>
        <row r="673">
          <cell r="A673" t="str">
            <v>1CM1NCP1190XJ</v>
          </cell>
          <cell r="B673">
            <v>177</v>
          </cell>
        </row>
        <row r="674">
          <cell r="A674" t="str">
            <v>1CM1NCP1190XV4</v>
          </cell>
          <cell r="B674">
            <v>178</v>
          </cell>
        </row>
        <row r="675">
          <cell r="A675" t="str">
            <v>1CM1PNLP1029YA</v>
          </cell>
          <cell r="B675">
            <v>1</v>
          </cell>
        </row>
        <row r="676">
          <cell r="A676" t="str">
            <v>1CM1PNLP2263ZA</v>
          </cell>
          <cell r="B676">
            <v>265</v>
          </cell>
        </row>
        <row r="677">
          <cell r="A677" t="str">
            <v>1CM1PNLP2565ZA</v>
          </cell>
          <cell r="B677">
            <v>194</v>
          </cell>
        </row>
        <row r="678">
          <cell r="A678" t="str">
            <v>1CM1PNLP2566ZA</v>
          </cell>
          <cell r="B678">
            <v>194</v>
          </cell>
        </row>
        <row r="679">
          <cell r="A679" t="str">
            <v>1CM1PNLP2572ZA</v>
          </cell>
          <cell r="B679">
            <v>315</v>
          </cell>
        </row>
        <row r="680">
          <cell r="A680" t="str">
            <v>1CM1PNLPTEB308RUZA</v>
          </cell>
          <cell r="B680">
            <v>291</v>
          </cell>
        </row>
        <row r="681">
          <cell r="A681" t="str">
            <v>1CM1PNLPTES824SXZA</v>
          </cell>
          <cell r="B681">
            <v>465</v>
          </cell>
        </row>
        <row r="682">
          <cell r="A682" t="str">
            <v>1CM1PNLXE1015ZA/AS</v>
          </cell>
          <cell r="B682">
            <v>4</v>
          </cell>
        </row>
        <row r="683">
          <cell r="A683" t="str">
            <v>1CM1PNLXE1015ZA-R2</v>
          </cell>
          <cell r="B683">
            <v>5</v>
          </cell>
        </row>
        <row r="684">
          <cell r="A684" t="str">
            <v>1CM1PSLP1258ZA</v>
          </cell>
          <cell r="B684">
            <v>599</v>
          </cell>
        </row>
        <row r="685">
          <cell r="A685" t="str">
            <v>1CM1PSLP1258ZAL4</v>
          </cell>
          <cell r="B685">
            <v>599</v>
          </cell>
        </row>
        <row r="686">
          <cell r="A686" t="str">
            <v>1CM1PSLP1259ZAL4</v>
          </cell>
          <cell r="B686">
            <v>531</v>
          </cell>
        </row>
        <row r="687">
          <cell r="A687" t="str">
            <v>1CM1PSLP1260ZAL4</v>
          </cell>
          <cell r="B687">
            <v>590</v>
          </cell>
        </row>
        <row r="688">
          <cell r="A688" t="str">
            <v>1CM1PSLP1261ZAL4</v>
          </cell>
          <cell r="B688">
            <v>589</v>
          </cell>
        </row>
        <row r="689">
          <cell r="A689" t="str">
            <v>1CM1PSLP1263ZAL4</v>
          </cell>
          <cell r="B689">
            <v>168</v>
          </cell>
        </row>
        <row r="690">
          <cell r="A690" t="str">
            <v>1CM1PSLP1264ZAL4</v>
          </cell>
          <cell r="B690">
            <v>168</v>
          </cell>
        </row>
        <row r="691">
          <cell r="A691" t="str">
            <v>1CM1PSLP1270ZAV4</v>
          </cell>
          <cell r="B691">
            <v>590</v>
          </cell>
        </row>
        <row r="692">
          <cell r="A692" t="str">
            <v>1CM1PSLP1282ZAL4</v>
          </cell>
          <cell r="B692">
            <v>465</v>
          </cell>
        </row>
        <row r="693">
          <cell r="A693" t="str">
            <v>1CM1PSLP1282ZAL4T1</v>
          </cell>
          <cell r="B693">
            <v>459</v>
          </cell>
        </row>
        <row r="694">
          <cell r="A694" t="str">
            <v>1CM1PSLP1283ZAL4</v>
          </cell>
          <cell r="B694">
            <v>353</v>
          </cell>
        </row>
        <row r="695">
          <cell r="A695" t="str">
            <v>1CM1PSLP1283ZAS1</v>
          </cell>
          <cell r="B695">
            <v>353</v>
          </cell>
        </row>
        <row r="696">
          <cell r="A696" t="str">
            <v>1CM1PSLP1284ZAL4</v>
          </cell>
          <cell r="B696">
            <v>267</v>
          </cell>
        </row>
        <row r="697">
          <cell r="A697" t="str">
            <v>1CM1PSLP1285ZAV4</v>
          </cell>
          <cell r="B697">
            <v>477</v>
          </cell>
        </row>
        <row r="698">
          <cell r="A698" t="str">
            <v>1CM1PSLP1286ZAV4</v>
          </cell>
          <cell r="B698">
            <v>365</v>
          </cell>
        </row>
        <row r="699">
          <cell r="A699" t="str">
            <v>1CM1PSLP1287ZAV4</v>
          </cell>
          <cell r="B699">
            <v>275</v>
          </cell>
        </row>
        <row r="700">
          <cell r="A700" t="str">
            <v>1CM1PSLP1288ZA</v>
          </cell>
          <cell r="B700">
            <v>461</v>
          </cell>
        </row>
        <row r="701">
          <cell r="A701" t="str">
            <v>1CM1PSLP1288ZAT1</v>
          </cell>
          <cell r="B701">
            <v>455</v>
          </cell>
        </row>
        <row r="702">
          <cell r="A702" t="str">
            <v>1CM1PSLP1289ZA</v>
          </cell>
          <cell r="B702">
            <v>351</v>
          </cell>
        </row>
        <row r="703">
          <cell r="A703" t="str">
            <v>1CM1PSLP1290ZA</v>
          </cell>
          <cell r="B703">
            <v>262</v>
          </cell>
        </row>
        <row r="704">
          <cell r="A704" t="str">
            <v>1CM1PSLP1312ZAL4</v>
          </cell>
          <cell r="B704">
            <v>194</v>
          </cell>
        </row>
        <row r="705">
          <cell r="A705" t="str">
            <v>1CM1PSLP1316ZA</v>
          </cell>
          <cell r="B705">
            <v>315</v>
          </cell>
        </row>
        <row r="706">
          <cell r="A706" t="str">
            <v>1CM1PSLP1317ZA</v>
          </cell>
          <cell r="B706">
            <v>117</v>
          </cell>
        </row>
        <row r="707">
          <cell r="A707" t="str">
            <v>1CM1PSLP1388ZAV4</v>
          </cell>
          <cell r="B707">
            <v>315</v>
          </cell>
        </row>
        <row r="708">
          <cell r="A708" t="str">
            <v>1CM1PSLP1389ZAV4</v>
          </cell>
          <cell r="B708">
            <v>129</v>
          </cell>
        </row>
        <row r="709">
          <cell r="A709" t="str">
            <v>1CM1PSLP1404ZA</v>
          </cell>
          <cell r="B709">
            <v>291</v>
          </cell>
        </row>
        <row r="710">
          <cell r="A710" t="str">
            <v>1CM1PSLP1409ZA</v>
          </cell>
          <cell r="B710">
            <v>600</v>
          </cell>
        </row>
        <row r="711">
          <cell r="A711" t="str">
            <v>1CM1PSLP1421ZA</v>
          </cell>
          <cell r="B711">
            <v>315</v>
          </cell>
        </row>
        <row r="712">
          <cell r="A712" t="str">
            <v>1CM1PSLP1422ZA</v>
          </cell>
          <cell r="B712">
            <v>117</v>
          </cell>
        </row>
        <row r="713">
          <cell r="A713" t="str">
            <v>1CM1PSLP1423ZA</v>
          </cell>
          <cell r="B713">
            <v>126</v>
          </cell>
        </row>
        <row r="714">
          <cell r="A714" t="str">
            <v>1CM1PSLP1424ZA</v>
          </cell>
          <cell r="B714">
            <v>129</v>
          </cell>
        </row>
        <row r="715">
          <cell r="A715" t="str">
            <v>1CM1PSLP1426ZA</v>
          </cell>
          <cell r="B715">
            <v>117</v>
          </cell>
        </row>
        <row r="716">
          <cell r="A716" t="str">
            <v>1CM1PSLP1428ZA</v>
          </cell>
          <cell r="B716">
            <v>114</v>
          </cell>
        </row>
        <row r="717">
          <cell r="A717" t="str">
            <v>1CM1PSLP1452ZA</v>
          </cell>
          <cell r="B717">
            <v>315</v>
          </cell>
        </row>
        <row r="718">
          <cell r="A718" t="str">
            <v>1CM1PSLP1456ZA</v>
          </cell>
          <cell r="B718">
            <v>315</v>
          </cell>
        </row>
        <row r="719">
          <cell r="A719" t="str">
            <v>1CM1PSLP1475ZA</v>
          </cell>
          <cell r="B719">
            <v>12</v>
          </cell>
        </row>
        <row r="720">
          <cell r="A720" t="str">
            <v>1CM1PSLP1476ZA</v>
          </cell>
          <cell r="B720">
            <v>10</v>
          </cell>
        </row>
        <row r="721">
          <cell r="A721" t="str">
            <v>1CM1PSLP1537ZA</v>
          </cell>
          <cell r="B721">
            <v>461</v>
          </cell>
        </row>
        <row r="722">
          <cell r="A722" t="str">
            <v>1CM1PSLP1537ZAT1</v>
          </cell>
          <cell r="B722">
            <v>455</v>
          </cell>
        </row>
        <row r="723">
          <cell r="A723" t="str">
            <v>1CM1PSLP1573ZAV4</v>
          </cell>
          <cell r="B723">
            <v>129</v>
          </cell>
        </row>
        <row r="724">
          <cell r="A724" t="str">
            <v>1CM1PSLP1574ZAV4</v>
          </cell>
          <cell r="B724">
            <v>477</v>
          </cell>
        </row>
        <row r="725">
          <cell r="A725" t="str">
            <v>1CM1PSLP1575ZAV4</v>
          </cell>
          <cell r="B725">
            <v>365</v>
          </cell>
        </row>
        <row r="726">
          <cell r="A726" t="str">
            <v>1CM1PSLP1576ZAV4</v>
          </cell>
          <cell r="B726">
            <v>275</v>
          </cell>
        </row>
        <row r="727">
          <cell r="A727" t="str">
            <v>1CM1PSLP1578ZA</v>
          </cell>
          <cell r="B727">
            <v>608</v>
          </cell>
        </row>
        <row r="728">
          <cell r="A728" t="str">
            <v>1CM1PSLP1639ZA</v>
          </cell>
          <cell r="B728">
            <v>608</v>
          </cell>
        </row>
        <row r="729">
          <cell r="A729" t="str">
            <v>1CM1PSLP1640ZA</v>
          </cell>
          <cell r="B729">
            <v>613</v>
          </cell>
        </row>
        <row r="730">
          <cell r="A730" t="str">
            <v>1CM1PSLP1650ZA</v>
          </cell>
          <cell r="B730">
            <v>410</v>
          </cell>
        </row>
        <row r="731">
          <cell r="A731" t="str">
            <v>1CM1PSLP1657ZA</v>
          </cell>
          <cell r="B731">
            <v>610</v>
          </cell>
        </row>
        <row r="732">
          <cell r="A732" t="str">
            <v>1CM1PSLP1658ZA</v>
          </cell>
          <cell r="B732">
            <v>609</v>
          </cell>
        </row>
        <row r="733">
          <cell r="A733" t="str">
            <v>1CM1PSLP1659ZA</v>
          </cell>
          <cell r="B733">
            <v>609</v>
          </cell>
        </row>
        <row r="734">
          <cell r="A734" t="str">
            <v>1CM1PSLP1660ZA</v>
          </cell>
          <cell r="B734">
            <v>608</v>
          </cell>
        </row>
        <row r="735">
          <cell r="A735" t="str">
            <v>1CM1PSLP1665ZA</v>
          </cell>
          <cell r="B735">
            <v>263</v>
          </cell>
        </row>
        <row r="736">
          <cell r="A736" t="str">
            <v>1CM1PSLP1679ZA</v>
          </cell>
          <cell r="B736">
            <v>609</v>
          </cell>
        </row>
        <row r="737">
          <cell r="A737" t="str">
            <v>1CM1PSLP1682ZA</v>
          </cell>
          <cell r="B737">
            <v>291</v>
          </cell>
        </row>
        <row r="738">
          <cell r="A738" t="str">
            <v>1CM1PSLP1683ZA</v>
          </cell>
          <cell r="B738">
            <v>117</v>
          </cell>
        </row>
        <row r="739">
          <cell r="A739" t="str">
            <v>1CM1PSLP1684ZA</v>
          </cell>
          <cell r="B739">
            <v>461</v>
          </cell>
        </row>
        <row r="740">
          <cell r="A740" t="str">
            <v>1CM1T7710ALV4</v>
          </cell>
          <cell r="B740">
            <v>100</v>
          </cell>
        </row>
        <row r="741">
          <cell r="A741" t="str">
            <v>1CM1T7710CNV4</v>
          </cell>
          <cell r="B741">
            <v>95</v>
          </cell>
        </row>
        <row r="742">
          <cell r="A742" t="str">
            <v>1CM1T7710CV4</v>
          </cell>
          <cell r="B742">
            <v>95</v>
          </cell>
        </row>
        <row r="743">
          <cell r="A743" t="str">
            <v>1CM1T7710EV4</v>
          </cell>
          <cell r="B743">
            <v>98</v>
          </cell>
        </row>
        <row r="744">
          <cell r="A744" t="str">
            <v>1CM1T7710NEV4</v>
          </cell>
          <cell r="B744">
            <v>98</v>
          </cell>
        </row>
        <row r="745">
          <cell r="A745" t="str">
            <v>1CM1T7710NZ</v>
          </cell>
          <cell r="B745">
            <v>98</v>
          </cell>
        </row>
        <row r="746">
          <cell r="A746" t="str">
            <v>1CM1T7710NZB</v>
          </cell>
          <cell r="B746">
            <v>98</v>
          </cell>
        </row>
        <row r="747">
          <cell r="A747" t="str">
            <v>1CM1T7710RUV4</v>
          </cell>
          <cell r="B747">
            <v>95</v>
          </cell>
        </row>
        <row r="748">
          <cell r="A748" t="str">
            <v>1CM1T7710XV4</v>
          </cell>
          <cell r="B748">
            <v>95</v>
          </cell>
        </row>
        <row r="749">
          <cell r="A749" t="str">
            <v>1CM1T7710XV4SX</v>
          </cell>
          <cell r="B749">
            <v>95</v>
          </cell>
        </row>
        <row r="750">
          <cell r="A750" t="str">
            <v>1CM1TA82470S2</v>
          </cell>
          <cell r="B750">
            <v>246</v>
          </cell>
        </row>
        <row r="751">
          <cell r="A751" t="str">
            <v>1CM1TA82470V4</v>
          </cell>
          <cell r="B751">
            <v>246</v>
          </cell>
        </row>
        <row r="752">
          <cell r="A752" t="str">
            <v>1CM1TA82470V4-S1</v>
          </cell>
          <cell r="B752">
            <v>246</v>
          </cell>
        </row>
        <row r="753">
          <cell r="A753" t="str">
            <v>1CM1TA82481S2</v>
          </cell>
          <cell r="B753">
            <v>314</v>
          </cell>
        </row>
        <row r="754">
          <cell r="A754" t="str">
            <v>1CM1TA82481V4</v>
          </cell>
          <cell r="B754">
            <v>314</v>
          </cell>
        </row>
        <row r="755">
          <cell r="A755" t="str">
            <v>1CM1TA82481V4-S1</v>
          </cell>
          <cell r="B755">
            <v>314</v>
          </cell>
        </row>
        <row r="756">
          <cell r="A756" t="str">
            <v>1CM1TA82483S1</v>
          </cell>
          <cell r="B756">
            <v>351</v>
          </cell>
        </row>
        <row r="757">
          <cell r="A757" t="str">
            <v>1CM1TA82483V4</v>
          </cell>
          <cell r="B757">
            <v>351</v>
          </cell>
        </row>
        <row r="758">
          <cell r="A758" t="str">
            <v>1CM1TAW84870V4</v>
          </cell>
          <cell r="B758">
            <v>276</v>
          </cell>
        </row>
        <row r="759">
          <cell r="A759" t="str">
            <v>1CM1TAW84874V4</v>
          </cell>
          <cell r="B759">
            <v>441</v>
          </cell>
        </row>
        <row r="760">
          <cell r="A760" t="str">
            <v>1CM1TAW84875V4</v>
          </cell>
          <cell r="B760">
            <v>196</v>
          </cell>
        </row>
        <row r="761">
          <cell r="A761" t="str">
            <v>1CM1TAW84876V4</v>
          </cell>
          <cell r="B761">
            <v>436</v>
          </cell>
        </row>
        <row r="762">
          <cell r="A762" t="str">
            <v>1CM1TAW84880V4</v>
          </cell>
          <cell r="B762">
            <v>168</v>
          </cell>
        </row>
        <row r="763">
          <cell r="A763" t="str">
            <v>1CM1TDA0168M1</v>
          </cell>
          <cell r="B763">
            <v>26</v>
          </cell>
        </row>
        <row r="764">
          <cell r="A764" t="str">
            <v>1CM1TDA0168V4</v>
          </cell>
          <cell r="B764">
            <v>26</v>
          </cell>
        </row>
        <row r="765">
          <cell r="A765" t="str">
            <v>1CM1TDA0168XJV4</v>
          </cell>
          <cell r="B765">
            <v>26</v>
          </cell>
        </row>
        <row r="766">
          <cell r="A766" t="str">
            <v>1CM1TDA0168XV4</v>
          </cell>
          <cell r="B766">
            <v>26</v>
          </cell>
        </row>
        <row r="767">
          <cell r="A767" t="str">
            <v>1CM1TDA0180AGV4</v>
          </cell>
          <cell r="B767">
            <v>275</v>
          </cell>
        </row>
        <row r="768">
          <cell r="A768" t="str">
            <v>1CM1TDA0180ALV4</v>
          </cell>
          <cell r="B768">
            <v>291</v>
          </cell>
        </row>
        <row r="769">
          <cell r="A769" t="str">
            <v>1CM1TDA0180CV4</v>
          </cell>
          <cell r="B769">
            <v>276</v>
          </cell>
        </row>
        <row r="770">
          <cell r="A770" t="str">
            <v>1CM1TDA0180CXV4</v>
          </cell>
          <cell r="B770">
            <v>282</v>
          </cell>
        </row>
        <row r="771">
          <cell r="A771" t="str">
            <v>1CM1TDA0180EV4</v>
          </cell>
          <cell r="B771">
            <v>275</v>
          </cell>
        </row>
        <row r="772">
          <cell r="A772" t="str">
            <v>1CM1TDA0180M1</v>
          </cell>
          <cell r="B772">
            <v>275</v>
          </cell>
        </row>
        <row r="773">
          <cell r="A773" t="str">
            <v>1CM1TDA0180M2</v>
          </cell>
          <cell r="B773">
            <v>275</v>
          </cell>
        </row>
        <row r="774">
          <cell r="A774" t="str">
            <v>1CM1TDA0180NEV4</v>
          </cell>
          <cell r="B774">
            <v>275</v>
          </cell>
        </row>
        <row r="775">
          <cell r="A775" t="str">
            <v>1CM1TDA0180V4</v>
          </cell>
          <cell r="B775">
            <v>276</v>
          </cell>
        </row>
        <row r="776">
          <cell r="A776" t="str">
            <v>1CM1TDA0180XEU</v>
          </cell>
          <cell r="B776">
            <v>275</v>
          </cell>
        </row>
        <row r="777">
          <cell r="A777" t="str">
            <v>1CM1TDA0180XSX</v>
          </cell>
          <cell r="B777">
            <v>275</v>
          </cell>
        </row>
        <row r="778">
          <cell r="A778" t="str">
            <v>1CM1TDA0180XV4</v>
          </cell>
          <cell r="B778">
            <v>275</v>
          </cell>
        </row>
        <row r="779">
          <cell r="A779" t="str">
            <v>1CM1TDA0183NEV4</v>
          </cell>
          <cell r="B779">
            <v>182</v>
          </cell>
        </row>
        <row r="780">
          <cell r="A780" t="str">
            <v>1CM1TDA0187V4</v>
          </cell>
          <cell r="B780">
            <v>162</v>
          </cell>
        </row>
        <row r="781">
          <cell r="A781" t="str">
            <v>1CM1TDA0187XV4</v>
          </cell>
          <cell r="B781">
            <v>162</v>
          </cell>
        </row>
        <row r="782">
          <cell r="A782" t="str">
            <v>1CM1TDA0188CEV4</v>
          </cell>
          <cell r="B782">
            <v>163</v>
          </cell>
        </row>
        <row r="783">
          <cell r="A783" t="str">
            <v>1CM1TDA0188CXV4</v>
          </cell>
          <cell r="B783">
            <v>163</v>
          </cell>
        </row>
        <row r="784">
          <cell r="A784" t="str">
            <v>1CM1TDA0188M1</v>
          </cell>
          <cell r="B784">
            <v>163</v>
          </cell>
        </row>
        <row r="785">
          <cell r="A785" t="str">
            <v>1CM1TDA0188XJV4</v>
          </cell>
          <cell r="B785">
            <v>163</v>
          </cell>
        </row>
        <row r="786">
          <cell r="A786" t="str">
            <v>1CM1TDA0190CXV4</v>
          </cell>
          <cell r="B786">
            <v>175</v>
          </cell>
        </row>
        <row r="787">
          <cell r="A787" t="str">
            <v>1CM1TDA0190V4</v>
          </cell>
          <cell r="B787">
            <v>176</v>
          </cell>
        </row>
        <row r="788">
          <cell r="A788" t="str">
            <v>1CM1TDA0190XEU</v>
          </cell>
          <cell r="B788">
            <v>176</v>
          </cell>
        </row>
        <row r="789">
          <cell r="A789" t="str">
            <v>1CM1TDA0190XJSX</v>
          </cell>
          <cell r="B789">
            <v>176</v>
          </cell>
        </row>
        <row r="790">
          <cell r="A790" t="str">
            <v>1CM1TDA0190XJV4</v>
          </cell>
          <cell r="B790">
            <v>176</v>
          </cell>
        </row>
        <row r="791">
          <cell r="A791" t="str">
            <v>1CM1TDA0190XJVN</v>
          </cell>
          <cell r="B791">
            <v>176</v>
          </cell>
        </row>
        <row r="792">
          <cell r="A792" t="str">
            <v>1CM1TDA0190XV4</v>
          </cell>
          <cell r="B792">
            <v>177</v>
          </cell>
        </row>
        <row r="793">
          <cell r="A793" t="str">
            <v>1CM1TDA3171M1</v>
          </cell>
          <cell r="B793">
            <v>107</v>
          </cell>
        </row>
        <row r="794">
          <cell r="A794" t="str">
            <v>1CM1TDA3171NEV4</v>
          </cell>
          <cell r="B794">
            <v>107</v>
          </cell>
        </row>
        <row r="795">
          <cell r="A795" t="str">
            <v>1CM1TDA3171XJV4</v>
          </cell>
          <cell r="B795">
            <v>107</v>
          </cell>
        </row>
        <row r="796">
          <cell r="A796" t="str">
            <v>1CM1TDA3172M1</v>
          </cell>
          <cell r="B796">
            <v>263</v>
          </cell>
        </row>
        <row r="797">
          <cell r="A797" t="str">
            <v>1CM1TDA3172NEV4</v>
          </cell>
          <cell r="B797">
            <v>263</v>
          </cell>
        </row>
        <row r="798">
          <cell r="A798" t="str">
            <v>1CM1TDA3172XJV4</v>
          </cell>
          <cell r="B798">
            <v>263</v>
          </cell>
        </row>
        <row r="799">
          <cell r="A799" t="str">
            <v>1CM1TDA3173M1</v>
          </cell>
          <cell r="B799">
            <v>150</v>
          </cell>
        </row>
        <row r="800">
          <cell r="A800" t="str">
            <v>1CM1TDA3173NEV4</v>
          </cell>
          <cell r="B800">
            <v>150</v>
          </cell>
        </row>
        <row r="801">
          <cell r="A801" t="str">
            <v>1CM1TDA3173XJV4</v>
          </cell>
          <cell r="B801">
            <v>150</v>
          </cell>
        </row>
        <row r="802">
          <cell r="A802" t="str">
            <v>1CM1TDA3174M1</v>
          </cell>
          <cell r="B802">
            <v>440</v>
          </cell>
        </row>
        <row r="803">
          <cell r="A803" t="str">
            <v>1CM1TDA3174NEV4</v>
          </cell>
          <cell r="B803">
            <v>440</v>
          </cell>
        </row>
        <row r="804">
          <cell r="A804" t="str">
            <v>1CM1TDA3174XJV4</v>
          </cell>
          <cell r="B804">
            <v>440</v>
          </cell>
        </row>
        <row r="805">
          <cell r="A805" t="str">
            <v>1CM1TDA3180AGV4</v>
          </cell>
          <cell r="B805">
            <v>168</v>
          </cell>
        </row>
        <row r="806">
          <cell r="A806" t="str">
            <v>1CM1TDA3180ALV4</v>
          </cell>
          <cell r="B806">
            <v>172</v>
          </cell>
        </row>
        <row r="807">
          <cell r="A807" t="str">
            <v>1CM1TDA3180CV4</v>
          </cell>
          <cell r="B807">
            <v>168</v>
          </cell>
        </row>
        <row r="808">
          <cell r="A808" t="str">
            <v>1CM1TDA3180M1</v>
          </cell>
          <cell r="B808">
            <v>168</v>
          </cell>
        </row>
        <row r="809">
          <cell r="A809" t="str">
            <v>1CM1TDA3180NEV4</v>
          </cell>
          <cell r="B809">
            <v>169</v>
          </cell>
        </row>
        <row r="810">
          <cell r="A810" t="str">
            <v>1CM1TDA3180XV4</v>
          </cell>
          <cell r="B810">
            <v>168</v>
          </cell>
        </row>
        <row r="811">
          <cell r="A811" t="str">
            <v>1CM1TDA3183NEV4</v>
          </cell>
          <cell r="B811">
            <v>95</v>
          </cell>
        </row>
        <row r="812">
          <cell r="A812" t="str">
            <v>1CM1TDA3188XJV4</v>
          </cell>
          <cell r="B812">
            <v>101</v>
          </cell>
        </row>
        <row r="813">
          <cell r="A813" t="str">
            <v>1CM1TDA5170V4</v>
          </cell>
          <cell r="B813">
            <v>226</v>
          </cell>
        </row>
        <row r="814">
          <cell r="A814" t="str">
            <v>1CM1TDA5171V4</v>
          </cell>
          <cell r="B814">
            <v>107</v>
          </cell>
        </row>
        <row r="815">
          <cell r="A815" t="str">
            <v>1CM1TDA5172V4</v>
          </cell>
          <cell r="B815">
            <v>263</v>
          </cell>
        </row>
        <row r="816">
          <cell r="A816" t="str">
            <v>1CM1TDA5173V4</v>
          </cell>
          <cell r="B816">
            <v>150</v>
          </cell>
        </row>
        <row r="817">
          <cell r="A817" t="str">
            <v>1CM1TDA5174V4</v>
          </cell>
          <cell r="B817">
            <v>440</v>
          </cell>
        </row>
        <row r="818">
          <cell r="A818" t="str">
            <v>1CM1TDA5175V4</v>
          </cell>
          <cell r="B818">
            <v>196</v>
          </cell>
        </row>
        <row r="819">
          <cell r="A819" t="str">
            <v>1CM1TDA5176V4</v>
          </cell>
          <cell r="B819">
            <v>436</v>
          </cell>
        </row>
        <row r="820">
          <cell r="A820" t="str">
            <v>1CM1TDA5180V4</v>
          </cell>
          <cell r="B820">
            <v>168</v>
          </cell>
        </row>
        <row r="821">
          <cell r="A821" t="str">
            <v>1CM1TDA6166CNV4</v>
          </cell>
          <cell r="B821">
            <v>169</v>
          </cell>
        </row>
        <row r="822">
          <cell r="A822" t="str">
            <v>1CM1TDA6166V4</v>
          </cell>
          <cell r="B822">
            <v>168</v>
          </cell>
        </row>
        <row r="823">
          <cell r="A823" t="str">
            <v>1CM1TDA6166XJV4</v>
          </cell>
          <cell r="B823">
            <v>168</v>
          </cell>
        </row>
        <row r="824">
          <cell r="A824" t="str">
            <v>1CM1TDA6166XV4</v>
          </cell>
          <cell r="B824">
            <v>169</v>
          </cell>
        </row>
        <row r="825">
          <cell r="A825" t="str">
            <v>1CM1TDA6175CXV4</v>
          </cell>
          <cell r="B825">
            <v>251</v>
          </cell>
        </row>
        <row r="826">
          <cell r="A826" t="str">
            <v>1CM1TDA6175V4</v>
          </cell>
          <cell r="B826">
            <v>204</v>
          </cell>
        </row>
        <row r="827">
          <cell r="A827" t="str">
            <v>1CM1TDA6175XJSX</v>
          </cell>
          <cell r="B827">
            <v>252</v>
          </cell>
        </row>
        <row r="828">
          <cell r="A828" t="str">
            <v>1CM1TDA6175XJV4</v>
          </cell>
          <cell r="B828">
            <v>252</v>
          </cell>
        </row>
        <row r="829">
          <cell r="A829" t="str">
            <v>1CM1TDA6175XV4</v>
          </cell>
          <cell r="B829">
            <v>252</v>
          </cell>
        </row>
        <row r="830">
          <cell r="A830" t="str">
            <v>1CM1TE82470XS1</v>
          </cell>
          <cell r="B830">
            <v>246</v>
          </cell>
        </row>
        <row r="831">
          <cell r="A831" t="str">
            <v>1CM1TE82470XV4</v>
          </cell>
          <cell r="B831">
            <v>246</v>
          </cell>
        </row>
        <row r="832">
          <cell r="A832" t="str">
            <v>1CM1TE82480AGV4</v>
          </cell>
          <cell r="B832">
            <v>262</v>
          </cell>
        </row>
        <row r="833">
          <cell r="A833" t="str">
            <v>1CM1TE82480BRS1</v>
          </cell>
          <cell r="B833">
            <v>260</v>
          </cell>
        </row>
        <row r="834">
          <cell r="A834" t="str">
            <v>1CM1TE82480BRV4</v>
          </cell>
          <cell r="B834">
            <v>260</v>
          </cell>
        </row>
        <row r="835">
          <cell r="A835" t="str">
            <v>1CM1TE82480CNV4</v>
          </cell>
          <cell r="B835">
            <v>262</v>
          </cell>
        </row>
        <row r="836">
          <cell r="A836" t="str">
            <v>1CM1TE82480HKV4</v>
          </cell>
          <cell r="B836">
            <v>262</v>
          </cell>
        </row>
        <row r="837">
          <cell r="A837" t="str">
            <v>1CM1TE82480NZV4</v>
          </cell>
          <cell r="B837">
            <v>268</v>
          </cell>
        </row>
        <row r="838">
          <cell r="A838" t="str">
            <v>1CM1TE82480SAV4</v>
          </cell>
          <cell r="B838">
            <v>270</v>
          </cell>
        </row>
        <row r="839">
          <cell r="A839" t="str">
            <v>1CM1TE82481XS2</v>
          </cell>
          <cell r="B839">
            <v>314</v>
          </cell>
        </row>
        <row r="840">
          <cell r="A840" t="str">
            <v>1CM1TE82481XV4</v>
          </cell>
          <cell r="B840">
            <v>314</v>
          </cell>
        </row>
        <row r="841">
          <cell r="A841" t="str">
            <v>1CM1TE82481XV4-S1</v>
          </cell>
          <cell r="B841">
            <v>314</v>
          </cell>
        </row>
        <row r="842">
          <cell r="A842" t="str">
            <v>1CM1TE82483AGV4</v>
          </cell>
          <cell r="B842">
            <v>351</v>
          </cell>
        </row>
        <row r="843">
          <cell r="A843" t="str">
            <v>1CM1TE82483BRV4</v>
          </cell>
          <cell r="B843">
            <v>348</v>
          </cell>
        </row>
        <row r="844">
          <cell r="A844" t="str">
            <v>1CM1TE82483CNV4</v>
          </cell>
          <cell r="B844">
            <v>351</v>
          </cell>
        </row>
        <row r="845">
          <cell r="A845" t="str">
            <v>1CM1TE82483HKV4</v>
          </cell>
          <cell r="B845">
            <v>351</v>
          </cell>
        </row>
        <row r="846">
          <cell r="A846" t="str">
            <v>1CM1TE82483NZV4</v>
          </cell>
          <cell r="B846">
            <v>360</v>
          </cell>
        </row>
        <row r="847">
          <cell r="A847" t="str">
            <v>1CM1TE82483SAV4</v>
          </cell>
          <cell r="B847">
            <v>363</v>
          </cell>
        </row>
        <row r="848">
          <cell r="A848" t="str">
            <v>1CM1TES32BRS1</v>
          </cell>
          <cell r="B848">
            <v>458</v>
          </cell>
        </row>
        <row r="849">
          <cell r="A849" t="str">
            <v>1CM1TES32BRV4</v>
          </cell>
          <cell r="B849">
            <v>458</v>
          </cell>
        </row>
        <row r="850">
          <cell r="A850" t="str">
            <v>1CM1TES824ALV4</v>
          </cell>
          <cell r="B850">
            <v>460</v>
          </cell>
        </row>
        <row r="851">
          <cell r="A851" t="str">
            <v>1CM1TES824CNV4</v>
          </cell>
          <cell r="B851">
            <v>460</v>
          </cell>
        </row>
        <row r="852">
          <cell r="A852" t="str">
            <v>1CM1TES824CNV4T1</v>
          </cell>
          <cell r="B852">
            <v>454</v>
          </cell>
        </row>
        <row r="853">
          <cell r="A853" t="str">
            <v>1CM1TES824HKV4</v>
          </cell>
          <cell r="B853">
            <v>461</v>
          </cell>
        </row>
        <row r="854">
          <cell r="A854" t="str">
            <v>1CM1TES824NZV4</v>
          </cell>
          <cell r="B854">
            <v>470</v>
          </cell>
        </row>
        <row r="855">
          <cell r="A855" t="str">
            <v>1CM1TES824SAV4</v>
          </cell>
          <cell r="B855">
            <v>473</v>
          </cell>
        </row>
        <row r="856">
          <cell r="A856" t="str">
            <v>1CM1TP4NA7370AA</v>
          </cell>
          <cell r="B856">
            <v>8</v>
          </cell>
        </row>
        <row r="857">
          <cell r="A857" t="str">
            <v>1CM1TP4NA7723DC</v>
          </cell>
          <cell r="B857">
            <v>182</v>
          </cell>
        </row>
        <row r="858">
          <cell r="A858" t="str">
            <v>1CM1TP4NA7723DE</v>
          </cell>
          <cell r="B858">
            <v>181</v>
          </cell>
        </row>
        <row r="859">
          <cell r="A859" t="str">
            <v>1CM1TP4NA7724AC</v>
          </cell>
          <cell r="B859">
            <v>145</v>
          </cell>
        </row>
        <row r="860">
          <cell r="A860" t="str">
            <v>1CM1TP4NA7724AE</v>
          </cell>
          <cell r="B860">
            <v>145</v>
          </cell>
        </row>
        <row r="861">
          <cell r="A861" t="str">
            <v>1CM1TP4NA7724AF-1</v>
          </cell>
          <cell r="B861">
            <v>145</v>
          </cell>
        </row>
        <row r="862">
          <cell r="A862" t="str">
            <v>1CM1TP4NA7724AG-1</v>
          </cell>
          <cell r="B862">
            <v>145</v>
          </cell>
        </row>
        <row r="863">
          <cell r="A863" t="str">
            <v>1CM1TP4NA7725DC</v>
          </cell>
          <cell r="B863">
            <v>282</v>
          </cell>
        </row>
        <row r="864">
          <cell r="A864" t="str">
            <v>1CM1TP4NA7725DD</v>
          </cell>
          <cell r="B864">
            <v>316</v>
          </cell>
        </row>
        <row r="865">
          <cell r="A865" t="str">
            <v>1CM1TP4NA7726DB</v>
          </cell>
          <cell r="B865">
            <v>258</v>
          </cell>
        </row>
        <row r="866">
          <cell r="A866" t="str">
            <v>1CM1TP4NA7885DA</v>
          </cell>
          <cell r="B866">
            <v>265</v>
          </cell>
        </row>
        <row r="867">
          <cell r="A867" t="str">
            <v>1CM1TP4NA7885DB</v>
          </cell>
          <cell r="B867">
            <v>265</v>
          </cell>
        </row>
        <row r="868">
          <cell r="A868" t="str">
            <v>1CM1TP4NA7885DC</v>
          </cell>
          <cell r="B868">
            <v>265</v>
          </cell>
        </row>
        <row r="869">
          <cell r="A869" t="str">
            <v>1CM1TP4NA7885DD</v>
          </cell>
          <cell r="B869">
            <v>265</v>
          </cell>
        </row>
        <row r="870">
          <cell r="A870" t="str">
            <v>1CM1TP4NA7958DA-1</v>
          </cell>
          <cell r="B870">
            <v>180</v>
          </cell>
        </row>
        <row r="871">
          <cell r="A871" t="str">
            <v>1CM1TP4NA7958DB-1</v>
          </cell>
          <cell r="B871">
            <v>179</v>
          </cell>
        </row>
        <row r="872">
          <cell r="A872" t="str">
            <v>1CM1TP4NA7960DA-1</v>
          </cell>
          <cell r="B872">
            <v>270</v>
          </cell>
        </row>
        <row r="873">
          <cell r="A873" t="str">
            <v>1CM1TP4NA7960DB-1</v>
          </cell>
          <cell r="B873">
            <v>303</v>
          </cell>
        </row>
        <row r="874">
          <cell r="A874" t="str">
            <v>1CM1TP4NA7960DC-1</v>
          </cell>
          <cell r="B874">
            <v>265</v>
          </cell>
        </row>
        <row r="875">
          <cell r="A875" t="str">
            <v>1CM1TP4NA7960DE-1</v>
          </cell>
          <cell r="B875">
            <v>265</v>
          </cell>
        </row>
        <row r="876">
          <cell r="A876" t="str">
            <v>1CM1TP4NA7960DF-1</v>
          </cell>
          <cell r="B876">
            <v>265</v>
          </cell>
        </row>
        <row r="877">
          <cell r="A877" t="str">
            <v>1CM1TP4NA7961DA-1</v>
          </cell>
          <cell r="B877">
            <v>248</v>
          </cell>
        </row>
        <row r="878">
          <cell r="A878" t="str">
            <v>1CM1VBE504</v>
          </cell>
          <cell r="B878">
            <v>96</v>
          </cell>
        </row>
        <row r="879">
          <cell r="A879" t="str">
            <v>1HT1603L6P10AP1-T1</v>
          </cell>
          <cell r="B879">
            <v>7</v>
          </cell>
        </row>
        <row r="880">
          <cell r="A880" t="str">
            <v>1HT1A603L3G80RP</v>
          </cell>
          <cell r="B880">
            <v>18</v>
          </cell>
        </row>
        <row r="881">
          <cell r="A881" t="str">
            <v>1HT1A603L3G80RP-P1</v>
          </cell>
          <cell r="B881">
            <v>18</v>
          </cell>
        </row>
        <row r="882">
          <cell r="A882" t="str">
            <v>1HT1A603L3G81RP</v>
          </cell>
          <cell r="B882">
            <v>18</v>
          </cell>
        </row>
        <row r="883">
          <cell r="A883" t="str">
            <v>1HT1A603L3G8AAP</v>
          </cell>
          <cell r="B883">
            <v>18</v>
          </cell>
        </row>
        <row r="884">
          <cell r="A884" t="str">
            <v>1HT1A603L3G8AAP-P1</v>
          </cell>
          <cell r="B884">
            <v>18</v>
          </cell>
        </row>
        <row r="885">
          <cell r="A885" t="str">
            <v>1HT1A603L3G8AAP-P2</v>
          </cell>
          <cell r="B885">
            <v>18</v>
          </cell>
        </row>
        <row r="886">
          <cell r="A886" t="str">
            <v>1HT1A603L3G8ABP</v>
          </cell>
          <cell r="B886">
            <v>19</v>
          </cell>
        </row>
        <row r="887">
          <cell r="A887" t="str">
            <v>1HT1A603L3G8ABP-P1</v>
          </cell>
          <cell r="B887">
            <v>19</v>
          </cell>
        </row>
        <row r="888">
          <cell r="A888" t="str">
            <v>1HT1A603L3G8ABP-P2</v>
          </cell>
          <cell r="B888">
            <v>19</v>
          </cell>
        </row>
        <row r="889">
          <cell r="A889" t="str">
            <v>1HT1A603L3G8AYP</v>
          </cell>
          <cell r="B889">
            <v>19</v>
          </cell>
        </row>
        <row r="890">
          <cell r="A890" t="str">
            <v>1HT1A603L3G8AYP-P1</v>
          </cell>
          <cell r="B890">
            <v>19</v>
          </cell>
        </row>
        <row r="891">
          <cell r="A891" t="str">
            <v>1HT1A603L3G8AYP-P2</v>
          </cell>
          <cell r="B891">
            <v>19</v>
          </cell>
        </row>
        <row r="892">
          <cell r="A892" t="str">
            <v>1HT1A603L3G90P3</v>
          </cell>
          <cell r="B892">
            <v>19</v>
          </cell>
        </row>
        <row r="893">
          <cell r="A893" t="str">
            <v>1HT1A603L3G90P3-P1</v>
          </cell>
          <cell r="B893">
            <v>19</v>
          </cell>
        </row>
        <row r="894">
          <cell r="A894" t="str">
            <v>1HT1A603L-3G9A</v>
          </cell>
          <cell r="B894">
            <v>19</v>
          </cell>
        </row>
        <row r="895">
          <cell r="A895" t="str">
            <v>1HT1A603L3G9AP1</v>
          </cell>
          <cell r="B895">
            <v>19</v>
          </cell>
        </row>
        <row r="896">
          <cell r="A896" t="str">
            <v>1HT1A603L-3G9A-P1</v>
          </cell>
          <cell r="B896">
            <v>19</v>
          </cell>
        </row>
        <row r="897">
          <cell r="A897" t="str">
            <v>1HT1A603L3G9AP1-P1</v>
          </cell>
          <cell r="B897">
            <v>19</v>
          </cell>
        </row>
        <row r="898">
          <cell r="A898" t="str">
            <v>1HT1A603L3G9AP1-P2</v>
          </cell>
          <cell r="B898">
            <v>19</v>
          </cell>
        </row>
        <row r="899">
          <cell r="A899" t="str">
            <v>1HT1A603L-3G9A-P2</v>
          </cell>
          <cell r="B899">
            <v>19</v>
          </cell>
        </row>
        <row r="900">
          <cell r="A900" t="str">
            <v>1HT1A603Y3E6AAP-P2</v>
          </cell>
          <cell r="B900">
            <v>1</v>
          </cell>
        </row>
        <row r="901">
          <cell r="A901" t="str">
            <v>1HT1A603Y3E6ACP</v>
          </cell>
          <cell r="B901">
            <v>4</v>
          </cell>
        </row>
        <row r="902">
          <cell r="A902" t="str">
            <v>1HT1A603Y3E6ACP-P1</v>
          </cell>
          <cell r="B902">
            <v>4</v>
          </cell>
        </row>
        <row r="903">
          <cell r="A903" t="str">
            <v>1HT1A603Y3E6ACP-P2</v>
          </cell>
          <cell r="B903">
            <v>4</v>
          </cell>
        </row>
        <row r="904">
          <cell r="A904" t="str">
            <v>1HT1A603Y3F0ACP</v>
          </cell>
          <cell r="B904">
            <v>4</v>
          </cell>
        </row>
        <row r="905">
          <cell r="A905" t="str">
            <v>1HT1A603Y3F0ACP-P1</v>
          </cell>
          <cell r="B905">
            <v>4</v>
          </cell>
        </row>
        <row r="906">
          <cell r="A906" t="str">
            <v>1HT1A603Y3F0ACP-P2</v>
          </cell>
          <cell r="B906">
            <v>4</v>
          </cell>
        </row>
        <row r="907">
          <cell r="A907" t="str">
            <v>1HT1A603Y3F9ABP</v>
          </cell>
          <cell r="B907">
            <v>6</v>
          </cell>
        </row>
        <row r="908">
          <cell r="A908" t="str">
            <v>1HT1A603Y3F9ABP-P1</v>
          </cell>
          <cell r="B908">
            <v>6</v>
          </cell>
        </row>
        <row r="909">
          <cell r="A909" t="str">
            <v>1HT1A603Y3F9ABP-P2</v>
          </cell>
          <cell r="B909">
            <v>6</v>
          </cell>
        </row>
        <row r="910">
          <cell r="A910" t="str">
            <v>1HT1A603Y3F9AMP</v>
          </cell>
          <cell r="B910">
            <v>6</v>
          </cell>
        </row>
        <row r="911">
          <cell r="A911" t="str">
            <v>1HT1A603Y3F9AMP-P1</v>
          </cell>
          <cell r="B911">
            <v>6</v>
          </cell>
        </row>
        <row r="912">
          <cell r="A912" t="str">
            <v>1HT1A603Y3F9AMP-P2</v>
          </cell>
          <cell r="B912">
            <v>6</v>
          </cell>
        </row>
        <row r="913">
          <cell r="A913" t="str">
            <v>1HT1A603Y3G1AEU</v>
          </cell>
          <cell r="B913">
            <v>6</v>
          </cell>
        </row>
        <row r="914">
          <cell r="A914" t="str">
            <v>1HT1A603Y3G1AEU-P1</v>
          </cell>
          <cell r="B914">
            <v>6</v>
          </cell>
        </row>
        <row r="915">
          <cell r="A915" t="str">
            <v>1HT1A603Y3G1AEU-P2</v>
          </cell>
          <cell r="B915">
            <v>6</v>
          </cell>
        </row>
        <row r="916">
          <cell r="A916" t="str">
            <v>1HT1A603Y-3J0A</v>
          </cell>
          <cell r="B916">
            <v>22</v>
          </cell>
        </row>
        <row r="917">
          <cell r="A917" t="str">
            <v>1HT1A603Y-3J0A-P1</v>
          </cell>
          <cell r="B917">
            <v>22</v>
          </cell>
        </row>
        <row r="918">
          <cell r="A918" t="str">
            <v>1HT1A603Y-3J0A-P2</v>
          </cell>
          <cell r="B918">
            <v>22</v>
          </cell>
        </row>
        <row r="919">
          <cell r="A919" t="str">
            <v>1HT1A603Y-3J3A</v>
          </cell>
          <cell r="B919">
            <v>20</v>
          </cell>
        </row>
        <row r="920">
          <cell r="A920" t="str">
            <v>1HT1A603Y-3J3A-P1</v>
          </cell>
          <cell r="B920">
            <v>20</v>
          </cell>
        </row>
        <row r="921">
          <cell r="A921" t="str">
            <v>1HT1A603Y-3J3A-P2</v>
          </cell>
          <cell r="B921">
            <v>20</v>
          </cell>
        </row>
        <row r="922">
          <cell r="A922" t="str">
            <v>1HT1A603Y-3J8A</v>
          </cell>
          <cell r="B922">
            <v>20</v>
          </cell>
        </row>
        <row r="923">
          <cell r="A923" t="str">
            <v>1HT1A603Y-3J8A-P1</v>
          </cell>
          <cell r="B923">
            <v>20</v>
          </cell>
        </row>
        <row r="924">
          <cell r="A924" t="str">
            <v>1HT1A603Y-3J8A-P2</v>
          </cell>
          <cell r="B924">
            <v>20</v>
          </cell>
        </row>
        <row r="925">
          <cell r="A925" t="str">
            <v>1HT1A603Y3J9ABP</v>
          </cell>
          <cell r="B925">
            <v>16</v>
          </cell>
        </row>
        <row r="926">
          <cell r="A926" t="str">
            <v>1HT1A603Y3J9ABP-P1</v>
          </cell>
          <cell r="B926">
            <v>16</v>
          </cell>
        </row>
        <row r="927">
          <cell r="A927" t="str">
            <v>1HT1A603Y3J9ABP-P2</v>
          </cell>
          <cell r="B927">
            <v>16</v>
          </cell>
        </row>
        <row r="928">
          <cell r="A928" t="str">
            <v>1HT1A608B3G1AEU</v>
          </cell>
          <cell r="B928">
            <v>12</v>
          </cell>
        </row>
        <row r="929">
          <cell r="A929" t="str">
            <v>1HT1A608B3G1AEU-P1</v>
          </cell>
          <cell r="B929">
            <v>12</v>
          </cell>
        </row>
        <row r="930">
          <cell r="A930" t="str">
            <v>1HT1A608B3G1AEU-P2</v>
          </cell>
          <cell r="B930">
            <v>12</v>
          </cell>
        </row>
        <row r="931">
          <cell r="A931" t="str">
            <v>1HT1A608B3H7AAP</v>
          </cell>
          <cell r="B931">
            <v>14</v>
          </cell>
        </row>
        <row r="932">
          <cell r="A932" t="str">
            <v>1HT1A608B3H7AAP-P1</v>
          </cell>
          <cell r="B932">
            <v>14</v>
          </cell>
        </row>
        <row r="933">
          <cell r="A933" t="str">
            <v>1HT1A608B3H7AAP-P2</v>
          </cell>
          <cell r="B933">
            <v>14</v>
          </cell>
        </row>
        <row r="934">
          <cell r="A934" t="str">
            <v>1HT1A608B3H9AAP</v>
          </cell>
          <cell r="B934">
            <v>10</v>
          </cell>
        </row>
        <row r="935">
          <cell r="A935" t="str">
            <v>1HT1A608B3H9AAP-P1</v>
          </cell>
          <cell r="B935">
            <v>10</v>
          </cell>
        </row>
        <row r="936">
          <cell r="A936" t="str">
            <v>1HT1A608B3H9AAP-P2</v>
          </cell>
          <cell r="B936">
            <v>10</v>
          </cell>
        </row>
        <row r="937">
          <cell r="A937" t="str">
            <v>1HT1F603L370AEU</v>
          </cell>
          <cell r="B937">
            <v>12</v>
          </cell>
        </row>
        <row r="938">
          <cell r="A938" t="str">
            <v>1HT1F603L370AHP</v>
          </cell>
          <cell r="B938">
            <v>12</v>
          </cell>
        </row>
        <row r="939">
          <cell r="A939" t="str">
            <v>1HT1F603L9J90BZS</v>
          </cell>
          <cell r="B939">
            <v>12</v>
          </cell>
        </row>
        <row r="940">
          <cell r="A940" t="str">
            <v>1HT1F603L9J9ABZ</v>
          </cell>
          <cell r="B940">
            <v>12</v>
          </cell>
        </row>
        <row r="941">
          <cell r="A941" t="str">
            <v>1HT1F603LBS7AAP</v>
          </cell>
          <cell r="B941">
            <v>4</v>
          </cell>
        </row>
        <row r="942">
          <cell r="A942" t="str">
            <v>1HT1F603LCE5AP1</v>
          </cell>
          <cell r="B942">
            <v>12</v>
          </cell>
        </row>
        <row r="943">
          <cell r="A943" t="str">
            <v>1HT1F603LCE6AP1</v>
          </cell>
          <cell r="B943">
            <v>12</v>
          </cell>
        </row>
        <row r="944">
          <cell r="A944" t="str">
            <v>1HT1F603LCE7AEP</v>
          </cell>
          <cell r="B944">
            <v>4</v>
          </cell>
        </row>
        <row r="945">
          <cell r="A945" t="str">
            <v>1HT1F607XBS7ACP</v>
          </cell>
          <cell r="B945">
            <v>6</v>
          </cell>
        </row>
        <row r="946">
          <cell r="A946" t="str">
            <v>1HT1F607XCE7AEP</v>
          </cell>
          <cell r="B946">
            <v>6</v>
          </cell>
        </row>
        <row r="947">
          <cell r="A947" t="str">
            <v>1HT1F692Y-370A</v>
          </cell>
          <cell r="B947">
            <v>11</v>
          </cell>
        </row>
        <row r="948">
          <cell r="A948" t="str">
            <v>1HT1F692Y370ABP</v>
          </cell>
          <cell r="B948">
            <v>11</v>
          </cell>
        </row>
        <row r="949">
          <cell r="A949" t="str">
            <v>1HT1F692Y371ABP</v>
          </cell>
          <cell r="B949">
            <v>11</v>
          </cell>
        </row>
        <row r="950">
          <cell r="A950" t="str">
            <v>1HT1F692Y-376A</v>
          </cell>
          <cell r="B950">
            <v>11</v>
          </cell>
        </row>
        <row r="951">
          <cell r="A951" t="str">
            <v>1HT1F692Y760ACP</v>
          </cell>
          <cell r="B951">
            <v>2</v>
          </cell>
        </row>
        <row r="952">
          <cell r="A952" t="str">
            <v>1HT1H603L3K20BP</v>
          </cell>
          <cell r="B952">
            <v>18</v>
          </cell>
        </row>
        <row r="953">
          <cell r="A953" t="str">
            <v>1HT1H603L3K20BP-P1</v>
          </cell>
          <cell r="B953">
            <v>19</v>
          </cell>
        </row>
        <row r="954">
          <cell r="A954" t="str">
            <v>1HT1H603L6P10AP1</v>
          </cell>
          <cell r="B954">
            <v>6</v>
          </cell>
        </row>
        <row r="955">
          <cell r="A955" t="str">
            <v>1HT1H603Y-3J00</v>
          </cell>
          <cell r="B955">
            <v>28</v>
          </cell>
        </row>
        <row r="956">
          <cell r="A956" t="str">
            <v>1HT1H603Y-3K20</v>
          </cell>
          <cell r="B956">
            <v>10</v>
          </cell>
        </row>
        <row r="957">
          <cell r="A957" t="str">
            <v>1HT1H603Y3K20BP</v>
          </cell>
          <cell r="B957">
            <v>10</v>
          </cell>
        </row>
        <row r="958">
          <cell r="A958" t="str">
            <v>1HT1H603Y3K20BP-P1</v>
          </cell>
          <cell r="B958">
            <v>11</v>
          </cell>
        </row>
        <row r="959">
          <cell r="A959" t="str">
            <v>1HT1H603Y3K20BPP1T</v>
          </cell>
          <cell r="B959">
            <v>10</v>
          </cell>
        </row>
        <row r="960">
          <cell r="A960" t="str">
            <v>1HT1H603Y-3K20FES1</v>
          </cell>
          <cell r="B960">
            <v>20</v>
          </cell>
        </row>
        <row r="961">
          <cell r="A961" t="str">
            <v>1HT1H603Y-3K20FES2</v>
          </cell>
          <cell r="B961">
            <v>20</v>
          </cell>
        </row>
        <row r="962">
          <cell r="A962" t="str">
            <v>1HT1H603Y-3K20-P1</v>
          </cell>
          <cell r="B962">
            <v>10</v>
          </cell>
        </row>
        <row r="963">
          <cell r="A963" t="str">
            <v>1HT1H603Y-3K20P2</v>
          </cell>
          <cell r="B963">
            <v>10</v>
          </cell>
        </row>
        <row r="964">
          <cell r="A964" t="str">
            <v>1HT1H603Y-3K20-P2</v>
          </cell>
          <cell r="B964">
            <v>10</v>
          </cell>
        </row>
        <row r="965">
          <cell r="A965" t="str">
            <v>1HT1H603Y-3K20PP1</v>
          </cell>
          <cell r="B965">
            <v>10</v>
          </cell>
        </row>
        <row r="966">
          <cell r="A966" t="str">
            <v>1HT1H603Y-3K20PP2</v>
          </cell>
          <cell r="B966">
            <v>10</v>
          </cell>
        </row>
        <row r="967">
          <cell r="A967" t="str">
            <v>1HT1H653L-3K20FES1</v>
          </cell>
          <cell r="B967">
            <v>14</v>
          </cell>
        </row>
        <row r="968">
          <cell r="A968" t="str">
            <v>1HT1H683L-3K20</v>
          </cell>
          <cell r="B968">
            <v>18</v>
          </cell>
        </row>
        <row r="969">
          <cell r="A969" t="str">
            <v>1HT1H683L3K20BP-FE</v>
          </cell>
          <cell r="B969">
            <v>18</v>
          </cell>
        </row>
        <row r="970">
          <cell r="A970" t="str">
            <v>1HT1H683L3K20BPP1T</v>
          </cell>
          <cell r="B970">
            <v>18</v>
          </cell>
        </row>
        <row r="971">
          <cell r="A971" t="str">
            <v>1HT1H683L-3K20FES2</v>
          </cell>
          <cell r="B971">
            <v>14</v>
          </cell>
        </row>
        <row r="972">
          <cell r="A972" t="str">
            <v>1HT1H683L-3K20-P2</v>
          </cell>
          <cell r="B972">
            <v>18</v>
          </cell>
        </row>
        <row r="973">
          <cell r="A973" t="str">
            <v>1HT1H683L-3K20PP1</v>
          </cell>
          <cell r="B973">
            <v>18</v>
          </cell>
        </row>
        <row r="974">
          <cell r="A974" t="str">
            <v>1HT1H683L-3K20-PP1</v>
          </cell>
          <cell r="B974">
            <v>18</v>
          </cell>
        </row>
        <row r="975">
          <cell r="A975" t="str">
            <v>1HT1H683L-3K20PP2</v>
          </cell>
          <cell r="B975">
            <v>18</v>
          </cell>
        </row>
        <row r="976">
          <cell r="A976" t="str">
            <v>1HT1H683L-3K20-PP2</v>
          </cell>
          <cell r="B976">
            <v>18</v>
          </cell>
        </row>
        <row r="977">
          <cell r="A977" t="str">
            <v>1HT1TP6NA7723DC</v>
          </cell>
          <cell r="B977">
            <v>49</v>
          </cell>
        </row>
        <row r="978">
          <cell r="A978" t="str">
            <v>1HT1TP6NA7723DE</v>
          </cell>
          <cell r="B978">
            <v>49</v>
          </cell>
        </row>
        <row r="979">
          <cell r="A979" t="str">
            <v>1HT1TP6NA7724AC</v>
          </cell>
          <cell r="B979">
            <v>48</v>
          </cell>
        </row>
        <row r="980">
          <cell r="A980" t="str">
            <v>1HT1TP6NA7724AE</v>
          </cell>
          <cell r="B980">
            <v>46</v>
          </cell>
        </row>
        <row r="981">
          <cell r="A981" t="str">
            <v>1HT1TP6NA7724AF-1</v>
          </cell>
          <cell r="B981">
            <v>48</v>
          </cell>
        </row>
        <row r="982">
          <cell r="A982" t="str">
            <v>1HT1TP6NA7724AG-1</v>
          </cell>
          <cell r="B982">
            <v>46</v>
          </cell>
        </row>
        <row r="983">
          <cell r="A983" t="str">
            <v>1HT1TP6NA7725DC</v>
          </cell>
          <cell r="B983">
            <v>92</v>
          </cell>
        </row>
        <row r="984">
          <cell r="A984" t="str">
            <v>1HT1TP6NA7725DD</v>
          </cell>
          <cell r="B984">
            <v>88</v>
          </cell>
        </row>
        <row r="985">
          <cell r="A985" t="str">
            <v>1HT1TP6NA7726DB</v>
          </cell>
          <cell r="B985">
            <v>39</v>
          </cell>
        </row>
        <row r="986">
          <cell r="A986" t="str">
            <v>1HT1TP6NA7885DA</v>
          </cell>
          <cell r="B986">
            <v>98</v>
          </cell>
        </row>
        <row r="987">
          <cell r="A987" t="str">
            <v>1HT1TP6NA7885DB</v>
          </cell>
          <cell r="B987">
            <v>98</v>
          </cell>
        </row>
        <row r="988">
          <cell r="A988" t="str">
            <v>1HT1TP6NA7885DC</v>
          </cell>
          <cell r="B988">
            <v>92</v>
          </cell>
        </row>
        <row r="989">
          <cell r="A989" t="str">
            <v>1HT1TP6NA7885DD</v>
          </cell>
          <cell r="B989">
            <v>92</v>
          </cell>
        </row>
        <row r="990">
          <cell r="A990" t="str">
            <v>1HT1TP6NA7958DA-1</v>
          </cell>
          <cell r="B990">
            <v>45</v>
          </cell>
        </row>
        <row r="991">
          <cell r="A991" t="str">
            <v>1HT1TP6NA7958DB-1</v>
          </cell>
          <cell r="B991">
            <v>45</v>
          </cell>
        </row>
        <row r="992">
          <cell r="A992" t="str">
            <v>1HT1TP6NA7960DA-1</v>
          </cell>
          <cell r="B992">
            <v>94</v>
          </cell>
        </row>
        <row r="993">
          <cell r="A993" t="str">
            <v>1HT1TP6NA7960DB-1</v>
          </cell>
          <cell r="B993">
            <v>94</v>
          </cell>
        </row>
        <row r="994">
          <cell r="A994" t="str">
            <v>1HT1TP6NA7960DC-1</v>
          </cell>
          <cell r="B994">
            <v>92</v>
          </cell>
        </row>
        <row r="995">
          <cell r="A995" t="str">
            <v>1HT1TP6NA7960DE-1</v>
          </cell>
          <cell r="B995">
            <v>86</v>
          </cell>
        </row>
        <row r="996">
          <cell r="A996" t="str">
            <v>1HT1TP6NA7960DF-1</v>
          </cell>
          <cell r="B996">
            <v>84</v>
          </cell>
        </row>
        <row r="997">
          <cell r="A997" t="str">
            <v>1HT1TP6NA7961DA-1</v>
          </cell>
          <cell r="B997">
            <v>39</v>
          </cell>
        </row>
        <row r="998">
          <cell r="A998" t="str">
            <v>1PR1SE200DNP</v>
          </cell>
          <cell r="B998">
            <v>1</v>
          </cell>
        </row>
        <row r="999">
          <cell r="A999" t="str">
            <v>1QT1A607B3J8AP2-P1</v>
          </cell>
          <cell r="B999">
            <v>4</v>
          </cell>
        </row>
        <row r="1000">
          <cell r="A1000" t="str">
            <v>1QT1A608B-3J8A-P1</v>
          </cell>
          <cell r="B1000">
            <v>2</v>
          </cell>
        </row>
        <row r="1001">
          <cell r="A1001" t="str">
            <v>1RE101A01391</v>
          </cell>
          <cell r="B1001">
            <v>133</v>
          </cell>
        </row>
        <row r="1002">
          <cell r="A1002" t="str">
            <v>1RE1334PCB00-AREB</v>
          </cell>
          <cell r="B1002">
            <v>485</v>
          </cell>
        </row>
        <row r="1003">
          <cell r="A1003" t="str">
            <v>1RE1607B3J80P1</v>
          </cell>
          <cell r="B1003">
            <v>181</v>
          </cell>
        </row>
        <row r="1004">
          <cell r="A1004" t="str">
            <v>1RE1A605Q-3E4A</v>
          </cell>
          <cell r="B1004">
            <v>41</v>
          </cell>
        </row>
        <row r="1005">
          <cell r="A1005" t="str">
            <v>1RE1A605Q-3E4A-P1</v>
          </cell>
          <cell r="B1005">
            <v>41</v>
          </cell>
        </row>
        <row r="1006">
          <cell r="A1006" t="str">
            <v>1RE1A605Q-3E4A-P2</v>
          </cell>
          <cell r="B1006">
            <v>41</v>
          </cell>
        </row>
        <row r="1007">
          <cell r="A1007" t="str">
            <v>1RE1A605Q-3G8A</v>
          </cell>
          <cell r="B1007">
            <v>79</v>
          </cell>
        </row>
        <row r="1008">
          <cell r="A1008" t="str">
            <v>1RE1A605Q3G8AAP</v>
          </cell>
          <cell r="B1008">
            <v>79</v>
          </cell>
        </row>
        <row r="1009">
          <cell r="A1009" t="str">
            <v>1RE1A605Q3G8AAP-P1</v>
          </cell>
          <cell r="B1009">
            <v>79</v>
          </cell>
        </row>
        <row r="1010">
          <cell r="A1010" t="str">
            <v>1RE1A605Q3G8AAP-P2</v>
          </cell>
          <cell r="B1010">
            <v>79</v>
          </cell>
        </row>
        <row r="1011">
          <cell r="A1011" t="str">
            <v>1RE1A605Q3G8ABP</v>
          </cell>
          <cell r="B1011">
            <v>79</v>
          </cell>
        </row>
        <row r="1012">
          <cell r="A1012" t="str">
            <v>1RE1A605Q3G8ABP-P1</v>
          </cell>
          <cell r="B1012">
            <v>79</v>
          </cell>
        </row>
        <row r="1013">
          <cell r="A1013" t="str">
            <v>1RE1A605Q3G8ABP-P2</v>
          </cell>
          <cell r="B1013">
            <v>79</v>
          </cell>
        </row>
        <row r="1014">
          <cell r="A1014" t="str">
            <v>1RE1A605Q-3G8A-P1</v>
          </cell>
          <cell r="B1014">
            <v>79</v>
          </cell>
        </row>
        <row r="1015">
          <cell r="A1015" t="str">
            <v>1RE1A605Q-3G8A-P2</v>
          </cell>
          <cell r="B1015">
            <v>79</v>
          </cell>
        </row>
        <row r="1016">
          <cell r="A1016" t="str">
            <v>1RE1A605Q-3G9A</v>
          </cell>
          <cell r="B1016">
            <v>79</v>
          </cell>
        </row>
        <row r="1017">
          <cell r="A1017" t="str">
            <v>1RE1A605Q-3G9A-P1</v>
          </cell>
          <cell r="B1017">
            <v>79</v>
          </cell>
        </row>
        <row r="1018">
          <cell r="A1018" t="str">
            <v>1RE1A605Q-3G9A-P2</v>
          </cell>
          <cell r="B1018">
            <v>79</v>
          </cell>
        </row>
        <row r="1019">
          <cell r="A1019" t="str">
            <v>1RE1A605S-3J0A</v>
          </cell>
          <cell r="B1019">
            <v>9</v>
          </cell>
        </row>
        <row r="1020">
          <cell r="A1020" t="str">
            <v>1RE1A605S-3J0A-P1</v>
          </cell>
          <cell r="B1020">
            <v>9</v>
          </cell>
        </row>
        <row r="1021">
          <cell r="A1021" t="str">
            <v>1RE1A605S-3J0A-P2</v>
          </cell>
          <cell r="B1021">
            <v>9</v>
          </cell>
        </row>
        <row r="1022">
          <cell r="A1022" t="str">
            <v>1RE1A605S-3J8A</v>
          </cell>
          <cell r="B1022">
            <v>3</v>
          </cell>
        </row>
        <row r="1023">
          <cell r="A1023" t="str">
            <v>1RE1A605S-3J8A-P1</v>
          </cell>
          <cell r="B1023">
            <v>3</v>
          </cell>
        </row>
        <row r="1024">
          <cell r="A1024" t="str">
            <v>1RE1A605S-3J8A-P2</v>
          </cell>
          <cell r="B1024">
            <v>3</v>
          </cell>
        </row>
        <row r="1025">
          <cell r="A1025" t="str">
            <v>1RE1A607B3J80P1</v>
          </cell>
          <cell r="B1025">
            <v>300</v>
          </cell>
        </row>
        <row r="1026">
          <cell r="A1026" t="str">
            <v>1RE1A607B3J8AP2</v>
          </cell>
          <cell r="B1026">
            <v>180</v>
          </cell>
        </row>
        <row r="1027">
          <cell r="A1027" t="str">
            <v>1RE1A607B3J8AP2FES</v>
          </cell>
          <cell r="B1027">
            <v>180</v>
          </cell>
        </row>
        <row r="1028">
          <cell r="A1028" t="str">
            <v>1RE1A607B3J8AP2P1</v>
          </cell>
          <cell r="B1028">
            <v>180</v>
          </cell>
        </row>
        <row r="1029">
          <cell r="A1029" t="str">
            <v>1RE1A607B3J8AP2-P1</v>
          </cell>
          <cell r="B1029">
            <v>600</v>
          </cell>
        </row>
        <row r="1030">
          <cell r="A1030" t="str">
            <v>1RE1A607B3J8AP2-P2</v>
          </cell>
          <cell r="B1030">
            <v>180</v>
          </cell>
        </row>
        <row r="1031">
          <cell r="A1031" t="str">
            <v>1RE1A608B-3J8A</v>
          </cell>
          <cell r="B1031">
            <v>3</v>
          </cell>
        </row>
        <row r="1032">
          <cell r="A1032" t="str">
            <v>1RE1A608B-3J8AP1</v>
          </cell>
          <cell r="B1032">
            <v>3</v>
          </cell>
        </row>
        <row r="1033">
          <cell r="A1033" t="str">
            <v>1RE1A608B-3J8A-P1</v>
          </cell>
          <cell r="B1033">
            <v>1</v>
          </cell>
        </row>
        <row r="1034">
          <cell r="A1034" t="str">
            <v>1RE1A608B-3J8A-P2</v>
          </cell>
          <cell r="B1034">
            <v>3</v>
          </cell>
        </row>
        <row r="1035">
          <cell r="A1035" t="str">
            <v>1RE1A608C-3J3A</v>
          </cell>
          <cell r="B1035">
            <v>83</v>
          </cell>
        </row>
        <row r="1036">
          <cell r="A1036" t="str">
            <v>1RE1A608C-3J3A-P1</v>
          </cell>
          <cell r="B1036">
            <v>83</v>
          </cell>
        </row>
        <row r="1037">
          <cell r="A1037" t="str">
            <v>1RE1A608C-3J3A-P2</v>
          </cell>
          <cell r="B1037">
            <v>83</v>
          </cell>
        </row>
        <row r="1038">
          <cell r="A1038" t="str">
            <v>1RE1A608C-3J3B</v>
          </cell>
          <cell r="B1038">
            <v>83</v>
          </cell>
        </row>
        <row r="1039">
          <cell r="A1039" t="str">
            <v>1RE1A608E-3G6A</v>
          </cell>
          <cell r="B1039">
            <v>37</v>
          </cell>
        </row>
        <row r="1040">
          <cell r="A1040" t="str">
            <v>1RE1A608E-3G6A-P1</v>
          </cell>
          <cell r="B1040">
            <v>37</v>
          </cell>
        </row>
        <row r="1041">
          <cell r="A1041" t="str">
            <v>1RE1A608E-3G6A-P2</v>
          </cell>
          <cell r="B1041">
            <v>37</v>
          </cell>
        </row>
        <row r="1042">
          <cell r="A1042" t="str">
            <v>1RE1A608E3G8ABP</v>
          </cell>
          <cell r="B1042">
            <v>72</v>
          </cell>
        </row>
        <row r="1043">
          <cell r="A1043" t="str">
            <v>1RE1A608E3G8ABP-P1</v>
          </cell>
          <cell r="B1043">
            <v>72</v>
          </cell>
        </row>
        <row r="1044">
          <cell r="A1044" t="str">
            <v>1RE1A608E3G8ABP-P2</v>
          </cell>
          <cell r="B1044">
            <v>72</v>
          </cell>
        </row>
        <row r="1045">
          <cell r="A1045" t="str">
            <v>1RE1A608T-3G6A</v>
          </cell>
          <cell r="B1045">
            <v>43</v>
          </cell>
        </row>
        <row r="1046">
          <cell r="A1046" t="str">
            <v>1RE1A608T-3G6A-P1</v>
          </cell>
          <cell r="B1046">
            <v>43</v>
          </cell>
        </row>
        <row r="1047">
          <cell r="A1047" t="str">
            <v>1RE1A608T-3G6A-P2</v>
          </cell>
          <cell r="B1047">
            <v>43</v>
          </cell>
        </row>
        <row r="1048">
          <cell r="A1048" t="str">
            <v>1RE1AM800</v>
          </cell>
          <cell r="B1048">
            <v>928</v>
          </cell>
        </row>
        <row r="1049">
          <cell r="A1049" t="str">
            <v>1RE1ARBP01A00961</v>
          </cell>
          <cell r="B1049">
            <v>135</v>
          </cell>
        </row>
        <row r="1050">
          <cell r="A1050" t="str">
            <v>1RE1ARBP01A01010</v>
          </cell>
          <cell r="B1050">
            <v>127</v>
          </cell>
        </row>
        <row r="1051">
          <cell r="A1051" t="str">
            <v>1RE1ARBP01A01022</v>
          </cell>
          <cell r="B1051">
            <v>137</v>
          </cell>
        </row>
        <row r="1052">
          <cell r="A1052" t="str">
            <v>1RE1ARBP01A01074</v>
          </cell>
          <cell r="B1052">
            <v>76</v>
          </cell>
        </row>
        <row r="1053">
          <cell r="A1053" t="str">
            <v>1RE1ARBP01A01084</v>
          </cell>
          <cell r="B1053">
            <v>73</v>
          </cell>
        </row>
        <row r="1054">
          <cell r="A1054" t="str">
            <v>1RE1ARBP01A01230</v>
          </cell>
          <cell r="B1054">
            <v>76</v>
          </cell>
        </row>
        <row r="1055">
          <cell r="A1055" t="str">
            <v>1RE1ARBP01A01390</v>
          </cell>
          <cell r="B1055">
            <v>133</v>
          </cell>
        </row>
        <row r="1056">
          <cell r="A1056" t="str">
            <v>1RE1ARBP01A01392</v>
          </cell>
          <cell r="B1056">
            <v>128</v>
          </cell>
        </row>
        <row r="1057">
          <cell r="A1057" t="str">
            <v>1RE1ARBP0DA01470</v>
          </cell>
          <cell r="B1057">
            <v>17</v>
          </cell>
        </row>
        <row r="1058">
          <cell r="A1058" t="str">
            <v>1RE1ARBP0DA01940</v>
          </cell>
          <cell r="B1058">
            <v>17</v>
          </cell>
        </row>
        <row r="1059">
          <cell r="A1059" t="str">
            <v>1RE1ARBP0DA01950</v>
          </cell>
          <cell r="B1059">
            <v>17</v>
          </cell>
        </row>
        <row r="1060">
          <cell r="A1060" t="str">
            <v>1RE1ARBP0DA02071</v>
          </cell>
          <cell r="B1060">
            <v>16</v>
          </cell>
        </row>
        <row r="1061">
          <cell r="A1061" t="str">
            <v>1RE1ARBP0DA02174</v>
          </cell>
          <cell r="B1061">
            <v>110</v>
          </cell>
        </row>
        <row r="1062">
          <cell r="A1062" t="str">
            <v>1RE1ARBP0DA02177</v>
          </cell>
          <cell r="B1062">
            <v>110</v>
          </cell>
        </row>
        <row r="1063">
          <cell r="A1063" t="str">
            <v>1RE1ARBP0DA02186</v>
          </cell>
          <cell r="B1063">
            <v>112</v>
          </cell>
        </row>
        <row r="1064">
          <cell r="A1064" t="str">
            <v>1RE1ARBP0DA02188</v>
          </cell>
          <cell r="B1064">
            <v>112</v>
          </cell>
        </row>
        <row r="1065">
          <cell r="A1065" t="str">
            <v>1RE1ARBP0DA02189</v>
          </cell>
          <cell r="B1065">
            <v>113</v>
          </cell>
        </row>
        <row r="1066">
          <cell r="A1066" t="str">
            <v>1RE1ARBP0DA02260</v>
          </cell>
          <cell r="B1066">
            <v>16</v>
          </cell>
        </row>
        <row r="1067">
          <cell r="A1067" t="str">
            <v>1RE1ARBP0DA02270</v>
          </cell>
          <cell r="B1067">
            <v>17</v>
          </cell>
        </row>
        <row r="1068">
          <cell r="A1068" t="str">
            <v>1RE1ARBP0DA02281</v>
          </cell>
          <cell r="B1068">
            <v>110</v>
          </cell>
        </row>
        <row r="1069">
          <cell r="A1069" t="str">
            <v>1RE1ARBP0DA02283</v>
          </cell>
          <cell r="B1069">
            <v>110</v>
          </cell>
        </row>
        <row r="1070">
          <cell r="A1070" t="str">
            <v>1RE1ARBP0DA02292</v>
          </cell>
          <cell r="B1070">
            <v>106</v>
          </cell>
        </row>
        <row r="1071">
          <cell r="A1071" t="str">
            <v>1RE1ARBP0DA02294</v>
          </cell>
          <cell r="B1071">
            <v>106</v>
          </cell>
        </row>
        <row r="1072">
          <cell r="A1072" t="str">
            <v>1RE1ARBP0DA02303</v>
          </cell>
          <cell r="B1072">
            <v>103</v>
          </cell>
        </row>
        <row r="1073">
          <cell r="A1073" t="str">
            <v>1RE1ARBP0DA02304</v>
          </cell>
          <cell r="B1073">
            <v>103</v>
          </cell>
        </row>
        <row r="1074">
          <cell r="A1074" t="str">
            <v>1RE1ARBP0DA02720</v>
          </cell>
          <cell r="B1074">
            <v>113</v>
          </cell>
        </row>
        <row r="1075">
          <cell r="A1075" t="str">
            <v>1RE1ARBP0DA02850</v>
          </cell>
          <cell r="B1075">
            <v>110</v>
          </cell>
        </row>
        <row r="1076">
          <cell r="A1076" t="str">
            <v>1RE1ARBPB2A00081</v>
          </cell>
          <cell r="B1076">
            <v>3</v>
          </cell>
        </row>
        <row r="1077">
          <cell r="A1077" t="str">
            <v>1RE1ARBPC1A03913</v>
          </cell>
          <cell r="B1077">
            <v>151</v>
          </cell>
        </row>
        <row r="1078">
          <cell r="A1078" t="str">
            <v>1RE1ARBPC1A07170</v>
          </cell>
          <cell r="B1078">
            <v>156</v>
          </cell>
        </row>
        <row r="1079">
          <cell r="A1079" t="str">
            <v>1RE1ARBPC1A07511</v>
          </cell>
          <cell r="B1079">
            <v>229</v>
          </cell>
        </row>
        <row r="1080">
          <cell r="A1080" t="str">
            <v>1RE1ARBPC1A07521</v>
          </cell>
          <cell r="B1080">
            <v>258</v>
          </cell>
        </row>
        <row r="1081">
          <cell r="A1081" t="str">
            <v>1RE1ARBPC1A07541</v>
          </cell>
          <cell r="B1081">
            <v>238</v>
          </cell>
        </row>
        <row r="1082">
          <cell r="A1082" t="str">
            <v>1RE1ARBPC1A08234</v>
          </cell>
          <cell r="B1082">
            <v>277</v>
          </cell>
        </row>
        <row r="1083">
          <cell r="A1083" t="str">
            <v>1RE1ARBPC1A08410</v>
          </cell>
          <cell r="B1083">
            <v>277</v>
          </cell>
        </row>
        <row r="1084">
          <cell r="A1084" t="str">
            <v>1RE1ARBPC1A08563</v>
          </cell>
          <cell r="B1084">
            <v>281</v>
          </cell>
        </row>
        <row r="1085">
          <cell r="A1085" t="str">
            <v>1RE1ARBPC1A08802</v>
          </cell>
          <cell r="B1085">
            <v>275</v>
          </cell>
        </row>
        <row r="1086">
          <cell r="A1086" t="str">
            <v>1RE1ARBPC1A08942</v>
          </cell>
          <cell r="B1086">
            <v>149</v>
          </cell>
        </row>
        <row r="1087">
          <cell r="A1087" t="str">
            <v>1RE1ARBPC1A09003</v>
          </cell>
          <cell r="B1087">
            <v>183</v>
          </cell>
        </row>
        <row r="1088">
          <cell r="A1088" t="str">
            <v>1RE1ARBPC1A09142</v>
          </cell>
          <cell r="B1088">
            <v>173</v>
          </cell>
        </row>
        <row r="1089">
          <cell r="A1089" t="str">
            <v>1RE1ARBPC1A09151</v>
          </cell>
          <cell r="B1089">
            <v>171</v>
          </cell>
        </row>
        <row r="1090">
          <cell r="A1090" t="str">
            <v>1RE1ARBPC1A09173</v>
          </cell>
          <cell r="B1090">
            <v>170</v>
          </cell>
        </row>
        <row r="1091">
          <cell r="A1091" t="str">
            <v>1RE1ARBPC1A09263</v>
          </cell>
          <cell r="B1091">
            <v>271</v>
          </cell>
        </row>
        <row r="1092">
          <cell r="A1092" t="str">
            <v>1RE1ARBPC1A09503</v>
          </cell>
          <cell r="B1092">
            <v>177</v>
          </cell>
        </row>
        <row r="1093">
          <cell r="A1093" t="str">
            <v>1RE1ARBPC1A09504</v>
          </cell>
          <cell r="B1093">
            <v>164</v>
          </cell>
        </row>
        <row r="1094">
          <cell r="A1094" t="str">
            <v>1RE1ARBPC1A09714</v>
          </cell>
          <cell r="B1094">
            <v>237</v>
          </cell>
        </row>
        <row r="1095">
          <cell r="A1095" t="str">
            <v>1RE1ARBPC1A09831</v>
          </cell>
          <cell r="B1095">
            <v>149</v>
          </cell>
        </row>
        <row r="1096">
          <cell r="A1096" t="str">
            <v>1RE1ARBPC1A09851</v>
          </cell>
          <cell r="B1096">
            <v>149</v>
          </cell>
        </row>
        <row r="1097">
          <cell r="A1097" t="str">
            <v>1RE1ARBPC1A09893</v>
          </cell>
          <cell r="B1097">
            <v>182</v>
          </cell>
        </row>
        <row r="1098">
          <cell r="A1098" t="str">
            <v>1RE1ARBPC1A09951</v>
          </cell>
          <cell r="B1098">
            <v>149</v>
          </cell>
        </row>
        <row r="1099">
          <cell r="A1099" t="str">
            <v>1RE1ARBPC1A09974</v>
          </cell>
          <cell r="B1099">
            <v>221</v>
          </cell>
        </row>
        <row r="1100">
          <cell r="A1100" t="str">
            <v>1RE1ARBPC1A09982</v>
          </cell>
          <cell r="B1100">
            <v>228</v>
          </cell>
        </row>
        <row r="1101">
          <cell r="A1101" t="str">
            <v>1RE1ARBPC1A09984</v>
          </cell>
          <cell r="B1101">
            <v>215</v>
          </cell>
        </row>
        <row r="1102">
          <cell r="A1102" t="str">
            <v>1RE1ARBPC1A09992</v>
          </cell>
          <cell r="B1102">
            <v>228</v>
          </cell>
        </row>
        <row r="1103">
          <cell r="A1103" t="str">
            <v>1RE1ARBPC1A09994</v>
          </cell>
          <cell r="B1103">
            <v>215</v>
          </cell>
        </row>
        <row r="1104">
          <cell r="A1104" t="str">
            <v>1RE1ARBPC1A10002</v>
          </cell>
          <cell r="B1104">
            <v>221</v>
          </cell>
        </row>
        <row r="1105">
          <cell r="A1105" t="str">
            <v>1RE1ARBPC1A10004</v>
          </cell>
          <cell r="B1105">
            <v>209</v>
          </cell>
        </row>
        <row r="1106">
          <cell r="A1106" t="str">
            <v>1RE1ARBPC1A10012</v>
          </cell>
          <cell r="B1106">
            <v>146</v>
          </cell>
        </row>
        <row r="1107">
          <cell r="A1107" t="str">
            <v>1RE1ARBPC1A10013</v>
          </cell>
          <cell r="B1107">
            <v>144</v>
          </cell>
        </row>
        <row r="1108">
          <cell r="A1108" t="str">
            <v>1RE1ARBPC1A10021</v>
          </cell>
          <cell r="B1108">
            <v>277</v>
          </cell>
        </row>
        <row r="1109">
          <cell r="A1109" t="str">
            <v>1RE1ARBPC1A10654</v>
          </cell>
          <cell r="B1109">
            <v>291</v>
          </cell>
        </row>
        <row r="1110">
          <cell r="A1110" t="str">
            <v>1RE1ARBPC1A10663</v>
          </cell>
          <cell r="B1110">
            <v>285</v>
          </cell>
        </row>
        <row r="1111">
          <cell r="A1111" t="str">
            <v>1RE1ARBPC1A10670</v>
          </cell>
          <cell r="B1111">
            <v>172</v>
          </cell>
        </row>
        <row r="1112">
          <cell r="A1112" t="str">
            <v>1RE1ARBPC1A10772</v>
          </cell>
          <cell r="B1112">
            <v>401</v>
          </cell>
        </row>
        <row r="1113">
          <cell r="A1113" t="str">
            <v>1RE1ARBPC1A10773</v>
          </cell>
          <cell r="B1113">
            <v>401</v>
          </cell>
        </row>
        <row r="1114">
          <cell r="A1114" t="str">
            <v>1RE1ARBPC1A10774</v>
          </cell>
          <cell r="B1114">
            <v>401</v>
          </cell>
        </row>
        <row r="1115">
          <cell r="A1115" t="str">
            <v>1RE1ARBPC1A10781</v>
          </cell>
          <cell r="B1115">
            <v>117</v>
          </cell>
        </row>
        <row r="1116">
          <cell r="A1116" t="str">
            <v>1RE1ARBPC1A10783</v>
          </cell>
          <cell r="B1116">
            <v>418</v>
          </cell>
        </row>
        <row r="1117">
          <cell r="A1117" t="str">
            <v>1RE1ARBPC1A10791</v>
          </cell>
          <cell r="B1117">
            <v>401</v>
          </cell>
        </row>
        <row r="1118">
          <cell r="A1118" t="str">
            <v>1RE1ARBPC1A10830</v>
          </cell>
          <cell r="B1118">
            <v>172</v>
          </cell>
        </row>
        <row r="1119">
          <cell r="A1119" t="str">
            <v>1RE1ARBPC1A10910</v>
          </cell>
          <cell r="B1119">
            <v>171</v>
          </cell>
        </row>
        <row r="1120">
          <cell r="A1120" t="str">
            <v>1RE1ARBPC1A11051</v>
          </cell>
          <cell r="B1120">
            <v>222</v>
          </cell>
        </row>
        <row r="1121">
          <cell r="A1121" t="str">
            <v>1RE1ARBPC1A11060</v>
          </cell>
          <cell r="B1121">
            <v>225</v>
          </cell>
        </row>
        <row r="1122">
          <cell r="A1122" t="str">
            <v>1RE1ARBPC1A11061</v>
          </cell>
          <cell r="B1122">
            <v>225</v>
          </cell>
        </row>
        <row r="1123">
          <cell r="A1123" t="str">
            <v>1RE1ARBPC1A11190</v>
          </cell>
          <cell r="B1123">
            <v>171</v>
          </cell>
        </row>
        <row r="1124">
          <cell r="A1124" t="str">
            <v>1RE1ARBPC1A11230</v>
          </cell>
          <cell r="B1124">
            <v>171</v>
          </cell>
        </row>
        <row r="1125">
          <cell r="A1125" t="str">
            <v>1RE1ARBPC1A11250</v>
          </cell>
          <cell r="B1125">
            <v>171</v>
          </cell>
        </row>
        <row r="1126">
          <cell r="A1126" t="str">
            <v>1RE1ARBPC1A11251</v>
          </cell>
          <cell r="B1126">
            <v>170</v>
          </cell>
        </row>
        <row r="1127">
          <cell r="A1127" t="str">
            <v>1RE1ARBPC1A11390</v>
          </cell>
          <cell r="B1127">
            <v>171</v>
          </cell>
        </row>
        <row r="1128">
          <cell r="A1128" t="str">
            <v>1RE1ARBPC1A11400</v>
          </cell>
          <cell r="B1128">
            <v>171</v>
          </cell>
        </row>
        <row r="1129">
          <cell r="A1129" t="str">
            <v>1RE1ARBPC1A11410</v>
          </cell>
          <cell r="B1129">
            <v>171</v>
          </cell>
        </row>
        <row r="1130">
          <cell r="A1130" t="str">
            <v>1RE1ARBPC1A11450</v>
          </cell>
          <cell r="B1130">
            <v>219</v>
          </cell>
        </row>
        <row r="1131">
          <cell r="A1131" t="str">
            <v>1RE1ARBPC1A11451</v>
          </cell>
          <cell r="B1131">
            <v>219</v>
          </cell>
        </row>
        <row r="1132">
          <cell r="A1132" t="str">
            <v>1RE1ARBPC1A11460</v>
          </cell>
          <cell r="B1132">
            <v>178</v>
          </cell>
        </row>
        <row r="1133">
          <cell r="A1133" t="str">
            <v>1RE1ARBPC1A11461</v>
          </cell>
          <cell r="B1133">
            <v>178</v>
          </cell>
        </row>
        <row r="1134">
          <cell r="A1134" t="str">
            <v>1RE1ARBPC1A11462</v>
          </cell>
          <cell r="B1134">
            <v>166</v>
          </cell>
        </row>
        <row r="1135">
          <cell r="A1135" t="str">
            <v>1RE1ARBPC1A11620</v>
          </cell>
          <cell r="B1135">
            <v>86</v>
          </cell>
        </row>
        <row r="1136">
          <cell r="A1136" t="str">
            <v>1RE1ARBPC1A11620T</v>
          </cell>
          <cell r="B1136">
            <v>286</v>
          </cell>
        </row>
        <row r="1137">
          <cell r="A1137" t="str">
            <v>1RE1ARBPC1A11622</v>
          </cell>
          <cell r="B1137">
            <v>285</v>
          </cell>
        </row>
        <row r="1138">
          <cell r="A1138" t="str">
            <v>1RE1ARBPC1A11790</v>
          </cell>
          <cell r="B1138">
            <v>145</v>
          </cell>
        </row>
        <row r="1139">
          <cell r="A1139" t="str">
            <v>1RE1ARBPC1A11791</v>
          </cell>
          <cell r="B1139">
            <v>144</v>
          </cell>
        </row>
        <row r="1140">
          <cell r="A1140" t="str">
            <v>1RE1ARBPC1A11800T1</v>
          </cell>
          <cell r="B1140">
            <v>402</v>
          </cell>
        </row>
        <row r="1141">
          <cell r="A1141" t="str">
            <v>1RE1ARBPC1A11802</v>
          </cell>
          <cell r="B1141">
            <v>401</v>
          </cell>
        </row>
        <row r="1142">
          <cell r="A1142" t="str">
            <v>1RE1ARBPC1A11810</v>
          </cell>
          <cell r="B1142">
            <v>199</v>
          </cell>
        </row>
        <row r="1143">
          <cell r="A1143" t="str">
            <v>1RE1ARBPC1A12350</v>
          </cell>
          <cell r="B1143">
            <v>171</v>
          </cell>
        </row>
        <row r="1144">
          <cell r="A1144" t="str">
            <v>1RE1ARBPC1A12360</v>
          </cell>
          <cell r="B1144">
            <v>275</v>
          </cell>
        </row>
        <row r="1145">
          <cell r="A1145" t="str">
            <v>1RE1ARBPC1A12370</v>
          </cell>
          <cell r="B1145">
            <v>256</v>
          </cell>
        </row>
        <row r="1146">
          <cell r="A1146" t="str">
            <v>1RE1ARBPC1A12620</v>
          </cell>
          <cell r="B1146">
            <v>169</v>
          </cell>
        </row>
        <row r="1147">
          <cell r="A1147" t="str">
            <v>1RE1ARBPC1A12630</v>
          </cell>
          <cell r="B1147">
            <v>277</v>
          </cell>
        </row>
        <row r="1148">
          <cell r="A1148" t="str">
            <v>1RE1ARBPC1A12630T4</v>
          </cell>
          <cell r="B1148">
            <v>290</v>
          </cell>
        </row>
        <row r="1149">
          <cell r="A1149" t="str">
            <v>1RE1ARBPC1A12680</v>
          </cell>
          <cell r="B1149">
            <v>402</v>
          </cell>
        </row>
        <row r="1150">
          <cell r="A1150" t="str">
            <v>1RE1ARBPC1A12750</v>
          </cell>
          <cell r="B1150">
            <v>276</v>
          </cell>
        </row>
        <row r="1151">
          <cell r="A1151" t="str">
            <v>1RE1ARBPC1A12751</v>
          </cell>
          <cell r="B1151">
            <v>269</v>
          </cell>
        </row>
        <row r="1152">
          <cell r="A1152" t="str">
            <v>1RE1ARBPC1A12752</v>
          </cell>
          <cell r="B1152">
            <v>269</v>
          </cell>
        </row>
        <row r="1153">
          <cell r="A1153" t="str">
            <v>1RE1ARBPC1A12753</v>
          </cell>
          <cell r="B1153">
            <v>269</v>
          </cell>
        </row>
        <row r="1154">
          <cell r="A1154" t="str">
            <v>1RE1ARBPC1A12910</v>
          </cell>
          <cell r="B1154">
            <v>277</v>
          </cell>
        </row>
        <row r="1155">
          <cell r="A1155" t="str">
            <v>1RE1ARBPLLA00442</v>
          </cell>
          <cell r="B1155">
            <v>9</v>
          </cell>
        </row>
        <row r="1156">
          <cell r="A1156" t="str">
            <v>1RE1ARBPLLA00660</v>
          </cell>
          <cell r="B1156">
            <v>9</v>
          </cell>
        </row>
        <row r="1157">
          <cell r="A1157" t="str">
            <v>1RE1ARBPLLA00701</v>
          </cell>
          <cell r="B1157">
            <v>16</v>
          </cell>
        </row>
        <row r="1158">
          <cell r="A1158" t="str">
            <v>1RE1ARBPLLA00712</v>
          </cell>
          <cell r="B1158">
            <v>11</v>
          </cell>
        </row>
        <row r="1159">
          <cell r="A1159" t="str">
            <v>1RE1ARBPLLA00721</v>
          </cell>
          <cell r="B1159">
            <v>9</v>
          </cell>
        </row>
        <row r="1160">
          <cell r="A1160" t="str">
            <v>1RE1ARBPLLA00770</v>
          </cell>
          <cell r="B1160">
            <v>9</v>
          </cell>
        </row>
        <row r="1161">
          <cell r="A1161" t="str">
            <v>1RE1ARBPLLA00771</v>
          </cell>
          <cell r="B1161">
            <v>9</v>
          </cell>
        </row>
        <row r="1162">
          <cell r="A1162" t="str">
            <v>1RE1ARBPLLA01040</v>
          </cell>
          <cell r="B1162">
            <v>9</v>
          </cell>
        </row>
        <row r="1163">
          <cell r="A1163" t="str">
            <v>1RE1ARBPLPA00070</v>
          </cell>
          <cell r="B1163">
            <v>9</v>
          </cell>
        </row>
        <row r="1164">
          <cell r="A1164" t="str">
            <v>1RE1ARBPLPA00120</v>
          </cell>
          <cell r="B1164">
            <v>9</v>
          </cell>
        </row>
        <row r="1165">
          <cell r="A1165" t="str">
            <v>1RE1ARBPLPA00121</v>
          </cell>
          <cell r="B1165">
            <v>9</v>
          </cell>
        </row>
        <row r="1166">
          <cell r="A1166" t="str">
            <v>1RE1ARR000A18180</v>
          </cell>
          <cell r="B1166">
            <v>22</v>
          </cell>
        </row>
        <row r="1167">
          <cell r="A1167" t="str">
            <v>1RE1ARR000A18190</v>
          </cell>
          <cell r="B1167">
            <v>22</v>
          </cell>
        </row>
        <row r="1168">
          <cell r="A1168" t="str">
            <v>1RE1ARR000A18200</v>
          </cell>
          <cell r="B1168">
            <v>25</v>
          </cell>
        </row>
        <row r="1169">
          <cell r="A1169" t="str">
            <v>1RE1AU202</v>
          </cell>
          <cell r="B1169">
            <v>382</v>
          </cell>
        </row>
        <row r="1170">
          <cell r="A1170" t="str">
            <v>1RE1AU202P</v>
          </cell>
          <cell r="B1170">
            <v>393</v>
          </cell>
        </row>
        <row r="1171">
          <cell r="A1171" t="str">
            <v>1RE1C380AV4</v>
          </cell>
          <cell r="B1171">
            <v>270</v>
          </cell>
        </row>
        <row r="1172">
          <cell r="A1172" t="str">
            <v>1RE1C901KEV4</v>
          </cell>
          <cell r="B1172">
            <v>318</v>
          </cell>
        </row>
        <row r="1173">
          <cell r="A1173" t="str">
            <v>1RE1CC411APYSZB-V4</v>
          </cell>
          <cell r="B1173">
            <v>681</v>
          </cell>
        </row>
        <row r="1174">
          <cell r="A1174" t="str">
            <v>1RE1CC411AYSZB-V4</v>
          </cell>
          <cell r="B1174">
            <v>686</v>
          </cell>
        </row>
        <row r="1175">
          <cell r="A1175" t="str">
            <v>1RE1CC411B</v>
          </cell>
          <cell r="B1175">
            <v>598</v>
          </cell>
        </row>
        <row r="1176">
          <cell r="A1176" t="str">
            <v>1RE1CC411BP</v>
          </cell>
          <cell r="B1176">
            <v>598</v>
          </cell>
        </row>
        <row r="1177">
          <cell r="A1177" t="str">
            <v>1RE1CC412APYSZB-V4</v>
          </cell>
          <cell r="B1177">
            <v>939</v>
          </cell>
        </row>
        <row r="1178">
          <cell r="A1178" t="str">
            <v>1RE1CC412AYSZB-V4</v>
          </cell>
          <cell r="B1178">
            <v>939</v>
          </cell>
        </row>
        <row r="1179">
          <cell r="A1179" t="str">
            <v>1RE1CC412BP</v>
          </cell>
          <cell r="B1179">
            <v>859</v>
          </cell>
        </row>
        <row r="1180">
          <cell r="A1180" t="str">
            <v>1RE1CH457</v>
          </cell>
          <cell r="B1180">
            <v>91</v>
          </cell>
        </row>
        <row r="1181">
          <cell r="A1181" t="str">
            <v>1RE1CH457P</v>
          </cell>
          <cell r="B1181">
            <v>91</v>
          </cell>
        </row>
        <row r="1182">
          <cell r="A1182" t="str">
            <v>1RE1CM210-V4</v>
          </cell>
          <cell r="B1182">
            <v>8</v>
          </cell>
        </row>
        <row r="1183">
          <cell r="A1183" t="str">
            <v>1RE1CM470</v>
          </cell>
          <cell r="B1183">
            <v>53</v>
          </cell>
        </row>
        <row r="1184">
          <cell r="A1184" t="str">
            <v>1RE1CM470P</v>
          </cell>
          <cell r="B1184">
            <v>53</v>
          </cell>
        </row>
        <row r="1185">
          <cell r="A1185" t="str">
            <v>1RE1CR200-V4</v>
          </cell>
          <cell r="B1185">
            <v>98</v>
          </cell>
        </row>
        <row r="1186">
          <cell r="A1186" t="str">
            <v>1RE1CR480</v>
          </cell>
          <cell r="B1186">
            <v>27</v>
          </cell>
        </row>
        <row r="1187">
          <cell r="A1187" t="str">
            <v>1RE1CR480P</v>
          </cell>
          <cell r="B1187">
            <v>27</v>
          </cell>
        </row>
        <row r="1188">
          <cell r="A1188" t="str">
            <v>1RE1CT200-V4</v>
          </cell>
          <cell r="B1188">
            <v>76</v>
          </cell>
        </row>
        <row r="1189">
          <cell r="A1189" t="str">
            <v>1RE1CX200-V4</v>
          </cell>
          <cell r="B1189">
            <v>334</v>
          </cell>
        </row>
        <row r="1190">
          <cell r="A1190" t="str">
            <v>1RE1CZ200-V4</v>
          </cell>
          <cell r="B1190">
            <v>189</v>
          </cell>
        </row>
        <row r="1191">
          <cell r="A1191" t="str">
            <v>1RE1D765V4</v>
          </cell>
          <cell r="B1191">
            <v>305</v>
          </cell>
        </row>
        <row r="1192">
          <cell r="A1192" t="str">
            <v>1RE1D820V4</v>
          </cell>
          <cell r="B1192">
            <v>304</v>
          </cell>
        </row>
        <row r="1193">
          <cell r="A1193" t="str">
            <v>1RE1D834V4</v>
          </cell>
          <cell r="B1193">
            <v>621</v>
          </cell>
        </row>
        <row r="1194">
          <cell r="A1194" t="str">
            <v>1RE1D880BV4</v>
          </cell>
          <cell r="B1194">
            <v>330</v>
          </cell>
        </row>
        <row r="1195">
          <cell r="A1195" t="str">
            <v>1RE1D921CV4</v>
          </cell>
          <cell r="B1195">
            <v>271</v>
          </cell>
        </row>
        <row r="1196">
          <cell r="A1196" t="str">
            <v>1RE1D923AV4</v>
          </cell>
          <cell r="B1196">
            <v>237</v>
          </cell>
        </row>
        <row r="1197">
          <cell r="A1197" t="str">
            <v>1RE1D924V4</v>
          </cell>
          <cell r="B1197">
            <v>509</v>
          </cell>
        </row>
        <row r="1198">
          <cell r="A1198" t="str">
            <v>1RE1D926V4</v>
          </cell>
          <cell r="B1198">
            <v>400</v>
          </cell>
        </row>
        <row r="1199">
          <cell r="A1199" t="str">
            <v>1RE1D931AV4</v>
          </cell>
          <cell r="B1199">
            <v>282</v>
          </cell>
        </row>
        <row r="1200">
          <cell r="A1200" t="str">
            <v>1RE1D935V4</v>
          </cell>
          <cell r="B1200">
            <v>334</v>
          </cell>
        </row>
        <row r="1201">
          <cell r="A1201" t="str">
            <v>1RE1D971V4</v>
          </cell>
          <cell r="B1201">
            <v>327</v>
          </cell>
        </row>
        <row r="1202">
          <cell r="A1202" t="str">
            <v>1RE1DPLB1227</v>
          </cell>
          <cell r="B1202">
            <v>199</v>
          </cell>
        </row>
        <row r="1203">
          <cell r="A1203" t="str">
            <v>1RE1F2201V4</v>
          </cell>
          <cell r="B1203">
            <v>39</v>
          </cell>
        </row>
        <row r="1204">
          <cell r="A1204" t="str">
            <v>1RE1F2231</v>
          </cell>
          <cell r="B1204">
            <v>50</v>
          </cell>
        </row>
        <row r="1205">
          <cell r="A1205" t="str">
            <v>1RE1F231V4</v>
          </cell>
          <cell r="B1205">
            <v>56</v>
          </cell>
        </row>
        <row r="1206">
          <cell r="A1206" t="str">
            <v>1RE1F232V4</v>
          </cell>
          <cell r="B1206">
            <v>68</v>
          </cell>
        </row>
        <row r="1207">
          <cell r="A1207" t="str">
            <v>1RE1F233</v>
          </cell>
          <cell r="B1207">
            <v>188</v>
          </cell>
        </row>
        <row r="1208">
          <cell r="A1208" t="str">
            <v>1RE1F233K</v>
          </cell>
          <cell r="B1208">
            <v>189</v>
          </cell>
        </row>
        <row r="1209">
          <cell r="A1209" t="str">
            <v>1RE1F261V4</v>
          </cell>
          <cell r="B1209">
            <v>1</v>
          </cell>
        </row>
        <row r="1210">
          <cell r="A1210" t="str">
            <v>1RE1F262V4</v>
          </cell>
          <cell r="B1210">
            <v>172</v>
          </cell>
        </row>
        <row r="1211">
          <cell r="A1211" t="str">
            <v>1RE1F263V4</v>
          </cell>
          <cell r="B1211">
            <v>56</v>
          </cell>
        </row>
        <row r="1212">
          <cell r="A1212" t="str">
            <v>1RE1F264</v>
          </cell>
          <cell r="B1212">
            <v>74</v>
          </cell>
        </row>
        <row r="1213">
          <cell r="A1213" t="str">
            <v>1RE1F611KPAS</v>
          </cell>
          <cell r="B1213">
            <v>48</v>
          </cell>
        </row>
        <row r="1214">
          <cell r="A1214" t="str">
            <v>1RE1F611KPAWV4</v>
          </cell>
          <cell r="B1214">
            <v>48</v>
          </cell>
        </row>
        <row r="1215">
          <cell r="A1215" t="str">
            <v>1RE1H603L3J80P1</v>
          </cell>
          <cell r="B1215">
            <v>116</v>
          </cell>
        </row>
        <row r="1216">
          <cell r="A1216" t="str">
            <v>1RE1H603L3J81P1</v>
          </cell>
          <cell r="B1216">
            <v>120</v>
          </cell>
        </row>
        <row r="1217">
          <cell r="A1217" t="str">
            <v>1RE1H603L3J81P1-PP</v>
          </cell>
          <cell r="B1217">
            <v>120</v>
          </cell>
        </row>
        <row r="1218">
          <cell r="A1218" t="str">
            <v>1RE1H6575-3K20FES1</v>
          </cell>
          <cell r="B1218">
            <v>172</v>
          </cell>
        </row>
        <row r="1219">
          <cell r="A1219" t="str">
            <v>1RE1H685Q-3K20</v>
          </cell>
          <cell r="B1219">
            <v>142</v>
          </cell>
        </row>
        <row r="1220">
          <cell r="A1220" t="str">
            <v>1RE1H685Q3K20BP</v>
          </cell>
          <cell r="B1220">
            <v>142</v>
          </cell>
        </row>
        <row r="1221">
          <cell r="A1221" t="str">
            <v>1RE1H685Q3K20BP-P1</v>
          </cell>
          <cell r="B1221">
            <v>143</v>
          </cell>
        </row>
        <row r="1222">
          <cell r="A1222" t="str">
            <v>1RE1H685Q3K20BPP1T</v>
          </cell>
          <cell r="B1222">
            <v>142</v>
          </cell>
        </row>
        <row r="1223">
          <cell r="A1223" t="str">
            <v>1RE1H685Q-3K20FES1</v>
          </cell>
          <cell r="B1223">
            <v>136</v>
          </cell>
        </row>
        <row r="1224">
          <cell r="A1224" t="str">
            <v>1RE1H685Q-3K20FES2</v>
          </cell>
          <cell r="B1224">
            <v>135</v>
          </cell>
        </row>
        <row r="1225">
          <cell r="A1225" t="str">
            <v>1RE1H685Q-3K20-P1</v>
          </cell>
          <cell r="B1225">
            <v>142</v>
          </cell>
        </row>
        <row r="1226">
          <cell r="A1226" t="str">
            <v>1RE1H685Q-3K20P2</v>
          </cell>
          <cell r="B1226">
            <v>142</v>
          </cell>
        </row>
        <row r="1227">
          <cell r="A1227" t="str">
            <v>1RE1H685Q-3K20-P2</v>
          </cell>
          <cell r="B1227">
            <v>139</v>
          </cell>
        </row>
        <row r="1228">
          <cell r="A1228" t="str">
            <v>1RE1H685Q-3K20PP1</v>
          </cell>
          <cell r="B1228">
            <v>136</v>
          </cell>
        </row>
        <row r="1229">
          <cell r="A1229" t="str">
            <v>1RE1H685Q-3K20PP2</v>
          </cell>
          <cell r="B1229">
            <v>136</v>
          </cell>
        </row>
        <row r="1230">
          <cell r="A1230" t="str">
            <v>1RE1H685Q-ST001-1</v>
          </cell>
          <cell r="B1230">
            <v>123</v>
          </cell>
        </row>
        <row r="1231">
          <cell r="A1231" t="str">
            <v>1RE1HT82460R1</v>
          </cell>
          <cell r="B1231">
            <v>11</v>
          </cell>
        </row>
        <row r="1232">
          <cell r="A1232" t="str">
            <v>1RE1HT82460S3</v>
          </cell>
          <cell r="B1232">
            <v>50</v>
          </cell>
        </row>
        <row r="1233">
          <cell r="A1233" t="str">
            <v>1RE1HT82460SXR1</v>
          </cell>
          <cell r="B1233">
            <v>11</v>
          </cell>
        </row>
        <row r="1234">
          <cell r="A1234" t="str">
            <v>1RE1HT82460SXS3</v>
          </cell>
          <cell r="B1234">
            <v>50</v>
          </cell>
        </row>
        <row r="1235">
          <cell r="A1235" t="str">
            <v>1RE1HT82460X</v>
          </cell>
          <cell r="B1235">
            <v>50</v>
          </cell>
        </row>
        <row r="1236">
          <cell r="A1236" t="str">
            <v>1RE1HT82460XR1</v>
          </cell>
          <cell r="B1236">
            <v>11</v>
          </cell>
        </row>
        <row r="1237">
          <cell r="A1237" t="str">
            <v>1RE1HT82460XS1</v>
          </cell>
          <cell r="B1237">
            <v>11</v>
          </cell>
        </row>
        <row r="1238">
          <cell r="A1238" t="str">
            <v>1RE1HT82460XS3</v>
          </cell>
          <cell r="B1238">
            <v>50</v>
          </cell>
        </row>
        <row r="1239">
          <cell r="A1239" t="str">
            <v>1RE1HT82470MLR1</v>
          </cell>
          <cell r="B1239">
            <v>168</v>
          </cell>
        </row>
        <row r="1240">
          <cell r="A1240" t="str">
            <v>1RE1HT82470MLS3</v>
          </cell>
          <cell r="B1240">
            <v>257</v>
          </cell>
        </row>
        <row r="1241">
          <cell r="A1241" t="str">
            <v>1RE1HT82470R1</v>
          </cell>
          <cell r="B1241">
            <v>168</v>
          </cell>
        </row>
        <row r="1242">
          <cell r="A1242" t="str">
            <v>1RE1HT82470S3</v>
          </cell>
          <cell r="B1242">
            <v>273</v>
          </cell>
        </row>
        <row r="1243">
          <cell r="A1243" t="str">
            <v>1RE1HT82470SXR1</v>
          </cell>
          <cell r="B1243">
            <v>168</v>
          </cell>
        </row>
        <row r="1244">
          <cell r="A1244" t="str">
            <v>1RE1HT82470SXS3</v>
          </cell>
          <cell r="B1244">
            <v>273</v>
          </cell>
        </row>
        <row r="1245">
          <cell r="A1245" t="str">
            <v>1RE1HT82470X</v>
          </cell>
          <cell r="B1245">
            <v>273</v>
          </cell>
        </row>
        <row r="1246">
          <cell r="A1246" t="str">
            <v>1RE1HT82470XR1</v>
          </cell>
          <cell r="B1246">
            <v>168</v>
          </cell>
        </row>
        <row r="1247">
          <cell r="A1247" t="str">
            <v>1RE1HT82470XS1</v>
          </cell>
          <cell r="B1247">
            <v>168</v>
          </cell>
        </row>
        <row r="1248">
          <cell r="A1248" t="str">
            <v>1RE1HT82470XS3</v>
          </cell>
          <cell r="B1248">
            <v>273</v>
          </cell>
        </row>
        <row r="1249">
          <cell r="A1249" t="str">
            <v>1RE1HT82480AGR1</v>
          </cell>
          <cell r="B1249">
            <v>158</v>
          </cell>
        </row>
        <row r="1250">
          <cell r="A1250" t="str">
            <v>1RE1HT82480AGS3</v>
          </cell>
          <cell r="B1250">
            <v>173</v>
          </cell>
        </row>
        <row r="1251">
          <cell r="A1251" t="str">
            <v>1RE1HT82480AL</v>
          </cell>
          <cell r="B1251">
            <v>165</v>
          </cell>
        </row>
        <row r="1252">
          <cell r="A1252" t="str">
            <v>1RE1HT82480ALR1</v>
          </cell>
          <cell r="B1252">
            <v>158</v>
          </cell>
        </row>
        <row r="1253">
          <cell r="A1253" t="str">
            <v>1RE1HT82480ALS3</v>
          </cell>
          <cell r="B1253">
            <v>165</v>
          </cell>
        </row>
        <row r="1254">
          <cell r="A1254" t="str">
            <v>1RE1HT82480BRR1</v>
          </cell>
          <cell r="B1254">
            <v>158</v>
          </cell>
        </row>
        <row r="1255">
          <cell r="A1255" t="str">
            <v>1RE1HT82480BRS3</v>
          </cell>
          <cell r="B1255">
            <v>165</v>
          </cell>
        </row>
        <row r="1256">
          <cell r="A1256" t="str">
            <v>1RE1HT82480NZR1</v>
          </cell>
          <cell r="B1256">
            <v>158</v>
          </cell>
        </row>
        <row r="1257">
          <cell r="A1257" t="str">
            <v>1RE1HT82480NZS3</v>
          </cell>
          <cell r="B1257">
            <v>165</v>
          </cell>
        </row>
        <row r="1258">
          <cell r="A1258" t="str">
            <v>1RE1HT82480R1</v>
          </cell>
          <cell r="B1258">
            <v>158</v>
          </cell>
        </row>
        <row r="1259">
          <cell r="A1259" t="str">
            <v>1RE1HT82480S3</v>
          </cell>
          <cell r="B1259">
            <v>165</v>
          </cell>
        </row>
        <row r="1260">
          <cell r="A1260" t="str">
            <v>1RE1HT82480SAR1</v>
          </cell>
          <cell r="B1260">
            <v>158</v>
          </cell>
        </row>
        <row r="1261">
          <cell r="A1261" t="str">
            <v>1RE1HT82480SAS3</v>
          </cell>
          <cell r="B1261">
            <v>169</v>
          </cell>
        </row>
        <row r="1262">
          <cell r="A1262" t="str">
            <v>1RE1HT82480SXR1</v>
          </cell>
          <cell r="B1262">
            <v>158</v>
          </cell>
        </row>
        <row r="1263">
          <cell r="A1263" t="str">
            <v>1RE1HT82480SXS3</v>
          </cell>
          <cell r="B1263">
            <v>165</v>
          </cell>
        </row>
        <row r="1264">
          <cell r="A1264" t="str">
            <v>1RE1HT82480TWR1</v>
          </cell>
          <cell r="B1264">
            <v>158</v>
          </cell>
        </row>
        <row r="1265">
          <cell r="A1265" t="str">
            <v>1RE1HT82480TWS3</v>
          </cell>
          <cell r="B1265">
            <v>165</v>
          </cell>
        </row>
        <row r="1266">
          <cell r="A1266" t="str">
            <v>1RE1HT82480X</v>
          </cell>
          <cell r="B1266">
            <v>165</v>
          </cell>
        </row>
        <row r="1267">
          <cell r="A1267" t="str">
            <v>1RE1HT82480XR1</v>
          </cell>
          <cell r="B1267">
            <v>158</v>
          </cell>
        </row>
        <row r="1268">
          <cell r="A1268" t="str">
            <v>1RE1HT82480XS1</v>
          </cell>
          <cell r="B1268">
            <v>158</v>
          </cell>
        </row>
        <row r="1269">
          <cell r="A1269" t="str">
            <v>1RE1HT82480XS3</v>
          </cell>
          <cell r="B1269">
            <v>165</v>
          </cell>
        </row>
        <row r="1270">
          <cell r="A1270" t="str">
            <v>1RE1J603L3J8AP2</v>
          </cell>
          <cell r="B1270">
            <v>116</v>
          </cell>
        </row>
        <row r="1271">
          <cell r="A1271" t="str">
            <v>1RE1J603L3J8AP2FES</v>
          </cell>
          <cell r="B1271">
            <v>116</v>
          </cell>
        </row>
        <row r="1272">
          <cell r="A1272" t="str">
            <v>1RE1J603L3J8AP2-P1</v>
          </cell>
          <cell r="B1272">
            <v>116</v>
          </cell>
        </row>
        <row r="1273">
          <cell r="A1273" t="str">
            <v>1RE1J603L3J8AP2-P2</v>
          </cell>
          <cell r="B1273">
            <v>116</v>
          </cell>
        </row>
        <row r="1274">
          <cell r="A1274" t="str">
            <v>1RE1J605Q3J80P1</v>
          </cell>
          <cell r="B1274">
            <v>102</v>
          </cell>
        </row>
        <row r="1275">
          <cell r="A1275" t="str">
            <v>1RE1J605Q3J80P1PP</v>
          </cell>
          <cell r="B1275">
            <v>102</v>
          </cell>
        </row>
        <row r="1276">
          <cell r="A1276" t="str">
            <v>1RE1J605Q3J8AP2</v>
          </cell>
          <cell r="B1276">
            <v>60</v>
          </cell>
        </row>
        <row r="1277">
          <cell r="A1277" t="str">
            <v>1RE1J605Q3J8AP2FES</v>
          </cell>
          <cell r="B1277">
            <v>60</v>
          </cell>
        </row>
        <row r="1278">
          <cell r="A1278" t="str">
            <v>1RE1J605Q3J8AP2-P1</v>
          </cell>
          <cell r="B1278">
            <v>60</v>
          </cell>
        </row>
        <row r="1279">
          <cell r="A1279" t="str">
            <v>1RE1J605Q3J8AP2-P2</v>
          </cell>
          <cell r="B1279">
            <v>60</v>
          </cell>
        </row>
        <row r="1280">
          <cell r="A1280" t="str">
            <v>1RE1LC1090ZA</v>
          </cell>
          <cell r="B1280">
            <v>3</v>
          </cell>
        </row>
        <row r="1281">
          <cell r="A1281" t="str">
            <v>1RE1LC1090ZAR1</v>
          </cell>
          <cell r="B1281">
            <v>4</v>
          </cell>
        </row>
        <row r="1282">
          <cell r="A1282" t="str">
            <v>1RE1LC1090ZAS2</v>
          </cell>
          <cell r="B1282">
            <v>3</v>
          </cell>
        </row>
        <row r="1283">
          <cell r="A1283" t="str">
            <v>1RE1LC1090ZAS3</v>
          </cell>
          <cell r="B1283">
            <v>3</v>
          </cell>
        </row>
        <row r="1284">
          <cell r="A1284" t="str">
            <v>1RE1LP1282ZAL4-S1</v>
          </cell>
          <cell r="B1284">
            <v>804</v>
          </cell>
        </row>
        <row r="1285">
          <cell r="A1285" t="str">
            <v>1RE1LP1537ZA-S1</v>
          </cell>
          <cell r="B1285">
            <v>801</v>
          </cell>
        </row>
        <row r="1286">
          <cell r="A1286" t="str">
            <v>1RE1LP2017EXZA</v>
          </cell>
          <cell r="B1286">
            <v>200</v>
          </cell>
        </row>
        <row r="1287">
          <cell r="A1287" t="str">
            <v>1RE1LP2019EXZA</v>
          </cell>
          <cell r="B1287">
            <v>21</v>
          </cell>
        </row>
        <row r="1288">
          <cell r="A1288" t="str">
            <v>1RE1LP2288ZA</v>
          </cell>
          <cell r="B1288">
            <v>265</v>
          </cell>
        </row>
        <row r="1289">
          <cell r="A1289" t="str">
            <v>1RE1LP2528ZA</v>
          </cell>
          <cell r="B1289">
            <v>491</v>
          </cell>
        </row>
        <row r="1290">
          <cell r="A1290" t="str">
            <v>1RE1LP2530ZA</v>
          </cell>
          <cell r="B1290">
            <v>45</v>
          </cell>
        </row>
        <row r="1291">
          <cell r="A1291" t="str">
            <v>1RE1LP2532ZA</v>
          </cell>
          <cell r="B1291">
            <v>3</v>
          </cell>
        </row>
        <row r="1292">
          <cell r="A1292" t="str">
            <v>1RE1LP2533ZA</v>
          </cell>
          <cell r="B1292">
            <v>49</v>
          </cell>
        </row>
        <row r="1293">
          <cell r="A1293" t="str">
            <v>1RE1LP2534ZA</v>
          </cell>
          <cell r="B1293">
            <v>223</v>
          </cell>
        </row>
        <row r="1294">
          <cell r="A1294" t="str">
            <v>1RE1LP2535ZA</v>
          </cell>
          <cell r="B1294">
            <v>160</v>
          </cell>
        </row>
        <row r="1295">
          <cell r="A1295" t="str">
            <v>1RE1LP2536ZA</v>
          </cell>
          <cell r="B1295">
            <v>223</v>
          </cell>
        </row>
        <row r="1296">
          <cell r="A1296" t="str">
            <v>1RE1LP2537ZA</v>
          </cell>
          <cell r="B1296">
            <v>43</v>
          </cell>
        </row>
        <row r="1297">
          <cell r="A1297" t="str">
            <v>1RE1LP2538ZA</v>
          </cell>
          <cell r="B1297">
            <v>484</v>
          </cell>
        </row>
        <row r="1298">
          <cell r="A1298" t="str">
            <v>1RE1LP2539ZA</v>
          </cell>
          <cell r="B1298">
            <v>12</v>
          </cell>
        </row>
        <row r="1299">
          <cell r="A1299" t="str">
            <v>1RE1LP2549ZA</v>
          </cell>
          <cell r="B1299">
            <v>1</v>
          </cell>
        </row>
        <row r="1300">
          <cell r="A1300" t="str">
            <v>1RE1LP2550ZA</v>
          </cell>
          <cell r="B1300">
            <v>223</v>
          </cell>
        </row>
        <row r="1301">
          <cell r="A1301" t="str">
            <v>1RE1LP2551ZA</v>
          </cell>
          <cell r="B1301">
            <v>223</v>
          </cell>
        </row>
        <row r="1302">
          <cell r="A1302" t="str">
            <v>1RE1LP2552ZA</v>
          </cell>
          <cell r="B1302">
            <v>223</v>
          </cell>
        </row>
        <row r="1303">
          <cell r="A1303" t="str">
            <v>1RE1LP2553ZA</v>
          </cell>
          <cell r="B1303">
            <v>223</v>
          </cell>
        </row>
        <row r="1304">
          <cell r="A1304" t="str">
            <v>1RE1LP2554ZA</v>
          </cell>
          <cell r="B1304">
            <v>476</v>
          </cell>
        </row>
        <row r="1305">
          <cell r="A1305" t="str">
            <v>1RE1LP2556ZA</v>
          </cell>
          <cell r="B1305">
            <v>105</v>
          </cell>
        </row>
        <row r="1306">
          <cell r="A1306" t="str">
            <v>1RE1LP2557ZA</v>
          </cell>
          <cell r="B1306">
            <v>290</v>
          </cell>
        </row>
        <row r="1307">
          <cell r="A1307" t="str">
            <v>1RE1LP2558ZA</v>
          </cell>
          <cell r="B1307">
            <v>358</v>
          </cell>
        </row>
        <row r="1308">
          <cell r="A1308" t="str">
            <v>1RE1LP2559ZA</v>
          </cell>
          <cell r="B1308">
            <v>453</v>
          </cell>
        </row>
        <row r="1309">
          <cell r="A1309" t="str">
            <v>1RE1LP2560ZA</v>
          </cell>
          <cell r="B1309">
            <v>382</v>
          </cell>
        </row>
        <row r="1310">
          <cell r="A1310" t="str">
            <v>1RE1LP2561ZA</v>
          </cell>
          <cell r="B1310">
            <v>438</v>
          </cell>
        </row>
        <row r="1311">
          <cell r="A1311" t="str">
            <v>1RE1LP2562ZA</v>
          </cell>
          <cell r="B1311">
            <v>491</v>
          </cell>
        </row>
        <row r="1312">
          <cell r="A1312" t="str">
            <v>1RE1LP2563ZA</v>
          </cell>
          <cell r="B1312">
            <v>3</v>
          </cell>
        </row>
        <row r="1313">
          <cell r="A1313" t="str">
            <v>1RE1LP2564ZA</v>
          </cell>
          <cell r="B1313">
            <v>179</v>
          </cell>
        </row>
        <row r="1314">
          <cell r="A1314" t="str">
            <v>1RE1LP2567ZA</v>
          </cell>
          <cell r="B1314">
            <v>290</v>
          </cell>
        </row>
        <row r="1315">
          <cell r="A1315" t="str">
            <v>1RE1LP2568ZA</v>
          </cell>
          <cell r="B1315">
            <v>452</v>
          </cell>
        </row>
        <row r="1316">
          <cell r="A1316" t="str">
            <v>1RE1LP2569ZA</v>
          </cell>
          <cell r="B1316">
            <v>473</v>
          </cell>
        </row>
        <row r="1317">
          <cell r="A1317" t="str">
            <v>1RE1LP2573ZA</v>
          </cell>
          <cell r="B1317">
            <v>215</v>
          </cell>
        </row>
        <row r="1318">
          <cell r="A1318" t="str">
            <v>1RE1LP2573ZAR1</v>
          </cell>
          <cell r="B1318">
            <v>213</v>
          </cell>
        </row>
        <row r="1319">
          <cell r="A1319" t="str">
            <v>1RE1LP2573ZAS1</v>
          </cell>
          <cell r="B1319">
            <v>206</v>
          </cell>
        </row>
        <row r="1320">
          <cell r="A1320" t="str">
            <v>1RE1LP2573ZAS2</v>
          </cell>
          <cell r="B1320">
            <v>213</v>
          </cell>
        </row>
        <row r="1321">
          <cell r="A1321" t="str">
            <v>1RE1LP2574ZA</v>
          </cell>
          <cell r="B1321">
            <v>214</v>
          </cell>
        </row>
        <row r="1322">
          <cell r="A1322" t="str">
            <v>1RE1LP2574ZAR1</v>
          </cell>
          <cell r="B1322">
            <v>216</v>
          </cell>
        </row>
        <row r="1323">
          <cell r="A1323" t="str">
            <v>1RE1LP2574ZAS1</v>
          </cell>
          <cell r="B1323">
            <v>208</v>
          </cell>
        </row>
        <row r="1324">
          <cell r="A1324" t="str">
            <v>1RE1LP2574ZAS2</v>
          </cell>
          <cell r="B1324">
            <v>214</v>
          </cell>
        </row>
        <row r="1325">
          <cell r="A1325" t="str">
            <v>1RE1LP2575ZA</v>
          </cell>
          <cell r="B1325">
            <v>216</v>
          </cell>
        </row>
        <row r="1326">
          <cell r="A1326" t="str">
            <v>1RE1LP2575ZAR1</v>
          </cell>
          <cell r="B1326">
            <v>216</v>
          </cell>
        </row>
        <row r="1327">
          <cell r="A1327" t="str">
            <v>1RE1LP2575ZAS1</v>
          </cell>
          <cell r="B1327">
            <v>209</v>
          </cell>
        </row>
        <row r="1328">
          <cell r="A1328" t="str">
            <v>1RE1LP2575ZAS2</v>
          </cell>
          <cell r="B1328">
            <v>214</v>
          </cell>
        </row>
        <row r="1329">
          <cell r="A1329" t="str">
            <v>1RE1LP2577ZA</v>
          </cell>
          <cell r="B1329">
            <v>414</v>
          </cell>
        </row>
        <row r="1330">
          <cell r="A1330" t="str">
            <v>1RE1LP2577ZAR1</v>
          </cell>
          <cell r="B1330">
            <v>415</v>
          </cell>
        </row>
        <row r="1331">
          <cell r="A1331" t="str">
            <v>1RE1LP2577ZAR2</v>
          </cell>
          <cell r="B1331">
            <v>413</v>
          </cell>
        </row>
        <row r="1332">
          <cell r="A1332" t="str">
            <v>1RE1LP2578ZA</v>
          </cell>
          <cell r="B1332">
            <v>552</v>
          </cell>
        </row>
        <row r="1333">
          <cell r="A1333" t="str">
            <v>1RE1LP2578ZAR1</v>
          </cell>
          <cell r="B1333">
            <v>553</v>
          </cell>
        </row>
        <row r="1334">
          <cell r="A1334" t="str">
            <v>1RE1LP2578ZAR2</v>
          </cell>
          <cell r="B1334">
            <v>550</v>
          </cell>
        </row>
        <row r="1335">
          <cell r="A1335" t="str">
            <v>1RE1LP2579ZA</v>
          </cell>
          <cell r="B1335">
            <v>546</v>
          </cell>
        </row>
        <row r="1336">
          <cell r="A1336" t="str">
            <v>1RE1LP2579ZAS1</v>
          </cell>
          <cell r="B1336">
            <v>547</v>
          </cell>
        </row>
        <row r="1337">
          <cell r="A1337" t="str">
            <v>1RE1LP2580ZAS1</v>
          </cell>
          <cell r="B1337">
            <v>545</v>
          </cell>
        </row>
        <row r="1338">
          <cell r="A1338" t="str">
            <v>1RE1LP2581ZA</v>
          </cell>
          <cell r="B1338">
            <v>546</v>
          </cell>
        </row>
        <row r="1339">
          <cell r="A1339" t="str">
            <v>1RE1LP2581ZAR2</v>
          </cell>
          <cell r="B1339">
            <v>543</v>
          </cell>
        </row>
        <row r="1340">
          <cell r="A1340" t="str">
            <v>1RE1LP2582ZA</v>
          </cell>
          <cell r="B1340">
            <v>546</v>
          </cell>
        </row>
        <row r="1341">
          <cell r="A1341" t="str">
            <v>1RE1LP2582ZAR2</v>
          </cell>
          <cell r="B1341">
            <v>543</v>
          </cell>
        </row>
        <row r="1342">
          <cell r="A1342" t="str">
            <v>1RE1LP2583ZA</v>
          </cell>
          <cell r="B1342">
            <v>415</v>
          </cell>
        </row>
        <row r="1343">
          <cell r="A1343" t="str">
            <v>1RE1LP2584ZA</v>
          </cell>
          <cell r="B1343">
            <v>553</v>
          </cell>
        </row>
        <row r="1344">
          <cell r="A1344" t="str">
            <v>1RE1LP2584ZAR2</v>
          </cell>
          <cell r="B1344">
            <v>550</v>
          </cell>
        </row>
        <row r="1345">
          <cell r="A1345" t="str">
            <v>1RE1LP2585ZAS1</v>
          </cell>
          <cell r="B1345">
            <v>547</v>
          </cell>
        </row>
        <row r="1346">
          <cell r="A1346" t="str">
            <v>1RE1LP2587ZA</v>
          </cell>
          <cell r="B1346">
            <v>546</v>
          </cell>
        </row>
        <row r="1347">
          <cell r="A1347" t="str">
            <v>1RE1LP2589ZA</v>
          </cell>
          <cell r="B1347">
            <v>552</v>
          </cell>
        </row>
        <row r="1348">
          <cell r="A1348" t="str">
            <v>1RE1LP2593ZA</v>
          </cell>
          <cell r="B1348">
            <v>1</v>
          </cell>
        </row>
        <row r="1349">
          <cell r="A1349" t="str">
            <v>1RE1LP2594ZA</v>
          </cell>
          <cell r="B1349">
            <v>544</v>
          </cell>
        </row>
        <row r="1350">
          <cell r="A1350" t="str">
            <v>1RE1LP2595ZA</v>
          </cell>
          <cell r="B1350">
            <v>545</v>
          </cell>
        </row>
        <row r="1351">
          <cell r="A1351" t="str">
            <v>1RE1LP2597ZA</v>
          </cell>
          <cell r="B1351">
            <v>685</v>
          </cell>
        </row>
        <row r="1352">
          <cell r="A1352" t="str">
            <v>1RE1LP2598ZAS1</v>
          </cell>
          <cell r="B1352">
            <v>662</v>
          </cell>
        </row>
        <row r="1353">
          <cell r="A1353" t="str">
            <v>1RE1LP2599ZA</v>
          </cell>
          <cell r="B1353">
            <v>3</v>
          </cell>
        </row>
        <row r="1354">
          <cell r="A1354" t="str">
            <v>1RE1LP2600ZA</v>
          </cell>
          <cell r="B1354">
            <v>216</v>
          </cell>
        </row>
        <row r="1355">
          <cell r="A1355" t="str">
            <v>1RE1LP2601ZA</v>
          </cell>
          <cell r="B1355">
            <v>215</v>
          </cell>
        </row>
        <row r="1356">
          <cell r="A1356" t="str">
            <v>1RE1LPA407AL1-R1</v>
          </cell>
          <cell r="B1356">
            <v>173</v>
          </cell>
        </row>
        <row r="1357">
          <cell r="A1357" t="str">
            <v>1RE1LPA407CE1-R1</v>
          </cell>
          <cell r="B1357">
            <v>173</v>
          </cell>
        </row>
        <row r="1358">
          <cell r="A1358" t="str">
            <v>1RE1LPA407CE1-S1</v>
          </cell>
          <cell r="B1358">
            <v>171</v>
          </cell>
        </row>
        <row r="1359">
          <cell r="A1359" t="str">
            <v>1RE1LPA407CE1ZA</v>
          </cell>
          <cell r="B1359">
            <v>172</v>
          </cell>
        </row>
        <row r="1360">
          <cell r="A1360" t="str">
            <v>1RE1LPA407M1-G3</v>
          </cell>
          <cell r="B1360">
            <v>172</v>
          </cell>
        </row>
        <row r="1361">
          <cell r="A1361" t="str">
            <v>1RE1LPA407M1-R1</v>
          </cell>
          <cell r="B1361">
            <v>173</v>
          </cell>
        </row>
        <row r="1362">
          <cell r="A1362" t="str">
            <v>1RE1LPA407M1-S1</v>
          </cell>
          <cell r="B1362">
            <v>172</v>
          </cell>
        </row>
        <row r="1363">
          <cell r="A1363" t="str">
            <v>1RE1LPAT7730NE1ZA</v>
          </cell>
          <cell r="B1363">
            <v>21</v>
          </cell>
        </row>
        <row r="1364">
          <cell r="A1364" t="str">
            <v>1RE1LPAT7730RU1ZA</v>
          </cell>
          <cell r="B1364">
            <v>21</v>
          </cell>
        </row>
        <row r="1365">
          <cell r="A1365" t="str">
            <v>1RE1LPAT7730UE1ZA</v>
          </cell>
          <cell r="B1365">
            <v>21</v>
          </cell>
        </row>
        <row r="1366">
          <cell r="A1366" t="str">
            <v>1RE1LPAT7730X1ZA</v>
          </cell>
          <cell r="B1366">
            <v>21</v>
          </cell>
        </row>
        <row r="1367">
          <cell r="A1367" t="str">
            <v>1RE1LPBYODBAR1G1</v>
          </cell>
          <cell r="B1367">
            <v>0</v>
          </cell>
        </row>
        <row r="1368">
          <cell r="A1368" t="str">
            <v>1RE1LPDT333NE1ZA</v>
          </cell>
          <cell r="B1368">
            <v>30</v>
          </cell>
        </row>
        <row r="1369">
          <cell r="A1369" t="str">
            <v>1RE1LPDT346NE1ZA</v>
          </cell>
          <cell r="B1369">
            <v>30</v>
          </cell>
        </row>
        <row r="1370">
          <cell r="A1370" t="str">
            <v>1RE1LPDT5211ZA</v>
          </cell>
          <cell r="B1370">
            <v>99</v>
          </cell>
        </row>
        <row r="1371">
          <cell r="A1371" t="str">
            <v>1RE1LPDT5211ZAR1</v>
          </cell>
          <cell r="B1371">
            <v>99</v>
          </cell>
        </row>
        <row r="1372">
          <cell r="A1372" t="str">
            <v>1RE1LPDT5211ZAS1</v>
          </cell>
          <cell r="B1372">
            <v>83</v>
          </cell>
        </row>
        <row r="1373">
          <cell r="A1373" t="str">
            <v>1RE1LPDT5211ZAS2</v>
          </cell>
          <cell r="B1373">
            <v>99</v>
          </cell>
        </row>
        <row r="1374">
          <cell r="A1374" t="str">
            <v>1RE1LPDT5211ZAS3</v>
          </cell>
          <cell r="B1374">
            <v>99</v>
          </cell>
        </row>
        <row r="1375">
          <cell r="A1375" t="str">
            <v>1RE1LPDT5211ZB</v>
          </cell>
          <cell r="B1375">
            <v>79</v>
          </cell>
        </row>
        <row r="1376">
          <cell r="A1376" t="str">
            <v>1RE1LPDT5431ZA</v>
          </cell>
          <cell r="B1376">
            <v>101</v>
          </cell>
        </row>
        <row r="1377">
          <cell r="A1377" t="str">
            <v>1RE1LPDT5431ZAR1</v>
          </cell>
          <cell r="B1377">
            <v>101</v>
          </cell>
        </row>
        <row r="1378">
          <cell r="A1378" t="str">
            <v>1RE1LPDT5431ZAS1</v>
          </cell>
          <cell r="B1378">
            <v>83</v>
          </cell>
        </row>
        <row r="1379">
          <cell r="A1379" t="str">
            <v>1RE1LPDT5431ZAS2</v>
          </cell>
          <cell r="B1379">
            <v>101</v>
          </cell>
        </row>
        <row r="1380">
          <cell r="A1380" t="str">
            <v>1RE1LPDT5431ZAS3</v>
          </cell>
          <cell r="B1380">
            <v>101</v>
          </cell>
        </row>
        <row r="1381">
          <cell r="A1381" t="str">
            <v>1RE1LPDT5431ZB</v>
          </cell>
          <cell r="B1381">
            <v>82</v>
          </cell>
        </row>
        <row r="1382">
          <cell r="A1382" t="str">
            <v>1RE1LPDT5432ZA</v>
          </cell>
          <cell r="B1382">
            <v>213</v>
          </cell>
        </row>
        <row r="1383">
          <cell r="A1383" t="str">
            <v>1RE1LPDT5432ZAR1</v>
          </cell>
          <cell r="B1383">
            <v>50</v>
          </cell>
        </row>
        <row r="1384">
          <cell r="A1384" t="str">
            <v>1RE1LPDT5432ZAS1</v>
          </cell>
          <cell r="B1384">
            <v>214</v>
          </cell>
        </row>
        <row r="1385">
          <cell r="A1385" t="str">
            <v>1RE1LPDT5432ZAS2</v>
          </cell>
          <cell r="B1385">
            <v>213</v>
          </cell>
        </row>
        <row r="1386">
          <cell r="A1386" t="str">
            <v>1RE1LPDT5901ZA</v>
          </cell>
          <cell r="B1386">
            <v>48</v>
          </cell>
        </row>
        <row r="1387">
          <cell r="A1387" t="str">
            <v>1RE1LPDT5901ZAR1</v>
          </cell>
          <cell r="B1387">
            <v>49</v>
          </cell>
        </row>
        <row r="1388">
          <cell r="A1388" t="str">
            <v>1RE1LPDT5901ZAS1</v>
          </cell>
          <cell r="B1388">
            <v>49</v>
          </cell>
        </row>
        <row r="1389">
          <cell r="A1389" t="str">
            <v>1RE1LPDT5901ZAS2</v>
          </cell>
          <cell r="B1389">
            <v>48</v>
          </cell>
        </row>
        <row r="1390">
          <cell r="A1390" t="str">
            <v>1RE1LPDT635CE1-G1</v>
          </cell>
          <cell r="B1390">
            <v>82</v>
          </cell>
        </row>
        <row r="1391">
          <cell r="A1391" t="str">
            <v>1RE1LPDT635NE1-R1</v>
          </cell>
          <cell r="B1391">
            <v>82</v>
          </cell>
        </row>
        <row r="1392">
          <cell r="A1392" t="str">
            <v>1RE1LPDT635NE1-S1</v>
          </cell>
          <cell r="B1392">
            <v>82</v>
          </cell>
        </row>
        <row r="1393">
          <cell r="A1393" t="str">
            <v>1RE1LPDT635NE1ZA</v>
          </cell>
          <cell r="B1393">
            <v>80</v>
          </cell>
        </row>
        <row r="1394">
          <cell r="A1394" t="str">
            <v>1RE1LPDT680CE1-G1</v>
          </cell>
          <cell r="B1394">
            <v>263</v>
          </cell>
        </row>
        <row r="1395">
          <cell r="A1395" t="str">
            <v>1RE1LPDT680NE1-R1</v>
          </cell>
          <cell r="B1395">
            <v>79</v>
          </cell>
        </row>
        <row r="1396">
          <cell r="A1396" t="str">
            <v>1RE1LPDT680NE1-S1</v>
          </cell>
          <cell r="B1396">
            <v>79</v>
          </cell>
        </row>
        <row r="1397">
          <cell r="A1397" t="str">
            <v>1RE1LPDT680NE1ZA</v>
          </cell>
          <cell r="B1397">
            <v>78</v>
          </cell>
        </row>
        <row r="1398">
          <cell r="A1398" t="str">
            <v>1RE1LPDTU100C1ZA</v>
          </cell>
          <cell r="B1398">
            <v>77</v>
          </cell>
        </row>
        <row r="1399">
          <cell r="A1399" t="str">
            <v>1RE1LPDTU100C2ZA</v>
          </cell>
          <cell r="B1399">
            <v>66</v>
          </cell>
        </row>
        <row r="1400">
          <cell r="A1400" t="str">
            <v>1RE1LPFG510RAAZA</v>
          </cell>
          <cell r="B1400">
            <v>101</v>
          </cell>
        </row>
        <row r="1401">
          <cell r="A1401" t="str">
            <v>1RE1LPFG510RCMZC</v>
          </cell>
          <cell r="B1401">
            <v>200</v>
          </cell>
        </row>
        <row r="1402">
          <cell r="A1402" t="str">
            <v>1RE1LPFG510RDAZA</v>
          </cell>
          <cell r="B1402">
            <v>51</v>
          </cell>
        </row>
        <row r="1403">
          <cell r="A1403" t="str">
            <v>1RE1LPFG510RDMZC</v>
          </cell>
          <cell r="B1403">
            <v>200</v>
          </cell>
        </row>
        <row r="1404">
          <cell r="A1404" t="str">
            <v>1RE1LPFG510REAZB</v>
          </cell>
          <cell r="B1404">
            <v>59</v>
          </cell>
        </row>
        <row r="1405">
          <cell r="A1405" t="str">
            <v>1RE1LPFG520RAAWA</v>
          </cell>
          <cell r="B1405">
            <v>96</v>
          </cell>
        </row>
        <row r="1406">
          <cell r="A1406" t="str">
            <v>1RE1LPFG520RAAXA</v>
          </cell>
          <cell r="B1406">
            <v>96</v>
          </cell>
        </row>
        <row r="1407">
          <cell r="A1407" t="str">
            <v>1RE1LPFG520RAAYA</v>
          </cell>
          <cell r="B1407">
            <v>97</v>
          </cell>
        </row>
        <row r="1408">
          <cell r="A1408" t="str">
            <v>1RE1LPFG520RAAYAT1</v>
          </cell>
          <cell r="B1408">
            <v>96</v>
          </cell>
        </row>
        <row r="1409">
          <cell r="A1409" t="str">
            <v>1RE1LPFG520RAAZA</v>
          </cell>
          <cell r="B1409">
            <v>97</v>
          </cell>
        </row>
        <row r="1410">
          <cell r="A1410" t="str">
            <v>1RE1LPFG520RBAZA</v>
          </cell>
          <cell r="B1410">
            <v>48</v>
          </cell>
        </row>
        <row r="1411">
          <cell r="A1411" t="str">
            <v>1RE1LPFG520RCMVA</v>
          </cell>
          <cell r="B1411">
            <v>174</v>
          </cell>
        </row>
        <row r="1412">
          <cell r="A1412" t="str">
            <v>1RE1LPFG520RCMWA</v>
          </cell>
          <cell r="B1412">
            <v>174</v>
          </cell>
        </row>
        <row r="1413">
          <cell r="A1413" t="str">
            <v>1RE1LPFG520RCMYA</v>
          </cell>
          <cell r="B1413">
            <v>174</v>
          </cell>
        </row>
        <row r="1414">
          <cell r="A1414" t="str">
            <v>1RE1LPFG520RCMZA</v>
          </cell>
          <cell r="B1414">
            <v>170</v>
          </cell>
        </row>
        <row r="1415">
          <cell r="A1415" t="str">
            <v>1RE1LPFG520RDAYA</v>
          </cell>
          <cell r="B1415">
            <v>51</v>
          </cell>
        </row>
        <row r="1416">
          <cell r="A1416" t="str">
            <v>1RE1LPFG520RDAZA</v>
          </cell>
          <cell r="B1416">
            <v>51</v>
          </cell>
        </row>
        <row r="1417">
          <cell r="A1417" t="str">
            <v>1RE1LPFG520REAYA</v>
          </cell>
          <cell r="B1417">
            <v>55</v>
          </cell>
        </row>
        <row r="1418">
          <cell r="A1418" t="str">
            <v>1RE1LPFG520REAZA</v>
          </cell>
          <cell r="B1418">
            <v>55</v>
          </cell>
        </row>
        <row r="1419">
          <cell r="A1419" t="str">
            <v>1RE1LPFG520REMVA</v>
          </cell>
          <cell r="B1419">
            <v>174</v>
          </cell>
        </row>
        <row r="1420">
          <cell r="A1420" t="str">
            <v>1RE1LPFG520REMWA</v>
          </cell>
          <cell r="B1420">
            <v>174</v>
          </cell>
        </row>
        <row r="1421">
          <cell r="A1421" t="str">
            <v>1RE1LPFG520REMWAT1</v>
          </cell>
          <cell r="B1421">
            <v>174</v>
          </cell>
        </row>
        <row r="1422">
          <cell r="A1422" t="str">
            <v>1RE1LPFG520REMYA</v>
          </cell>
          <cell r="B1422">
            <v>174</v>
          </cell>
        </row>
        <row r="1423">
          <cell r="A1423" t="str">
            <v>1RE1LPFG520REMZA</v>
          </cell>
          <cell r="B1423">
            <v>170</v>
          </cell>
        </row>
        <row r="1424">
          <cell r="A1424" t="str">
            <v>1RE1LPFG810RAMUA</v>
          </cell>
          <cell r="B1424">
            <v>222</v>
          </cell>
        </row>
        <row r="1425">
          <cell r="A1425" t="str">
            <v>1RE1LPFG810RAMVA</v>
          </cell>
          <cell r="B1425">
            <v>222</v>
          </cell>
        </row>
        <row r="1426">
          <cell r="A1426" t="str">
            <v>1RE1LPFG810RAMWA</v>
          </cell>
          <cell r="B1426">
            <v>222</v>
          </cell>
        </row>
        <row r="1427">
          <cell r="A1427" t="str">
            <v>1RE1LPFG810RAMXA</v>
          </cell>
          <cell r="B1427">
            <v>225</v>
          </cell>
        </row>
        <row r="1428">
          <cell r="A1428" t="str">
            <v>1RE1LPFG810RAMYA</v>
          </cell>
          <cell r="B1428">
            <v>225</v>
          </cell>
        </row>
        <row r="1429">
          <cell r="A1429" t="str">
            <v>1RE1LPFG810RAMZAK4</v>
          </cell>
          <cell r="B1429">
            <v>225</v>
          </cell>
        </row>
        <row r="1430">
          <cell r="A1430" t="str">
            <v>1RE1LPFG810RDMUA</v>
          </cell>
          <cell r="B1430">
            <v>220</v>
          </cell>
        </row>
        <row r="1431">
          <cell r="A1431" t="str">
            <v>1RE1LPFG810RDMVA</v>
          </cell>
          <cell r="B1431">
            <v>220</v>
          </cell>
        </row>
        <row r="1432">
          <cell r="A1432" t="str">
            <v>1RE1LPFG810RDMWA</v>
          </cell>
          <cell r="B1432">
            <v>220</v>
          </cell>
        </row>
        <row r="1433">
          <cell r="A1433" t="str">
            <v>1RE1LPFG810RDMXA</v>
          </cell>
          <cell r="B1433">
            <v>223</v>
          </cell>
        </row>
        <row r="1434">
          <cell r="A1434" t="str">
            <v>1RE1LPFG810RDMYA</v>
          </cell>
          <cell r="B1434">
            <v>223</v>
          </cell>
        </row>
        <row r="1435">
          <cell r="A1435" t="str">
            <v>1RE1LPFG810RDMZAK4</v>
          </cell>
          <cell r="B1435">
            <v>223</v>
          </cell>
        </row>
        <row r="1436">
          <cell r="A1436" t="str">
            <v>1RE1LPFG810REMUA</v>
          </cell>
          <cell r="B1436">
            <v>220</v>
          </cell>
        </row>
        <row r="1437">
          <cell r="A1437" t="str">
            <v>1RE1LPFG810REMVA</v>
          </cell>
          <cell r="B1437">
            <v>220</v>
          </cell>
        </row>
        <row r="1438">
          <cell r="A1438" t="str">
            <v>1RE1LPFG810REMWA</v>
          </cell>
          <cell r="B1438">
            <v>220</v>
          </cell>
        </row>
        <row r="1439">
          <cell r="A1439" t="str">
            <v>1RE1LPFG810REMXA</v>
          </cell>
          <cell r="B1439">
            <v>223</v>
          </cell>
        </row>
        <row r="1440">
          <cell r="A1440" t="str">
            <v>1RE1LPFG810REMYA</v>
          </cell>
          <cell r="B1440">
            <v>223</v>
          </cell>
        </row>
        <row r="1441">
          <cell r="A1441" t="str">
            <v>1RE1LPFG810REMZAK4</v>
          </cell>
          <cell r="B1441">
            <v>223</v>
          </cell>
        </row>
        <row r="1442">
          <cell r="A1442" t="str">
            <v>1RE1LPGENBA1G1</v>
          </cell>
          <cell r="B1442">
            <v>52</v>
          </cell>
        </row>
        <row r="1443">
          <cell r="A1443" t="str">
            <v>1RE1LPGST100CER-S1</v>
          </cell>
          <cell r="B1443">
            <v>45</v>
          </cell>
        </row>
        <row r="1444">
          <cell r="A1444" t="str">
            <v>1RE1LPHDV1001YA</v>
          </cell>
          <cell r="B1444">
            <v>36</v>
          </cell>
        </row>
        <row r="1445">
          <cell r="A1445" t="str">
            <v>1RE1LPHDV1001ZA</v>
          </cell>
          <cell r="B1445">
            <v>48</v>
          </cell>
        </row>
        <row r="1446">
          <cell r="A1446" t="str">
            <v>1RE1LPHDV1001ZAS2</v>
          </cell>
          <cell r="B1446">
            <v>51</v>
          </cell>
        </row>
        <row r="1447">
          <cell r="A1447" t="str">
            <v>1RE1LPHDV1001ZAS3</v>
          </cell>
          <cell r="B1447">
            <v>51</v>
          </cell>
        </row>
        <row r="1448">
          <cell r="A1448" t="str">
            <v>1RE1LPHDV100B1ZAS1</v>
          </cell>
          <cell r="B1448">
            <v>48</v>
          </cell>
        </row>
        <row r="1449">
          <cell r="A1449" t="str">
            <v>1RE1LPHDV100B1ZAS2</v>
          </cell>
          <cell r="B1449">
            <v>40</v>
          </cell>
        </row>
        <row r="1450">
          <cell r="A1450" t="str">
            <v>1RE1LPHDV100CN1YA</v>
          </cell>
          <cell r="B1450">
            <v>36</v>
          </cell>
        </row>
        <row r="1451">
          <cell r="A1451" t="str">
            <v>1RE1LPHDV100RU1YA</v>
          </cell>
          <cell r="B1451">
            <v>36</v>
          </cell>
        </row>
        <row r="1452">
          <cell r="A1452" t="str">
            <v>1RE1LPHDV1301YA</v>
          </cell>
          <cell r="B1452">
            <v>34</v>
          </cell>
        </row>
        <row r="1453">
          <cell r="A1453" t="str">
            <v>1RE1LPHDV1301ZA</v>
          </cell>
          <cell r="B1453">
            <v>47</v>
          </cell>
        </row>
        <row r="1454">
          <cell r="A1454" t="str">
            <v>1RE1LPHDV1301ZAS1</v>
          </cell>
          <cell r="B1454">
            <v>4</v>
          </cell>
        </row>
        <row r="1455">
          <cell r="A1455" t="str">
            <v>1RE1LPHDV1301ZAS2</v>
          </cell>
          <cell r="B1455">
            <v>3</v>
          </cell>
        </row>
        <row r="1456">
          <cell r="A1456" t="str">
            <v>1RE1LPHDV1301ZAS3</v>
          </cell>
          <cell r="B1456">
            <v>52</v>
          </cell>
        </row>
        <row r="1457">
          <cell r="A1457" t="str">
            <v>1RE1LPHDV130A011YA</v>
          </cell>
          <cell r="B1457">
            <v>34</v>
          </cell>
        </row>
        <row r="1458">
          <cell r="A1458" t="str">
            <v>1RE1LPHDV130B1ZAS1</v>
          </cell>
          <cell r="B1458">
            <v>39</v>
          </cell>
        </row>
        <row r="1459">
          <cell r="A1459" t="str">
            <v>1RE1LPHDV130B1ZAS2</v>
          </cell>
          <cell r="B1459">
            <v>38</v>
          </cell>
        </row>
        <row r="1460">
          <cell r="A1460" t="str">
            <v>1RE1LPHDV130C1YA</v>
          </cell>
          <cell r="B1460">
            <v>34</v>
          </cell>
        </row>
        <row r="1461">
          <cell r="A1461" t="str">
            <v>1RE1LPHDV130CN1YA</v>
          </cell>
          <cell r="B1461">
            <v>34</v>
          </cell>
        </row>
        <row r="1462">
          <cell r="A1462" t="str">
            <v>1RE1LPHDV130M1YA</v>
          </cell>
          <cell r="B1462">
            <v>34</v>
          </cell>
        </row>
        <row r="1463">
          <cell r="A1463" t="str">
            <v>1RE1LPHDV130N1ZA</v>
          </cell>
          <cell r="B1463">
            <v>34</v>
          </cell>
        </row>
        <row r="1464">
          <cell r="A1464" t="str">
            <v>1RE1LPHDV130RU1YA</v>
          </cell>
          <cell r="B1464">
            <v>34</v>
          </cell>
        </row>
        <row r="1465">
          <cell r="A1465" t="str">
            <v>1RE1LPHDV130SC1ZA</v>
          </cell>
          <cell r="B1465">
            <v>48</v>
          </cell>
        </row>
        <row r="1466">
          <cell r="A1466" t="str">
            <v>1RE1LPHDV130SCB1R1</v>
          </cell>
          <cell r="B1466">
            <v>48</v>
          </cell>
        </row>
        <row r="1467">
          <cell r="A1467" t="str">
            <v>1RE1LPHDV130X1YA</v>
          </cell>
          <cell r="B1467">
            <v>34</v>
          </cell>
        </row>
        <row r="1468">
          <cell r="A1468" t="str">
            <v>1RE1LPHDV201ZA</v>
          </cell>
          <cell r="B1468">
            <v>138</v>
          </cell>
        </row>
        <row r="1469">
          <cell r="A1469" t="str">
            <v>1RE1LPHDV201ZA-S1</v>
          </cell>
          <cell r="B1469">
            <v>251</v>
          </cell>
        </row>
        <row r="1470">
          <cell r="A1470" t="str">
            <v>1RE1LPHDV201ZA-S3</v>
          </cell>
          <cell r="B1470">
            <v>133</v>
          </cell>
        </row>
        <row r="1471">
          <cell r="A1471" t="str">
            <v>1RE1LPHDV201ZA-S5</v>
          </cell>
          <cell r="B1471">
            <v>132</v>
          </cell>
        </row>
        <row r="1472">
          <cell r="A1472" t="str">
            <v>1RE1LPHDV20N1ZA</v>
          </cell>
          <cell r="B1472">
            <v>138</v>
          </cell>
        </row>
        <row r="1473">
          <cell r="A1473" t="str">
            <v>1RE1LPHDV20N1ZAS1</v>
          </cell>
          <cell r="B1473">
            <v>138</v>
          </cell>
        </row>
        <row r="1474">
          <cell r="A1474" t="str">
            <v>1RE1LPHDV2301YA</v>
          </cell>
          <cell r="B1474">
            <v>114</v>
          </cell>
        </row>
        <row r="1475">
          <cell r="A1475" t="str">
            <v>1RE1LPHDV2301ZA</v>
          </cell>
          <cell r="B1475">
            <v>112</v>
          </cell>
        </row>
        <row r="1476">
          <cell r="A1476" t="str">
            <v>1RE1LPHDV2301ZA-S1</v>
          </cell>
          <cell r="B1476">
            <v>76</v>
          </cell>
        </row>
        <row r="1477">
          <cell r="A1477" t="str">
            <v>1RE1LPHDV2301ZA-S3</v>
          </cell>
          <cell r="B1477">
            <v>108</v>
          </cell>
        </row>
        <row r="1478">
          <cell r="A1478" t="str">
            <v>1RE1LPHDV2301ZA-S5</v>
          </cell>
          <cell r="B1478">
            <v>111</v>
          </cell>
        </row>
        <row r="1479">
          <cell r="A1479" t="str">
            <v>1RE1LPHDV2301ZA-S6</v>
          </cell>
          <cell r="B1479">
            <v>112</v>
          </cell>
        </row>
        <row r="1480">
          <cell r="A1480" t="str">
            <v>1RE1LPHDV2301ZA-T1</v>
          </cell>
          <cell r="B1480">
            <v>113</v>
          </cell>
        </row>
        <row r="1481">
          <cell r="A1481" t="str">
            <v>1RE1LPHDV2301ZA-T2</v>
          </cell>
          <cell r="B1481">
            <v>115</v>
          </cell>
        </row>
        <row r="1482">
          <cell r="A1482" t="str">
            <v>1RE1LPHDV2302ZA</v>
          </cell>
          <cell r="B1482">
            <v>77</v>
          </cell>
        </row>
        <row r="1483">
          <cell r="A1483" t="str">
            <v>1RE1LPHDV2302ZA-S1</v>
          </cell>
          <cell r="B1483">
            <v>24</v>
          </cell>
        </row>
        <row r="1484">
          <cell r="A1484" t="str">
            <v>1RE1LPHDV2302ZA-S3</v>
          </cell>
          <cell r="B1484">
            <v>62</v>
          </cell>
        </row>
        <row r="1485">
          <cell r="A1485" t="str">
            <v>1RE1LPHDV2302ZA-S4</v>
          </cell>
          <cell r="B1485">
            <v>77</v>
          </cell>
        </row>
        <row r="1486">
          <cell r="A1486" t="str">
            <v>1RE1LPHDV2302ZA-S5</v>
          </cell>
          <cell r="B1486">
            <v>77</v>
          </cell>
        </row>
        <row r="1487">
          <cell r="A1487" t="str">
            <v>1RE1LPHDV2303ZA</v>
          </cell>
          <cell r="B1487">
            <v>8</v>
          </cell>
        </row>
        <row r="1488">
          <cell r="A1488" t="str">
            <v>1RE1LPHDV2303ZA-S3</v>
          </cell>
          <cell r="B1488">
            <v>8</v>
          </cell>
        </row>
        <row r="1489">
          <cell r="A1489" t="str">
            <v>1RE1LPHDV2303ZA-S4</v>
          </cell>
          <cell r="B1489">
            <v>8</v>
          </cell>
        </row>
        <row r="1490">
          <cell r="A1490" t="str">
            <v>1RE1LPHDV2303ZA-S5</v>
          </cell>
          <cell r="B1490">
            <v>8</v>
          </cell>
        </row>
        <row r="1491">
          <cell r="A1491" t="str">
            <v>1RE1LPHDV230A021ZA</v>
          </cell>
          <cell r="B1491">
            <v>112</v>
          </cell>
        </row>
        <row r="1492">
          <cell r="A1492" t="str">
            <v>1RE1LPHDV230C1YA</v>
          </cell>
          <cell r="B1492">
            <v>114</v>
          </cell>
        </row>
        <row r="1493">
          <cell r="A1493" t="str">
            <v>1RE1LPHDV230C1ZA</v>
          </cell>
          <cell r="B1493">
            <v>112</v>
          </cell>
        </row>
        <row r="1494">
          <cell r="A1494" t="str">
            <v>1RE1LPHDV230M1YA</v>
          </cell>
          <cell r="B1494">
            <v>114</v>
          </cell>
        </row>
        <row r="1495">
          <cell r="A1495" t="str">
            <v>1RE1LPHDV230M1ZA</v>
          </cell>
          <cell r="B1495">
            <v>112</v>
          </cell>
        </row>
        <row r="1496">
          <cell r="A1496" t="str">
            <v>1RE1LPHDV230N1YA</v>
          </cell>
          <cell r="B1496">
            <v>114</v>
          </cell>
        </row>
        <row r="1497">
          <cell r="A1497" t="str">
            <v>1RE1LPHDV230N1ZA</v>
          </cell>
          <cell r="B1497">
            <v>112</v>
          </cell>
        </row>
        <row r="1498">
          <cell r="A1498" t="str">
            <v>1RE1LPHDV230N1ZAS1</v>
          </cell>
          <cell r="B1498">
            <v>112</v>
          </cell>
        </row>
        <row r="1499">
          <cell r="A1499" t="str">
            <v>1RE1LPHDV230RU1YA</v>
          </cell>
          <cell r="B1499">
            <v>114</v>
          </cell>
        </row>
        <row r="1500">
          <cell r="A1500" t="str">
            <v>1RE1LPHDV230RU1ZA</v>
          </cell>
          <cell r="B1500">
            <v>112</v>
          </cell>
        </row>
        <row r="1501">
          <cell r="A1501" t="str">
            <v>1RE1LPHDV230X1YA</v>
          </cell>
          <cell r="B1501">
            <v>114</v>
          </cell>
        </row>
        <row r="1502">
          <cell r="A1502" t="str">
            <v>1RE1LPHDV230X1ZA</v>
          </cell>
          <cell r="B1502">
            <v>112</v>
          </cell>
        </row>
        <row r="1503">
          <cell r="A1503" t="str">
            <v>1RE1LPHDV3301YA</v>
          </cell>
          <cell r="B1503">
            <v>112</v>
          </cell>
        </row>
        <row r="1504">
          <cell r="A1504" t="str">
            <v>1RE1LPHDV3301ZA</v>
          </cell>
          <cell r="B1504">
            <v>140</v>
          </cell>
        </row>
        <row r="1505">
          <cell r="A1505" t="str">
            <v>1RE1LPHDV3301ZA-S1</v>
          </cell>
          <cell r="B1505">
            <v>127</v>
          </cell>
        </row>
        <row r="1506">
          <cell r="A1506" t="str">
            <v>1RE1LPHDV3301ZA-S2</v>
          </cell>
          <cell r="B1506">
            <v>143</v>
          </cell>
        </row>
        <row r="1507">
          <cell r="A1507" t="str">
            <v>1RE1LPHDV3301ZA-S3</v>
          </cell>
          <cell r="B1507">
            <v>143</v>
          </cell>
        </row>
        <row r="1508">
          <cell r="A1508" t="str">
            <v>1RE1LPHDV3301ZA-S5</v>
          </cell>
          <cell r="B1508">
            <v>140</v>
          </cell>
        </row>
        <row r="1509">
          <cell r="A1509" t="str">
            <v>1RE1LPHDV3301ZA-T1</v>
          </cell>
          <cell r="B1509">
            <v>112</v>
          </cell>
        </row>
        <row r="1510">
          <cell r="A1510" t="str">
            <v>1RE1LPHDV3301ZA-T2</v>
          </cell>
          <cell r="B1510">
            <v>112</v>
          </cell>
        </row>
        <row r="1511">
          <cell r="A1511" t="str">
            <v>1RE1LPHDV330A021ZA</v>
          </cell>
          <cell r="B1511">
            <v>140</v>
          </cell>
        </row>
        <row r="1512">
          <cell r="A1512" t="str">
            <v>1RE1LPHDV330C1YA</v>
          </cell>
          <cell r="B1512">
            <v>113</v>
          </cell>
        </row>
        <row r="1513">
          <cell r="A1513" t="str">
            <v>1RE1LPHDV330C1ZA</v>
          </cell>
          <cell r="B1513">
            <v>140</v>
          </cell>
        </row>
        <row r="1514">
          <cell r="A1514" t="str">
            <v>1RE1LPHDV330M1ZA</v>
          </cell>
          <cell r="B1514">
            <v>140</v>
          </cell>
        </row>
        <row r="1515">
          <cell r="A1515" t="str">
            <v>1RE1LPHDV330N1ZA</v>
          </cell>
          <cell r="B1515">
            <v>140</v>
          </cell>
        </row>
        <row r="1516">
          <cell r="A1516" t="str">
            <v>1RE1LPHDV330N1ZAS1</v>
          </cell>
          <cell r="B1516">
            <v>140</v>
          </cell>
        </row>
        <row r="1517">
          <cell r="A1517" t="str">
            <v>1RE1LPHDV330RU1YA</v>
          </cell>
          <cell r="B1517">
            <v>112</v>
          </cell>
        </row>
        <row r="1518">
          <cell r="A1518" t="str">
            <v>1RE1LPHDV330RU1ZA</v>
          </cell>
          <cell r="B1518">
            <v>140</v>
          </cell>
        </row>
        <row r="1519">
          <cell r="A1519" t="str">
            <v>1RE1LPHDV330X1YA</v>
          </cell>
          <cell r="B1519">
            <v>112</v>
          </cell>
        </row>
        <row r="1520">
          <cell r="A1520" t="str">
            <v>1RE1LPHDV330X1ZA</v>
          </cell>
          <cell r="B1520">
            <v>140</v>
          </cell>
        </row>
        <row r="1521">
          <cell r="A1521" t="str">
            <v>1RE1LPHDV3401ZA</v>
          </cell>
          <cell r="B1521">
            <v>112</v>
          </cell>
        </row>
        <row r="1522">
          <cell r="A1522" t="str">
            <v>1RE1LPHDV340M1ZA</v>
          </cell>
          <cell r="B1522">
            <v>112</v>
          </cell>
        </row>
        <row r="1523">
          <cell r="A1523" t="str">
            <v>1RE1LPHDV340X1ZA</v>
          </cell>
          <cell r="B1523">
            <v>112</v>
          </cell>
        </row>
        <row r="1524">
          <cell r="A1524" t="str">
            <v>1RE1LPHDV4301ZA</v>
          </cell>
          <cell r="B1524">
            <v>143</v>
          </cell>
        </row>
        <row r="1525">
          <cell r="A1525" t="str">
            <v>1RE1LPHDV4301ZAG1</v>
          </cell>
          <cell r="B1525">
            <v>484</v>
          </cell>
        </row>
        <row r="1526">
          <cell r="A1526" t="str">
            <v>1RE1LPHDV4301ZAG2</v>
          </cell>
          <cell r="B1526">
            <v>140</v>
          </cell>
        </row>
        <row r="1527">
          <cell r="A1527" t="str">
            <v>1RE1LPHDV4301ZA-R1</v>
          </cell>
          <cell r="B1527">
            <v>143</v>
          </cell>
        </row>
        <row r="1528">
          <cell r="A1528" t="str">
            <v>1RE1LPHDV4301ZA-S1</v>
          </cell>
          <cell r="B1528">
            <v>114</v>
          </cell>
        </row>
        <row r="1529">
          <cell r="A1529" t="str">
            <v>1RE1LPHDV4301ZA-S2</v>
          </cell>
          <cell r="B1529">
            <v>145</v>
          </cell>
        </row>
        <row r="1530">
          <cell r="A1530" t="str">
            <v>1RE1LPHDV4301ZA-S3</v>
          </cell>
          <cell r="B1530">
            <v>142</v>
          </cell>
        </row>
        <row r="1531">
          <cell r="A1531" t="str">
            <v>1RE1LPHDV4302ZA</v>
          </cell>
          <cell r="B1531">
            <v>0</v>
          </cell>
        </row>
        <row r="1532">
          <cell r="A1532" t="str">
            <v>1RE1LPHDV4302ZAG2</v>
          </cell>
          <cell r="B1532">
            <v>72</v>
          </cell>
        </row>
        <row r="1533">
          <cell r="A1533" t="str">
            <v>1RE1LPHDV4302ZA-R1</v>
          </cell>
          <cell r="B1533">
            <v>0</v>
          </cell>
        </row>
        <row r="1534">
          <cell r="A1534" t="str">
            <v>1RE1LPHDV4302ZA-S1</v>
          </cell>
          <cell r="B1534">
            <v>0</v>
          </cell>
        </row>
        <row r="1535">
          <cell r="A1535" t="str">
            <v>1RE1LPHDV4302ZA-S2</v>
          </cell>
          <cell r="B1535">
            <v>1</v>
          </cell>
        </row>
        <row r="1536">
          <cell r="A1536" t="str">
            <v>1RE1LPHDV4302ZA-S3</v>
          </cell>
          <cell r="B1536">
            <v>0</v>
          </cell>
        </row>
        <row r="1537">
          <cell r="A1537" t="str">
            <v>1RE1LPHDV430C1ZA</v>
          </cell>
          <cell r="B1537">
            <v>143</v>
          </cell>
        </row>
        <row r="1538">
          <cell r="A1538" t="str">
            <v>1RE1LPHDV430C2ZA</v>
          </cell>
          <cell r="B1538">
            <v>0</v>
          </cell>
        </row>
        <row r="1539">
          <cell r="A1539" t="str">
            <v>1RE1LPHDV430M1ZA</v>
          </cell>
          <cell r="B1539">
            <v>142</v>
          </cell>
        </row>
        <row r="1540">
          <cell r="A1540" t="str">
            <v>1RE1LPHDV430M2ZA</v>
          </cell>
          <cell r="B1540">
            <v>0</v>
          </cell>
        </row>
        <row r="1541">
          <cell r="A1541" t="str">
            <v>1RE1LPHDV430N1ZA</v>
          </cell>
          <cell r="B1541">
            <v>143</v>
          </cell>
        </row>
        <row r="1542">
          <cell r="A1542" t="str">
            <v>1RE1LPHDV430N1ZAS1</v>
          </cell>
          <cell r="B1542">
            <v>143</v>
          </cell>
        </row>
        <row r="1543">
          <cell r="A1543" t="str">
            <v>1RE1LPHDV430N2ZA</v>
          </cell>
          <cell r="B1543">
            <v>0</v>
          </cell>
        </row>
        <row r="1544">
          <cell r="A1544" t="str">
            <v>1RE1LPHDV430N2ZAS1</v>
          </cell>
          <cell r="B1544">
            <v>0</v>
          </cell>
        </row>
        <row r="1545">
          <cell r="A1545" t="str">
            <v>1RE1LPHDV430RU1ZA</v>
          </cell>
          <cell r="B1545">
            <v>143</v>
          </cell>
        </row>
        <row r="1546">
          <cell r="A1546" t="str">
            <v>1RE1LPHDV430RU2ZA</v>
          </cell>
          <cell r="B1546">
            <v>0</v>
          </cell>
        </row>
        <row r="1547">
          <cell r="A1547" t="str">
            <v>1RE1LPHDV430X1ZA</v>
          </cell>
          <cell r="B1547">
            <v>143</v>
          </cell>
        </row>
        <row r="1548">
          <cell r="A1548" t="str">
            <v>1RE1LPHDV430X2ZA</v>
          </cell>
          <cell r="B1548">
            <v>0</v>
          </cell>
        </row>
        <row r="1549">
          <cell r="A1549" t="str">
            <v>1RE1LPHDV8001ZADB</v>
          </cell>
          <cell r="B1549">
            <v>622</v>
          </cell>
        </row>
        <row r="1550">
          <cell r="A1550" t="str">
            <v>1RE1LPHDV8001ZAG1</v>
          </cell>
          <cell r="B1550">
            <v>270</v>
          </cell>
        </row>
        <row r="1551">
          <cell r="A1551" t="str">
            <v>1RE1LPHDV8001ZAS1</v>
          </cell>
          <cell r="B1551">
            <v>319</v>
          </cell>
        </row>
        <row r="1552">
          <cell r="A1552" t="str">
            <v>1RE1LPHDV8002ZAG1</v>
          </cell>
          <cell r="B1552">
            <v>0</v>
          </cell>
        </row>
        <row r="1553">
          <cell r="A1553" t="str">
            <v>1RE1LPHDV8002ZAS1</v>
          </cell>
          <cell r="B1553">
            <v>0</v>
          </cell>
        </row>
        <row r="1554">
          <cell r="A1554" t="str">
            <v>1RE1LPHDV8003ZAG1</v>
          </cell>
          <cell r="B1554">
            <v>5</v>
          </cell>
        </row>
        <row r="1555">
          <cell r="A1555" t="str">
            <v>1RE1LPHDV8003ZAS1</v>
          </cell>
          <cell r="B1555">
            <v>8</v>
          </cell>
        </row>
        <row r="1556">
          <cell r="A1556" t="str">
            <v>1RE1LPHT82460XR1</v>
          </cell>
          <cell r="B1556">
            <v>44</v>
          </cell>
        </row>
        <row r="1557">
          <cell r="A1557" t="str">
            <v>1RE1LPHT82460XS1</v>
          </cell>
          <cell r="B1557">
            <v>11</v>
          </cell>
        </row>
        <row r="1558">
          <cell r="A1558" t="str">
            <v>1RE1LPHT82460XS5</v>
          </cell>
          <cell r="B1558">
            <v>44</v>
          </cell>
        </row>
        <row r="1559">
          <cell r="A1559" t="str">
            <v>1RE1LPHT82460XS6</v>
          </cell>
          <cell r="B1559">
            <v>44</v>
          </cell>
        </row>
        <row r="1560">
          <cell r="A1560" t="str">
            <v>1RE1LPHT82460XZA</v>
          </cell>
          <cell r="B1560">
            <v>43</v>
          </cell>
        </row>
        <row r="1561">
          <cell r="A1561" t="str">
            <v>1RE1LPHT82470MLR1</v>
          </cell>
          <cell r="B1561">
            <v>240</v>
          </cell>
        </row>
        <row r="1562">
          <cell r="A1562" t="str">
            <v>1RE1LPHT82470MLS6</v>
          </cell>
          <cell r="B1562">
            <v>240</v>
          </cell>
        </row>
        <row r="1563">
          <cell r="A1563" t="str">
            <v>1RE1LPHT82470MLZA</v>
          </cell>
          <cell r="B1563">
            <v>240</v>
          </cell>
        </row>
        <row r="1564">
          <cell r="A1564" t="str">
            <v>1RE1LPHT82470XR1</v>
          </cell>
          <cell r="B1564">
            <v>188</v>
          </cell>
        </row>
        <row r="1565">
          <cell r="A1565" t="str">
            <v>1RE1LPHT82470XS1</v>
          </cell>
          <cell r="B1565">
            <v>255</v>
          </cell>
        </row>
        <row r="1566">
          <cell r="A1566" t="str">
            <v>1RE1LPHT82470XS4</v>
          </cell>
          <cell r="B1566">
            <v>273</v>
          </cell>
        </row>
        <row r="1567">
          <cell r="A1567" t="str">
            <v>1RE1LPHT82470XS5</v>
          </cell>
          <cell r="B1567">
            <v>256</v>
          </cell>
        </row>
        <row r="1568">
          <cell r="A1568" t="str">
            <v>1RE1LPHT82470XS6</v>
          </cell>
          <cell r="B1568">
            <v>256</v>
          </cell>
        </row>
        <row r="1569">
          <cell r="A1569" t="str">
            <v>1RE1LPHT82470XZA</v>
          </cell>
          <cell r="B1569">
            <v>256</v>
          </cell>
        </row>
        <row r="1570">
          <cell r="A1570" t="str">
            <v>1RE1LPHT82480AGR1</v>
          </cell>
          <cell r="B1570">
            <v>188</v>
          </cell>
        </row>
        <row r="1571">
          <cell r="A1571" t="str">
            <v>1RE1LPHT82480AGS5</v>
          </cell>
          <cell r="B1571">
            <v>188</v>
          </cell>
        </row>
        <row r="1572">
          <cell r="A1572" t="str">
            <v>1RE1LPHT82480AGS6</v>
          </cell>
          <cell r="B1572">
            <v>188</v>
          </cell>
        </row>
        <row r="1573">
          <cell r="A1573" t="str">
            <v>1RE1LPHT82480AGZA</v>
          </cell>
          <cell r="B1573">
            <v>189</v>
          </cell>
        </row>
        <row r="1574">
          <cell r="A1574" t="str">
            <v>1RE1LPHT82480ALR1</v>
          </cell>
          <cell r="B1574">
            <v>172</v>
          </cell>
        </row>
        <row r="1575">
          <cell r="A1575" t="str">
            <v>1RE1LPHT82480ALS5</v>
          </cell>
          <cell r="B1575">
            <v>172</v>
          </cell>
        </row>
        <row r="1576">
          <cell r="A1576" t="str">
            <v>1RE1LPHT82480ALS6</v>
          </cell>
          <cell r="B1576">
            <v>172</v>
          </cell>
        </row>
        <row r="1577">
          <cell r="A1577" t="str">
            <v>1RE1LPHT82480BRR1</v>
          </cell>
          <cell r="B1577">
            <v>180</v>
          </cell>
        </row>
        <row r="1578">
          <cell r="A1578" t="str">
            <v>1RE1LPHT82480BRS5</v>
          </cell>
          <cell r="B1578">
            <v>180</v>
          </cell>
        </row>
        <row r="1579">
          <cell r="A1579" t="str">
            <v>1RE1LPHT82480BRS6</v>
          </cell>
          <cell r="B1579">
            <v>180</v>
          </cell>
        </row>
        <row r="1580">
          <cell r="A1580" t="str">
            <v>1RE1LPHT82480BRZA</v>
          </cell>
          <cell r="B1580">
            <v>180</v>
          </cell>
        </row>
        <row r="1581">
          <cell r="A1581" t="str">
            <v>1RE1LPHT82480MR1</v>
          </cell>
          <cell r="B1581">
            <v>180</v>
          </cell>
        </row>
        <row r="1582">
          <cell r="A1582" t="str">
            <v>1RE1LPHT82480MS6</v>
          </cell>
          <cell r="B1582">
            <v>180</v>
          </cell>
        </row>
        <row r="1583">
          <cell r="A1583" t="str">
            <v>1RE1LPHT82480MZA</v>
          </cell>
          <cell r="B1583">
            <v>181</v>
          </cell>
        </row>
        <row r="1584">
          <cell r="A1584" t="str">
            <v>1RE1LPHT82480NZR1</v>
          </cell>
          <cell r="B1584">
            <v>180</v>
          </cell>
        </row>
        <row r="1585">
          <cell r="A1585" t="str">
            <v>1RE1LPHT82480NZS5</v>
          </cell>
          <cell r="B1585">
            <v>180</v>
          </cell>
        </row>
        <row r="1586">
          <cell r="A1586" t="str">
            <v>1RE1LPHT82480NZS6</v>
          </cell>
          <cell r="B1586">
            <v>180</v>
          </cell>
        </row>
        <row r="1587">
          <cell r="A1587" t="str">
            <v>1RE1LPHT82480NZZA</v>
          </cell>
          <cell r="B1587">
            <v>181</v>
          </cell>
        </row>
        <row r="1588">
          <cell r="A1588" t="str">
            <v>1RE1LPHT82480SAR1</v>
          </cell>
          <cell r="B1588">
            <v>184</v>
          </cell>
        </row>
        <row r="1589">
          <cell r="A1589" t="str">
            <v>1RE1LPHT82480SAS5</v>
          </cell>
          <cell r="B1589">
            <v>184</v>
          </cell>
        </row>
        <row r="1590">
          <cell r="A1590" t="str">
            <v>1RE1LPHT82480SAS6</v>
          </cell>
          <cell r="B1590">
            <v>184</v>
          </cell>
        </row>
        <row r="1591">
          <cell r="A1591" t="str">
            <v>1RE1LPHT82480SAZA</v>
          </cell>
          <cell r="B1591">
            <v>185</v>
          </cell>
        </row>
        <row r="1592">
          <cell r="A1592" t="str">
            <v>1RE1LPHT82480SXZA</v>
          </cell>
          <cell r="B1592">
            <v>181</v>
          </cell>
        </row>
        <row r="1593">
          <cell r="A1593" t="str">
            <v>1RE1LPHT82480TWR1</v>
          </cell>
          <cell r="B1593">
            <v>180</v>
          </cell>
        </row>
        <row r="1594">
          <cell r="A1594" t="str">
            <v>1RE1LPHT82480TWS5</v>
          </cell>
          <cell r="B1594">
            <v>180</v>
          </cell>
        </row>
        <row r="1595">
          <cell r="A1595" t="str">
            <v>1RE1LPHT82480TWS6</v>
          </cell>
          <cell r="B1595">
            <v>180</v>
          </cell>
        </row>
        <row r="1596">
          <cell r="A1596" t="str">
            <v>1RE1LPHT82480TWZA</v>
          </cell>
          <cell r="B1596">
            <v>181</v>
          </cell>
        </row>
        <row r="1597">
          <cell r="A1597" t="str">
            <v>1RE1LPHT82480XR1</v>
          </cell>
          <cell r="B1597">
            <v>180</v>
          </cell>
        </row>
        <row r="1598">
          <cell r="A1598" t="str">
            <v>1RE1LPHT82480XS1</v>
          </cell>
          <cell r="B1598">
            <v>268</v>
          </cell>
        </row>
        <row r="1599">
          <cell r="A1599" t="str">
            <v>1RE1LPHT82480XS4</v>
          </cell>
          <cell r="B1599">
            <v>165</v>
          </cell>
        </row>
        <row r="1600">
          <cell r="A1600" t="str">
            <v>1RE1LPHT82480XS5</v>
          </cell>
          <cell r="B1600">
            <v>180</v>
          </cell>
        </row>
        <row r="1601">
          <cell r="A1601" t="str">
            <v>1RE1LPHT82480XS6</v>
          </cell>
          <cell r="B1601">
            <v>180</v>
          </cell>
        </row>
        <row r="1602">
          <cell r="A1602" t="str">
            <v>1RE1LPHT82480XZA</v>
          </cell>
          <cell r="B1602">
            <v>180</v>
          </cell>
        </row>
        <row r="1603">
          <cell r="A1603" t="str">
            <v>1RE1LPHTS32AG1ZAR1</v>
          </cell>
          <cell r="B1603">
            <v>639</v>
          </cell>
        </row>
        <row r="1604">
          <cell r="A1604" t="str">
            <v>1RE1LPHTS32AG1ZAS3</v>
          </cell>
          <cell r="B1604">
            <v>712</v>
          </cell>
        </row>
        <row r="1605">
          <cell r="A1605" t="str">
            <v>1RE1LPHTS32AG2R1</v>
          </cell>
          <cell r="B1605">
            <v>679</v>
          </cell>
        </row>
        <row r="1606">
          <cell r="A1606" t="str">
            <v>1RE1LPHTS32AG2S5</v>
          </cell>
          <cell r="B1606">
            <v>680</v>
          </cell>
        </row>
        <row r="1607">
          <cell r="A1607" t="str">
            <v>1RE1LPHTS32AG2S6</v>
          </cell>
          <cell r="B1607">
            <v>680</v>
          </cell>
        </row>
        <row r="1608">
          <cell r="A1608" t="str">
            <v>1RE1LPHTS32AG2ZA</v>
          </cell>
          <cell r="B1608">
            <v>699</v>
          </cell>
        </row>
        <row r="1609">
          <cell r="A1609" t="str">
            <v>1RE1LPHTS32AL1ZA</v>
          </cell>
          <cell r="B1609">
            <v>708</v>
          </cell>
        </row>
        <row r="1610">
          <cell r="A1610" t="str">
            <v>1RE1LPHTS32AL1ZAR1</v>
          </cell>
          <cell r="B1610">
            <v>639</v>
          </cell>
        </row>
        <row r="1611">
          <cell r="A1611" t="str">
            <v>1RE1LPHTS32AL1ZAS3</v>
          </cell>
          <cell r="B1611">
            <v>708</v>
          </cell>
        </row>
        <row r="1612">
          <cell r="A1612" t="str">
            <v>1RE1LPHTS32AL2R1</v>
          </cell>
          <cell r="B1612">
            <v>691</v>
          </cell>
        </row>
        <row r="1613">
          <cell r="A1613" t="str">
            <v>1RE1LPHTS32AL2S5</v>
          </cell>
          <cell r="B1613">
            <v>692</v>
          </cell>
        </row>
        <row r="1614">
          <cell r="A1614" t="str">
            <v>1RE1LPHTS32AL2S6</v>
          </cell>
          <cell r="B1614">
            <v>692</v>
          </cell>
        </row>
        <row r="1615">
          <cell r="A1615" t="str">
            <v>1RE1LPHTS32BR1ZAR1</v>
          </cell>
          <cell r="B1615">
            <v>639</v>
          </cell>
        </row>
        <row r="1616">
          <cell r="A1616" t="str">
            <v>1RE1LPHTS32BR1ZAS3</v>
          </cell>
          <cell r="B1616">
            <v>712</v>
          </cell>
        </row>
        <row r="1617">
          <cell r="A1617" t="str">
            <v>1RE1LPHTS32BR2R1</v>
          </cell>
          <cell r="B1617">
            <v>670</v>
          </cell>
        </row>
        <row r="1618">
          <cell r="A1618" t="str">
            <v>1RE1LPHTS32BR2S5</v>
          </cell>
          <cell r="B1618">
            <v>671</v>
          </cell>
        </row>
        <row r="1619">
          <cell r="A1619" t="str">
            <v>1RE1LPHTS32BR2S6</v>
          </cell>
          <cell r="B1619">
            <v>671</v>
          </cell>
        </row>
        <row r="1620">
          <cell r="A1620" t="str">
            <v>1RE1LPHTS32BR2ZA</v>
          </cell>
          <cell r="B1620">
            <v>690</v>
          </cell>
        </row>
        <row r="1621">
          <cell r="A1621" t="str">
            <v>1RE1LPHTS32LA1ZA</v>
          </cell>
          <cell r="B1621">
            <v>708</v>
          </cell>
        </row>
        <row r="1622">
          <cell r="A1622" t="str">
            <v>1RE1LPHTS32LA1ZAR1</v>
          </cell>
          <cell r="B1622">
            <v>639</v>
          </cell>
        </row>
        <row r="1623">
          <cell r="A1623" t="str">
            <v>1RE1LPHTS32LA1ZAS3</v>
          </cell>
          <cell r="B1623">
            <v>712</v>
          </cell>
        </row>
        <row r="1624">
          <cell r="A1624" t="str">
            <v>1RE1LPHTS32LA2R1</v>
          </cell>
          <cell r="B1624">
            <v>679</v>
          </cell>
        </row>
        <row r="1625">
          <cell r="A1625" t="str">
            <v>1RE1LPHTS32LA2S4</v>
          </cell>
          <cell r="B1625">
            <v>692</v>
          </cell>
        </row>
        <row r="1626">
          <cell r="A1626" t="str">
            <v>1RE1LPHTS32LA2S5</v>
          </cell>
          <cell r="B1626">
            <v>680</v>
          </cell>
        </row>
        <row r="1627">
          <cell r="A1627" t="str">
            <v>1RE1LPHTS32LA2S6</v>
          </cell>
          <cell r="B1627">
            <v>680</v>
          </cell>
        </row>
        <row r="1628">
          <cell r="A1628" t="str">
            <v>1RE1LPHTS32LA2ZA</v>
          </cell>
          <cell r="B1628">
            <v>699</v>
          </cell>
        </row>
        <row r="1629">
          <cell r="A1629" t="str">
            <v>1RE1LPHTS32M1ZAR1</v>
          </cell>
          <cell r="B1629">
            <v>639</v>
          </cell>
        </row>
        <row r="1630">
          <cell r="A1630" t="str">
            <v>1RE1LPHTS32M2R1</v>
          </cell>
          <cell r="B1630">
            <v>679</v>
          </cell>
        </row>
        <row r="1631">
          <cell r="A1631" t="str">
            <v>1RE1LPHTS32M2S3</v>
          </cell>
          <cell r="B1631">
            <v>712</v>
          </cell>
        </row>
        <row r="1632">
          <cell r="A1632" t="str">
            <v>1RE1LPHTS32M2S5</v>
          </cell>
          <cell r="B1632">
            <v>680</v>
          </cell>
        </row>
        <row r="1633">
          <cell r="A1633" t="str">
            <v>1RE1LPHTS32M2S6</v>
          </cell>
          <cell r="B1633">
            <v>680</v>
          </cell>
        </row>
        <row r="1634">
          <cell r="A1634" t="str">
            <v>1RE1LPHTS32M2ZA</v>
          </cell>
          <cell r="B1634">
            <v>699</v>
          </cell>
        </row>
        <row r="1635">
          <cell r="A1635" t="str">
            <v>1RE1LPHTS32ML1ZAR1</v>
          </cell>
          <cell r="B1635">
            <v>639</v>
          </cell>
        </row>
        <row r="1636">
          <cell r="A1636" t="str">
            <v>1RE1LPHTS32ML1ZAS3</v>
          </cell>
          <cell r="B1636">
            <v>692</v>
          </cell>
        </row>
        <row r="1637">
          <cell r="A1637" t="str">
            <v>1RE1LPHTS32ML2R1</v>
          </cell>
          <cell r="B1637">
            <v>695</v>
          </cell>
        </row>
        <row r="1638">
          <cell r="A1638" t="str">
            <v>1RE1LPHTS32ML2S5</v>
          </cell>
          <cell r="B1638">
            <v>696</v>
          </cell>
        </row>
        <row r="1639">
          <cell r="A1639" t="str">
            <v>1RE1LPHTS32ML2S6</v>
          </cell>
          <cell r="B1639">
            <v>696</v>
          </cell>
        </row>
        <row r="1640">
          <cell r="A1640" t="str">
            <v>1RE1LPHTS32ML2ZA</v>
          </cell>
          <cell r="B1640">
            <v>708</v>
          </cell>
        </row>
        <row r="1641">
          <cell r="A1641" t="str">
            <v>1RE1LPHTS32NZ1ZA</v>
          </cell>
          <cell r="B1641">
            <v>708</v>
          </cell>
        </row>
        <row r="1642">
          <cell r="A1642" t="str">
            <v>1RE1LPHTS32NZ1ZAR1</v>
          </cell>
          <cell r="B1642">
            <v>639</v>
          </cell>
        </row>
        <row r="1643">
          <cell r="A1643" t="str">
            <v>1RE1LPHTS32NZ1ZAS3</v>
          </cell>
          <cell r="B1643">
            <v>708</v>
          </cell>
        </row>
        <row r="1644">
          <cell r="A1644" t="str">
            <v>1RE1LPHTS32NZ2R1</v>
          </cell>
          <cell r="B1644">
            <v>679</v>
          </cell>
        </row>
        <row r="1645">
          <cell r="A1645" t="str">
            <v>1RE1LPHTS32NZ2S5</v>
          </cell>
          <cell r="B1645">
            <v>680</v>
          </cell>
        </row>
        <row r="1646">
          <cell r="A1646" t="str">
            <v>1RE1LPHTS32NZ2S6</v>
          </cell>
          <cell r="B1646">
            <v>680</v>
          </cell>
        </row>
        <row r="1647">
          <cell r="A1647" t="str">
            <v>1RE1LPHTS32NZ2ZA</v>
          </cell>
          <cell r="B1647">
            <v>699</v>
          </cell>
        </row>
        <row r="1648">
          <cell r="A1648" t="str">
            <v>1RE1LPHTS32SA1ZAR1</v>
          </cell>
          <cell r="B1648">
            <v>639</v>
          </cell>
        </row>
        <row r="1649">
          <cell r="A1649" t="str">
            <v>1RE1LPHTS32SA1ZAS3</v>
          </cell>
          <cell r="B1649">
            <v>712</v>
          </cell>
        </row>
        <row r="1650">
          <cell r="A1650" t="str">
            <v>1RE1LPHTS32SA2R1</v>
          </cell>
          <cell r="B1650">
            <v>679</v>
          </cell>
        </row>
        <row r="1651">
          <cell r="A1651" t="str">
            <v>1RE1LPHTS32SA2S5</v>
          </cell>
          <cell r="B1651">
            <v>680</v>
          </cell>
        </row>
        <row r="1652">
          <cell r="A1652" t="str">
            <v>1RE1LPHTS32SA2S6</v>
          </cell>
          <cell r="B1652">
            <v>680</v>
          </cell>
        </row>
        <row r="1653">
          <cell r="A1653" t="str">
            <v>1RE1LPHTS32SA2ZA</v>
          </cell>
          <cell r="B1653">
            <v>699</v>
          </cell>
        </row>
        <row r="1654">
          <cell r="A1654" t="str">
            <v>1RE1LPHTS32SX2ZA</v>
          </cell>
          <cell r="B1654">
            <v>707</v>
          </cell>
        </row>
        <row r="1655">
          <cell r="A1655" t="str">
            <v>1RE1LPHTS32TW1ZAR1</v>
          </cell>
          <cell r="B1655">
            <v>639</v>
          </cell>
        </row>
        <row r="1656">
          <cell r="A1656" t="str">
            <v>1RE1LPHTS32TW1ZAS3</v>
          </cell>
          <cell r="B1656">
            <v>708</v>
          </cell>
        </row>
        <row r="1657">
          <cell r="A1657" t="str">
            <v>1RE1LPHTS32TW2R1</v>
          </cell>
          <cell r="B1657">
            <v>679</v>
          </cell>
        </row>
        <row r="1658">
          <cell r="A1658" t="str">
            <v>1RE1LPHTS32TW2S5</v>
          </cell>
          <cell r="B1658">
            <v>680</v>
          </cell>
        </row>
        <row r="1659">
          <cell r="A1659" t="str">
            <v>1RE1LPHTS32TW2S6</v>
          </cell>
          <cell r="B1659">
            <v>680</v>
          </cell>
        </row>
        <row r="1660">
          <cell r="A1660" t="str">
            <v>1RE1LPHTS32TW2ZA</v>
          </cell>
          <cell r="B1660">
            <v>699</v>
          </cell>
        </row>
        <row r="1661">
          <cell r="A1661" t="str">
            <v>1RE1LPHTSBASELAS1</v>
          </cell>
          <cell r="B1661">
            <v>647</v>
          </cell>
        </row>
        <row r="1662">
          <cell r="A1662" t="str">
            <v>1RE1LPMB2110RUMZA</v>
          </cell>
          <cell r="B1662">
            <v>219</v>
          </cell>
        </row>
        <row r="1663">
          <cell r="A1663" t="str">
            <v>1RE1LPMB2117RUMZA</v>
          </cell>
          <cell r="B1663">
            <v>237</v>
          </cell>
        </row>
        <row r="1664">
          <cell r="A1664" t="str">
            <v>1RE1LPMB2120CXMZA</v>
          </cell>
          <cell r="B1664">
            <v>273</v>
          </cell>
        </row>
        <row r="1665">
          <cell r="A1665" t="str">
            <v>1RE1LPMB2120GMYA</v>
          </cell>
          <cell r="B1665">
            <v>268</v>
          </cell>
        </row>
        <row r="1666">
          <cell r="A1666" t="str">
            <v>1RE1LPMB2120GMZA</v>
          </cell>
          <cell r="B1666">
            <v>262</v>
          </cell>
        </row>
        <row r="1667">
          <cell r="A1667" t="str">
            <v>1RE1LPMB2120HXMYA</v>
          </cell>
          <cell r="B1667">
            <v>282</v>
          </cell>
        </row>
        <row r="1668">
          <cell r="A1668" t="str">
            <v>1RE1LPMB2120HXMZA</v>
          </cell>
          <cell r="B1668">
            <v>276</v>
          </cell>
        </row>
        <row r="1669">
          <cell r="A1669" t="str">
            <v>1RE1LPMB2120JTMYA</v>
          </cell>
          <cell r="B1669">
            <v>268</v>
          </cell>
        </row>
        <row r="1670">
          <cell r="A1670" t="str">
            <v>1RE1LPMB2120JTMZA</v>
          </cell>
          <cell r="B1670">
            <v>262</v>
          </cell>
        </row>
        <row r="1671">
          <cell r="A1671" t="str">
            <v>1RE1LPMB2120SXMZA</v>
          </cell>
          <cell r="B1671">
            <v>260</v>
          </cell>
        </row>
        <row r="1672">
          <cell r="A1672" t="str">
            <v>1RE1LPMB2123CNM-R1</v>
          </cell>
          <cell r="B1672">
            <v>272</v>
          </cell>
        </row>
        <row r="1673">
          <cell r="A1673" t="str">
            <v>1RE1LPMB2123CNMZA</v>
          </cell>
          <cell r="B1673">
            <v>272</v>
          </cell>
        </row>
        <row r="1674">
          <cell r="A1674" t="str">
            <v>1RE1LPMB2128CNMZA</v>
          </cell>
          <cell r="B1674">
            <v>274</v>
          </cell>
        </row>
        <row r="1675">
          <cell r="A1675" t="str">
            <v>1RE1LPMB2128TWMZA</v>
          </cell>
          <cell r="B1675">
            <v>274</v>
          </cell>
        </row>
        <row r="1676">
          <cell r="A1676" t="str">
            <v>1RE1LPMB2130CXM-R1</v>
          </cell>
          <cell r="B1676">
            <v>276</v>
          </cell>
        </row>
        <row r="1677">
          <cell r="A1677" t="str">
            <v>1RE1LPMB2130CXMZA</v>
          </cell>
          <cell r="B1677">
            <v>275</v>
          </cell>
        </row>
        <row r="1678">
          <cell r="A1678" t="str">
            <v>1RE1LPMB2130GMYA</v>
          </cell>
          <cell r="B1678">
            <v>270</v>
          </cell>
        </row>
        <row r="1679">
          <cell r="A1679" t="str">
            <v>1RE1LPMB2130GMZA</v>
          </cell>
          <cell r="B1679">
            <v>264</v>
          </cell>
        </row>
        <row r="1680">
          <cell r="A1680" t="str">
            <v>1RE1LPMB2130HXMYA</v>
          </cell>
          <cell r="B1680">
            <v>284</v>
          </cell>
        </row>
        <row r="1681">
          <cell r="A1681" t="str">
            <v>1RE1LPMB2130HXMZA</v>
          </cell>
          <cell r="B1681">
            <v>278</v>
          </cell>
        </row>
        <row r="1682">
          <cell r="A1682" t="str">
            <v>1RE1LPMB2130JTMYA</v>
          </cell>
          <cell r="B1682">
            <v>270</v>
          </cell>
        </row>
        <row r="1683">
          <cell r="A1683" t="str">
            <v>1RE1LPMB2130JTMZA</v>
          </cell>
          <cell r="B1683">
            <v>264</v>
          </cell>
        </row>
        <row r="1684">
          <cell r="A1684" t="str">
            <v>1RE1LPMB2130LAMZA</v>
          </cell>
          <cell r="B1684">
            <v>262</v>
          </cell>
        </row>
        <row r="1685">
          <cell r="A1685" t="str">
            <v>1RE1LPMB2130RUMZA</v>
          </cell>
          <cell r="B1685">
            <v>275</v>
          </cell>
        </row>
        <row r="1686">
          <cell r="A1686" t="str">
            <v>1RE1LPMB2130SXMZA</v>
          </cell>
          <cell r="B1686">
            <v>262</v>
          </cell>
        </row>
        <row r="1687">
          <cell r="A1687" t="str">
            <v>1RE1LPMB2133CNM-R1</v>
          </cell>
          <cell r="B1687">
            <v>274</v>
          </cell>
        </row>
        <row r="1688">
          <cell r="A1688" t="str">
            <v>1RE1LPMB2133CNMZA</v>
          </cell>
          <cell r="B1688">
            <v>274</v>
          </cell>
        </row>
        <row r="1689">
          <cell r="A1689" t="str">
            <v>1RE1LPMB2137CXMZA</v>
          </cell>
          <cell r="B1689">
            <v>293</v>
          </cell>
        </row>
        <row r="1690">
          <cell r="A1690" t="str">
            <v>1RE1LPMB2137RUMZA</v>
          </cell>
          <cell r="B1690">
            <v>293</v>
          </cell>
        </row>
        <row r="1691">
          <cell r="A1691" t="str">
            <v>1RE1LPMB2138CNM-R1</v>
          </cell>
          <cell r="B1691">
            <v>276</v>
          </cell>
        </row>
        <row r="1692">
          <cell r="A1692" t="str">
            <v>1RE1LPMB2138CNMZA</v>
          </cell>
          <cell r="B1692">
            <v>276</v>
          </cell>
        </row>
        <row r="1693">
          <cell r="A1693" t="str">
            <v>1RE1LPMB2170CXM-R1</v>
          </cell>
          <cell r="B1693">
            <v>276</v>
          </cell>
        </row>
        <row r="1694">
          <cell r="A1694" t="str">
            <v>1RE1LPMB2170CXMZA</v>
          </cell>
          <cell r="B1694">
            <v>275</v>
          </cell>
        </row>
        <row r="1695">
          <cell r="A1695" t="str">
            <v>1RE1LPMB2170GMYA</v>
          </cell>
          <cell r="B1695">
            <v>270</v>
          </cell>
        </row>
        <row r="1696">
          <cell r="A1696" t="str">
            <v>1RE1LPMB2170GMZA</v>
          </cell>
          <cell r="B1696">
            <v>264</v>
          </cell>
        </row>
        <row r="1697">
          <cell r="A1697" t="str">
            <v>1RE1LPMB2170HXMYA</v>
          </cell>
          <cell r="B1697">
            <v>284</v>
          </cell>
        </row>
        <row r="1698">
          <cell r="A1698" t="str">
            <v>1RE1LPMB2170HXMZA</v>
          </cell>
          <cell r="B1698">
            <v>278</v>
          </cell>
        </row>
        <row r="1699">
          <cell r="A1699" t="str">
            <v>1RE1LPMB2170JTMYA</v>
          </cell>
          <cell r="B1699">
            <v>270</v>
          </cell>
        </row>
        <row r="1700">
          <cell r="A1700" t="str">
            <v>1RE1LPMB2170JTMZA</v>
          </cell>
          <cell r="B1700">
            <v>264</v>
          </cell>
        </row>
        <row r="1701">
          <cell r="A1701" t="str">
            <v>1RE1LPMB2170LAMZA</v>
          </cell>
          <cell r="B1701">
            <v>262</v>
          </cell>
        </row>
        <row r="1702">
          <cell r="A1702" t="str">
            <v>1RE1LPMB2170RUMZA</v>
          </cell>
          <cell r="B1702">
            <v>276</v>
          </cell>
        </row>
        <row r="1703">
          <cell r="A1703" t="str">
            <v>1RE1LPMB2170SXMZA</v>
          </cell>
          <cell r="B1703">
            <v>262</v>
          </cell>
        </row>
        <row r="1704">
          <cell r="A1704" t="str">
            <v>1RE1LPMB2173CNM-R1</v>
          </cell>
          <cell r="B1704">
            <v>274</v>
          </cell>
        </row>
        <row r="1705">
          <cell r="A1705" t="str">
            <v>1RE1LPMB2173CNMZA</v>
          </cell>
          <cell r="B1705">
            <v>274</v>
          </cell>
        </row>
        <row r="1706">
          <cell r="A1706" t="str">
            <v>1RE1LPMB2177CXM-R1</v>
          </cell>
          <cell r="B1706">
            <v>294</v>
          </cell>
        </row>
        <row r="1707">
          <cell r="A1707" t="str">
            <v>1RE1LPMB2177CXMZA</v>
          </cell>
          <cell r="B1707">
            <v>292</v>
          </cell>
        </row>
        <row r="1708">
          <cell r="A1708" t="str">
            <v>1RE1LPMB2177RUMZA</v>
          </cell>
          <cell r="B1708">
            <v>293</v>
          </cell>
        </row>
        <row r="1709">
          <cell r="A1709" t="str">
            <v>1RE1LPMB2178CNMZA</v>
          </cell>
          <cell r="B1709">
            <v>276</v>
          </cell>
        </row>
        <row r="1710">
          <cell r="A1710" t="str">
            <v>1RE1LPMB2178TWMZA</v>
          </cell>
          <cell r="B1710">
            <v>276</v>
          </cell>
        </row>
        <row r="1711">
          <cell r="A1711" t="str">
            <v>1RE1LPMB2575JTBZA</v>
          </cell>
          <cell r="B1711">
            <v>1</v>
          </cell>
        </row>
        <row r="1712">
          <cell r="A1712" t="str">
            <v>1RE1LPMB536CNMZA</v>
          </cell>
          <cell r="B1712">
            <v>424</v>
          </cell>
        </row>
        <row r="1713">
          <cell r="A1713" t="str">
            <v>1RE1LPMB536CXM-R1</v>
          </cell>
          <cell r="B1713">
            <v>433</v>
          </cell>
        </row>
        <row r="1714">
          <cell r="A1714" t="str">
            <v>1RE1LPMB536CXMZA</v>
          </cell>
          <cell r="B1714">
            <v>431</v>
          </cell>
        </row>
        <row r="1715">
          <cell r="A1715" t="str">
            <v>1RE1LPMB536LAMZA</v>
          </cell>
          <cell r="B1715">
            <v>427</v>
          </cell>
        </row>
        <row r="1716">
          <cell r="A1716" t="str">
            <v>1RE1LPMB536RUMZA</v>
          </cell>
          <cell r="B1716">
            <v>420</v>
          </cell>
        </row>
        <row r="1717">
          <cell r="A1717" t="str">
            <v>1RE1LPMB536TWMZA</v>
          </cell>
          <cell r="B1717">
            <v>423</v>
          </cell>
        </row>
        <row r="1718">
          <cell r="A1718" t="str">
            <v>1RE1LPMB537EUMZA</v>
          </cell>
          <cell r="B1718">
            <v>423</v>
          </cell>
        </row>
        <row r="1719">
          <cell r="A1719" t="str">
            <v>1RE1LPMB537JTM-R1</v>
          </cell>
          <cell r="B1719">
            <v>541</v>
          </cell>
        </row>
        <row r="1720">
          <cell r="A1720" t="str">
            <v>1RE1LPMB537JTMZA</v>
          </cell>
          <cell r="B1720">
            <v>420</v>
          </cell>
        </row>
        <row r="1721">
          <cell r="A1721" t="str">
            <v>1RE1LPMB539CNMZA</v>
          </cell>
          <cell r="B1721">
            <v>423</v>
          </cell>
        </row>
        <row r="1722">
          <cell r="A1722" t="str">
            <v>1RE1LPMB545CXMZA</v>
          </cell>
          <cell r="B1722">
            <v>430</v>
          </cell>
        </row>
        <row r="1723">
          <cell r="A1723" t="str">
            <v>1RE1LPMB545EUMZA</v>
          </cell>
          <cell r="B1723">
            <v>422</v>
          </cell>
        </row>
        <row r="1724">
          <cell r="A1724" t="str">
            <v>1RE1LPMB545EUTZA</v>
          </cell>
          <cell r="B1724">
            <v>78</v>
          </cell>
        </row>
        <row r="1725">
          <cell r="A1725" t="str">
            <v>1RE1LPMB545JTC-R1</v>
          </cell>
          <cell r="B1725">
            <v>69</v>
          </cell>
        </row>
        <row r="1726">
          <cell r="A1726" t="str">
            <v>1RE1LPMB545JTCYA</v>
          </cell>
          <cell r="B1726">
            <v>69</v>
          </cell>
        </row>
        <row r="1727">
          <cell r="A1727" t="str">
            <v>1RE1LPMB545JTCZA</v>
          </cell>
          <cell r="B1727">
            <v>69</v>
          </cell>
        </row>
        <row r="1728">
          <cell r="A1728" t="str">
            <v>1RE1LPMB545JTD-R1</v>
          </cell>
          <cell r="B1728">
            <v>49</v>
          </cell>
        </row>
        <row r="1729">
          <cell r="A1729" t="str">
            <v>1RE1LPMB545JTDZA</v>
          </cell>
          <cell r="B1729">
            <v>48</v>
          </cell>
        </row>
        <row r="1730">
          <cell r="A1730" t="str">
            <v>1RE1LPMB545JTE-R1</v>
          </cell>
          <cell r="B1730">
            <v>18</v>
          </cell>
        </row>
        <row r="1731">
          <cell r="A1731" t="str">
            <v>1RE1LPMB545JTEZA</v>
          </cell>
          <cell r="B1731">
            <v>20</v>
          </cell>
        </row>
        <row r="1732">
          <cell r="A1732" t="str">
            <v>1RE1LPMB545JTM-R1</v>
          </cell>
          <cell r="B1732">
            <v>433</v>
          </cell>
        </row>
        <row r="1733">
          <cell r="A1733" t="str">
            <v>1RE1LPMB545JTMZA</v>
          </cell>
          <cell r="B1733">
            <v>420</v>
          </cell>
        </row>
        <row r="1734">
          <cell r="A1734" t="str">
            <v>1RE1LPMB545JTT-R1</v>
          </cell>
          <cell r="B1734">
            <v>77</v>
          </cell>
        </row>
        <row r="1735">
          <cell r="A1735" t="str">
            <v>1RE1LPMB545JTTZA</v>
          </cell>
          <cell r="B1735">
            <v>78</v>
          </cell>
        </row>
        <row r="1736">
          <cell r="A1736" t="str">
            <v>1RE1LPMB545JTW-R1</v>
          </cell>
          <cell r="B1736">
            <v>9</v>
          </cell>
        </row>
        <row r="1737">
          <cell r="A1737" t="str">
            <v>1RE1LPMB545JTWZA</v>
          </cell>
          <cell r="B1737">
            <v>9</v>
          </cell>
        </row>
        <row r="1738">
          <cell r="A1738" t="str">
            <v>1RE1LPMB545LAMZA</v>
          </cell>
          <cell r="B1738">
            <v>426</v>
          </cell>
        </row>
        <row r="1739">
          <cell r="A1739" t="str">
            <v>1RE1LPMB545RUMZA</v>
          </cell>
          <cell r="B1739">
            <v>419</v>
          </cell>
        </row>
        <row r="1740">
          <cell r="A1740" t="str">
            <v>1RE1LPN1028XM-S1</v>
          </cell>
          <cell r="B1740">
            <v>64</v>
          </cell>
        </row>
        <row r="1741">
          <cell r="A1741" t="str">
            <v>1RE1LPN1028YM-S1</v>
          </cell>
          <cell r="B1741">
            <v>642</v>
          </cell>
        </row>
        <row r="1742">
          <cell r="A1742" t="str">
            <v>1RE1LPN1058XM-S1</v>
          </cell>
          <cell r="B1742">
            <v>663</v>
          </cell>
        </row>
        <row r="1743">
          <cell r="A1743" t="str">
            <v>1RE1LPN1058YM-S1</v>
          </cell>
          <cell r="B1743">
            <v>661</v>
          </cell>
        </row>
        <row r="1744">
          <cell r="A1744" t="str">
            <v>1RE1LPN1058YT-S1</v>
          </cell>
          <cell r="B1744">
            <v>30</v>
          </cell>
        </row>
        <row r="1745">
          <cell r="A1745" t="str">
            <v>1RE1LPN30BX2ASICS1</v>
          </cell>
          <cell r="B1745">
            <v>414</v>
          </cell>
        </row>
        <row r="1746">
          <cell r="A1746" t="str">
            <v>1RE1LPN30CPUASICS1</v>
          </cell>
          <cell r="B1746">
            <v>328</v>
          </cell>
        </row>
        <row r="1747">
          <cell r="A1747" t="str">
            <v>1RE1LPN32BX2ASICS1</v>
          </cell>
          <cell r="B1747">
            <v>304</v>
          </cell>
        </row>
        <row r="1748">
          <cell r="A1748" t="str">
            <v>1RE1LPN32CPUASICS1</v>
          </cell>
          <cell r="B1748">
            <v>270</v>
          </cell>
        </row>
        <row r="1749">
          <cell r="A1749" t="str">
            <v>1RE1LPN70BX2ASICS1</v>
          </cell>
          <cell r="B1749">
            <v>140</v>
          </cell>
        </row>
        <row r="1750">
          <cell r="A1750" t="str">
            <v>1RE1LPN70BX2ASICS2</v>
          </cell>
          <cell r="B1750">
            <v>162</v>
          </cell>
        </row>
        <row r="1751">
          <cell r="A1751" t="str">
            <v>1RE1LPN70BX2ASICS3</v>
          </cell>
          <cell r="B1751">
            <v>162</v>
          </cell>
        </row>
        <row r="1752">
          <cell r="A1752" t="str">
            <v>1RE1LPN70BX2ASICS4</v>
          </cell>
          <cell r="B1752">
            <v>162</v>
          </cell>
        </row>
        <row r="1753">
          <cell r="A1753" t="str">
            <v>1RE1LPN70CPUASICS1</v>
          </cell>
          <cell r="B1753">
            <v>327</v>
          </cell>
        </row>
        <row r="1754">
          <cell r="A1754" t="str">
            <v>1RE1LPN70CPUASICS2</v>
          </cell>
          <cell r="B1754">
            <v>331</v>
          </cell>
        </row>
        <row r="1755">
          <cell r="A1755" t="str">
            <v>1RE1LPN70CPUASICS3</v>
          </cell>
          <cell r="B1755">
            <v>346</v>
          </cell>
        </row>
        <row r="1756">
          <cell r="A1756" t="str">
            <v>1RE1LPN70CPUASICS4</v>
          </cell>
          <cell r="B1756">
            <v>346</v>
          </cell>
        </row>
        <row r="1757">
          <cell r="A1757" t="str">
            <v>1RE1LPN72BX2ASICS1</v>
          </cell>
          <cell r="B1757">
            <v>51</v>
          </cell>
        </row>
        <row r="1758">
          <cell r="A1758" t="str">
            <v>1RE1LPN72BX2ASICS2</v>
          </cell>
          <cell r="B1758">
            <v>68</v>
          </cell>
        </row>
        <row r="1759">
          <cell r="A1759" t="str">
            <v>1RE1LPN72BX2ASICS3</v>
          </cell>
          <cell r="B1759">
            <v>68</v>
          </cell>
        </row>
        <row r="1760">
          <cell r="A1760" t="str">
            <v>1RE1LPN72BX2ASICS4</v>
          </cell>
          <cell r="B1760">
            <v>68</v>
          </cell>
        </row>
        <row r="1761">
          <cell r="A1761" t="str">
            <v>1RE1LPN72CPUASICS1</v>
          </cell>
          <cell r="B1761">
            <v>269</v>
          </cell>
        </row>
        <row r="1762">
          <cell r="A1762" t="str">
            <v>1RE1LPN72CPUASICS2</v>
          </cell>
          <cell r="B1762">
            <v>308</v>
          </cell>
        </row>
        <row r="1763">
          <cell r="A1763" t="str">
            <v>1RE1LPN72CPUASICS3</v>
          </cell>
          <cell r="B1763">
            <v>319</v>
          </cell>
        </row>
        <row r="1764">
          <cell r="A1764" t="str">
            <v>1RE1LPN72CPUASICS4</v>
          </cell>
          <cell r="B1764">
            <v>319</v>
          </cell>
        </row>
        <row r="1765">
          <cell r="A1765" t="str">
            <v>1RE1LPNS0110XZA</v>
          </cell>
          <cell r="B1765">
            <v>114</v>
          </cell>
        </row>
        <row r="1766">
          <cell r="A1766" t="str">
            <v>1RE1LPNS0130XZA</v>
          </cell>
          <cell r="B1766">
            <v>51</v>
          </cell>
        </row>
        <row r="1767">
          <cell r="A1767" t="str">
            <v>1RE1LPNS0154CEH-K1</v>
          </cell>
          <cell r="B1767">
            <v>239</v>
          </cell>
        </row>
        <row r="1768">
          <cell r="A1768" t="str">
            <v>1RE1LPNS0154CEH-R1</v>
          </cell>
          <cell r="B1768">
            <v>239</v>
          </cell>
        </row>
        <row r="1769">
          <cell r="A1769" t="str">
            <v>1RE1LPNS0154CEHS2</v>
          </cell>
          <cell r="B1769">
            <v>242</v>
          </cell>
        </row>
        <row r="1770">
          <cell r="A1770" t="str">
            <v>1RE1LPNS0154CEHS3</v>
          </cell>
          <cell r="B1770">
            <v>246</v>
          </cell>
        </row>
        <row r="1771">
          <cell r="A1771" t="str">
            <v>1RE1LPNS0154CEH-S4</v>
          </cell>
          <cell r="B1771">
            <v>232</v>
          </cell>
        </row>
        <row r="1772">
          <cell r="A1772" t="str">
            <v>1RE1LPNS0154CEH-S5</v>
          </cell>
          <cell r="B1772">
            <v>233</v>
          </cell>
        </row>
        <row r="1773">
          <cell r="A1773" t="str">
            <v>1RE1LPNS0154CEH-S6</v>
          </cell>
          <cell r="B1773">
            <v>239</v>
          </cell>
        </row>
        <row r="1774">
          <cell r="A1774" t="str">
            <v>1RE1LPNS0154CEH-S7</v>
          </cell>
          <cell r="B1774">
            <v>239</v>
          </cell>
        </row>
        <row r="1775">
          <cell r="A1775" t="str">
            <v>1RE1LPNS0154CEHZA</v>
          </cell>
          <cell r="B1775">
            <v>238</v>
          </cell>
        </row>
        <row r="1776">
          <cell r="A1776" t="str">
            <v>1RE1LPNS0154H-R1</v>
          </cell>
          <cell r="B1776">
            <v>239</v>
          </cell>
        </row>
        <row r="1777">
          <cell r="A1777" t="str">
            <v>1RE1LPNS0154HZA</v>
          </cell>
          <cell r="B1777">
            <v>238</v>
          </cell>
        </row>
        <row r="1778">
          <cell r="A1778" t="str">
            <v>1RE1LPNS0154LAH-R1</v>
          </cell>
          <cell r="B1778">
            <v>239</v>
          </cell>
        </row>
        <row r="1779">
          <cell r="A1779" t="str">
            <v>1RE1LPNS1000BXS1</v>
          </cell>
          <cell r="B1779">
            <v>491</v>
          </cell>
        </row>
        <row r="1780">
          <cell r="A1780" t="str">
            <v>1RE1LPNS1KXG1ZA</v>
          </cell>
          <cell r="B1780">
            <v>491</v>
          </cell>
        </row>
        <row r="1781">
          <cell r="A1781" t="str">
            <v>1RE1LPNS1KXGZA</v>
          </cell>
          <cell r="B1781">
            <v>3</v>
          </cell>
        </row>
        <row r="1782">
          <cell r="A1782" t="str">
            <v>1RE1LPNS300BX1S2</v>
          </cell>
          <cell r="B1782">
            <v>321</v>
          </cell>
        </row>
        <row r="1783">
          <cell r="A1783" t="str">
            <v>1RE1LPNS300BX1S3</v>
          </cell>
          <cell r="B1783">
            <v>321</v>
          </cell>
        </row>
        <row r="1784">
          <cell r="A1784" t="str">
            <v>1RE1LPNS300BX1S4</v>
          </cell>
          <cell r="B1784">
            <v>328</v>
          </cell>
        </row>
        <row r="1785">
          <cell r="A1785" t="str">
            <v>1RE1LPNS300BX1ZA</v>
          </cell>
          <cell r="B1785">
            <v>328</v>
          </cell>
        </row>
        <row r="1786">
          <cell r="A1786" t="str">
            <v>1RE1LPNS300BX2S2</v>
          </cell>
          <cell r="B1786">
            <v>397</v>
          </cell>
        </row>
        <row r="1787">
          <cell r="A1787" t="str">
            <v>1RE1LPNS300BX2S3</v>
          </cell>
          <cell r="B1787">
            <v>414</v>
          </cell>
        </row>
        <row r="1788">
          <cell r="A1788" t="str">
            <v>1RE1LPNS300BX2S4</v>
          </cell>
          <cell r="B1788">
            <v>414</v>
          </cell>
        </row>
        <row r="1789">
          <cell r="A1789" t="str">
            <v>1RE1LPNS300BX2YA</v>
          </cell>
          <cell r="B1789">
            <v>449</v>
          </cell>
        </row>
        <row r="1790">
          <cell r="A1790" t="str">
            <v>1RE1LPNS300BX2ZA</v>
          </cell>
          <cell r="B1790">
            <v>414</v>
          </cell>
        </row>
        <row r="1791">
          <cell r="A1791" t="str">
            <v>1RE1LPNS300CPUZA</v>
          </cell>
          <cell r="B1791">
            <v>345</v>
          </cell>
        </row>
        <row r="1792">
          <cell r="A1792" t="str">
            <v>1RE1LPNS300SX2ZA</v>
          </cell>
          <cell r="B1792">
            <v>449</v>
          </cell>
        </row>
        <row r="1793">
          <cell r="A1793" t="str">
            <v>1RE1LPNS320BX1S2</v>
          </cell>
          <cell r="B1793">
            <v>272</v>
          </cell>
        </row>
        <row r="1794">
          <cell r="A1794" t="str">
            <v>1RE1LPNS320BX1S3</v>
          </cell>
          <cell r="B1794">
            <v>272</v>
          </cell>
        </row>
        <row r="1795">
          <cell r="A1795" t="str">
            <v>1RE1LPNS320BX1S4</v>
          </cell>
          <cell r="B1795">
            <v>273</v>
          </cell>
        </row>
        <row r="1796">
          <cell r="A1796" t="str">
            <v>1RE1LPNS320BX1ZA</v>
          </cell>
          <cell r="B1796">
            <v>275</v>
          </cell>
        </row>
        <row r="1797">
          <cell r="A1797" t="str">
            <v>1RE1LPNS320BX2S2</v>
          </cell>
          <cell r="B1797">
            <v>294</v>
          </cell>
        </row>
        <row r="1798">
          <cell r="A1798" t="str">
            <v>1RE1LPNS320BX2S3</v>
          </cell>
          <cell r="B1798">
            <v>304</v>
          </cell>
        </row>
        <row r="1799">
          <cell r="A1799" t="str">
            <v>1RE1LPNS320BX2S4</v>
          </cell>
          <cell r="B1799">
            <v>304</v>
          </cell>
        </row>
        <row r="1800">
          <cell r="A1800" t="str">
            <v>1RE1LPNS320BX2YA</v>
          </cell>
          <cell r="B1800">
            <v>344</v>
          </cell>
        </row>
        <row r="1801">
          <cell r="A1801" t="str">
            <v>1RE1LPNS320BX2ZA</v>
          </cell>
          <cell r="B1801">
            <v>304</v>
          </cell>
        </row>
        <row r="1802">
          <cell r="A1802" t="str">
            <v>1RE1LPNS320CPUZA</v>
          </cell>
          <cell r="B1802">
            <v>319</v>
          </cell>
        </row>
        <row r="1803">
          <cell r="A1803" t="str">
            <v>1RE1LPNS500AG2S4</v>
          </cell>
          <cell r="B1803">
            <v>414</v>
          </cell>
        </row>
        <row r="1804">
          <cell r="A1804" t="str">
            <v>1RE1LPNS500AG2ZA</v>
          </cell>
          <cell r="B1804">
            <v>449</v>
          </cell>
        </row>
        <row r="1805">
          <cell r="A1805" t="str">
            <v>1RE1LPNS500BR2S4</v>
          </cell>
          <cell r="B1805">
            <v>414</v>
          </cell>
        </row>
        <row r="1806">
          <cell r="A1806" t="str">
            <v>1RE1LPNS500BR2YA</v>
          </cell>
          <cell r="B1806">
            <v>449</v>
          </cell>
        </row>
        <row r="1807">
          <cell r="A1807" t="str">
            <v>1RE1LPNS500BR2ZA</v>
          </cell>
          <cell r="B1807">
            <v>414</v>
          </cell>
        </row>
        <row r="1808">
          <cell r="A1808" t="str">
            <v>1RE1LPNS500BX1S1</v>
          </cell>
          <cell r="B1808">
            <v>315</v>
          </cell>
        </row>
        <row r="1809">
          <cell r="A1809" t="str">
            <v>1RE1LPNS500BX1S2</v>
          </cell>
          <cell r="B1809">
            <v>321</v>
          </cell>
        </row>
        <row r="1810">
          <cell r="A1810" t="str">
            <v>1RE1LPNS500BX1S3</v>
          </cell>
          <cell r="B1810">
            <v>321</v>
          </cell>
        </row>
        <row r="1811">
          <cell r="A1811" t="str">
            <v>1RE1LPNS500BX1S4</v>
          </cell>
          <cell r="B1811">
            <v>328</v>
          </cell>
        </row>
        <row r="1812">
          <cell r="A1812" t="str">
            <v>1RE1LPNS500BX1S5</v>
          </cell>
          <cell r="B1812">
            <v>328</v>
          </cell>
        </row>
        <row r="1813">
          <cell r="A1813" t="str">
            <v>1RE1LPNS500BX1ZA</v>
          </cell>
          <cell r="B1813">
            <v>328</v>
          </cell>
        </row>
        <row r="1814">
          <cell r="A1814" t="str">
            <v>1RE1LPNS500BX2ASS1</v>
          </cell>
          <cell r="B1814">
            <v>414</v>
          </cell>
        </row>
        <row r="1815">
          <cell r="A1815" t="str">
            <v>1RE1LPNS500BX2ASS2</v>
          </cell>
          <cell r="B1815">
            <v>411</v>
          </cell>
        </row>
        <row r="1816">
          <cell r="A1816" t="str">
            <v>1RE1LPNS500BX2ASS3</v>
          </cell>
          <cell r="B1816">
            <v>449</v>
          </cell>
        </row>
        <row r="1817">
          <cell r="A1817" t="str">
            <v>1RE1LPNS500BX2ASS4</v>
          </cell>
          <cell r="B1817">
            <v>449</v>
          </cell>
        </row>
        <row r="1818">
          <cell r="A1818" t="str">
            <v>1RE1LPNS500BX2S1</v>
          </cell>
          <cell r="B1818">
            <v>414</v>
          </cell>
        </row>
        <row r="1819">
          <cell r="A1819" t="str">
            <v>1RE1LPNS500BX2S2</v>
          </cell>
          <cell r="B1819">
            <v>397</v>
          </cell>
        </row>
        <row r="1820">
          <cell r="A1820" t="str">
            <v>1RE1LPNS500BX2S3</v>
          </cell>
          <cell r="B1820">
            <v>414</v>
          </cell>
        </row>
        <row r="1821">
          <cell r="A1821" t="str">
            <v>1RE1LPNS500BX2S4</v>
          </cell>
          <cell r="B1821">
            <v>414</v>
          </cell>
        </row>
        <row r="1822">
          <cell r="A1822" t="str">
            <v>1RE1LPNS500BX2S5</v>
          </cell>
          <cell r="B1822">
            <v>414</v>
          </cell>
        </row>
        <row r="1823">
          <cell r="A1823" t="str">
            <v>1RE1LPNS500BX2S7</v>
          </cell>
          <cell r="B1823">
            <v>411</v>
          </cell>
        </row>
        <row r="1824">
          <cell r="A1824" t="str">
            <v>1RE1LPNS500BX2YA</v>
          </cell>
          <cell r="B1824">
            <v>449</v>
          </cell>
        </row>
        <row r="1825">
          <cell r="A1825" t="str">
            <v>1RE1LPNS500BX2ZA</v>
          </cell>
          <cell r="B1825">
            <v>411</v>
          </cell>
        </row>
        <row r="1826">
          <cell r="A1826" t="str">
            <v>1RE1LPNS500CPUASS1</v>
          </cell>
          <cell r="B1826">
            <v>328</v>
          </cell>
        </row>
        <row r="1827">
          <cell r="A1827" t="str">
            <v>1RE1LPNS500CPUASS2</v>
          </cell>
          <cell r="B1827">
            <v>328</v>
          </cell>
        </row>
        <row r="1828">
          <cell r="A1828" t="str">
            <v>1RE1LPNS500CPUASS3</v>
          </cell>
          <cell r="B1828">
            <v>346</v>
          </cell>
        </row>
        <row r="1829">
          <cell r="A1829" t="str">
            <v>1RE1LPNS500CPUASS4</v>
          </cell>
          <cell r="B1829">
            <v>346</v>
          </cell>
        </row>
        <row r="1830">
          <cell r="A1830" t="str">
            <v>1RE1LPNS500CPUT1</v>
          </cell>
          <cell r="B1830">
            <v>339</v>
          </cell>
        </row>
        <row r="1831">
          <cell r="A1831" t="str">
            <v>1RE1LPNS500CPUZA</v>
          </cell>
          <cell r="B1831">
            <v>344</v>
          </cell>
        </row>
        <row r="1832">
          <cell r="A1832" t="str">
            <v>1RE1LPNS500SA2YA</v>
          </cell>
          <cell r="B1832">
            <v>449</v>
          </cell>
        </row>
        <row r="1833">
          <cell r="A1833" t="str">
            <v>1RE1LPNS500SA2ZA</v>
          </cell>
          <cell r="B1833">
            <v>414</v>
          </cell>
        </row>
        <row r="1834">
          <cell r="A1834" t="str">
            <v>1RE1LPNS5130XS5</v>
          </cell>
          <cell r="B1834">
            <v>111</v>
          </cell>
        </row>
        <row r="1835">
          <cell r="A1835" t="str">
            <v>1RE1LPNS5162XS5</v>
          </cell>
          <cell r="B1835">
            <v>1</v>
          </cell>
        </row>
        <row r="1836">
          <cell r="A1836" t="str">
            <v>1RE1LPNS5162XS7</v>
          </cell>
          <cell r="B1836">
            <v>1</v>
          </cell>
        </row>
        <row r="1837">
          <cell r="A1837" t="str">
            <v>1RE1LPNS5170XS5</v>
          </cell>
          <cell r="B1837">
            <v>232</v>
          </cell>
        </row>
        <row r="1838">
          <cell r="A1838" t="str">
            <v>1RE1LPNS5171XS5</v>
          </cell>
          <cell r="B1838">
            <v>321</v>
          </cell>
        </row>
        <row r="1839">
          <cell r="A1839" t="str">
            <v>1RE1LPNS5172XS5</v>
          </cell>
          <cell r="B1839">
            <v>537</v>
          </cell>
        </row>
        <row r="1840">
          <cell r="A1840" t="str">
            <v>1RE1LPNS5172XZA</v>
          </cell>
          <cell r="B1840">
            <v>537</v>
          </cell>
        </row>
        <row r="1841">
          <cell r="A1841" t="str">
            <v>1RE1LPNS5173XS5</v>
          </cell>
          <cell r="B1841">
            <v>139</v>
          </cell>
        </row>
        <row r="1842">
          <cell r="A1842" t="str">
            <v>1RE1LPNS5174XS5</v>
          </cell>
          <cell r="B1842">
            <v>266</v>
          </cell>
        </row>
        <row r="1843">
          <cell r="A1843" t="str">
            <v>1RE1LPNS5180XS5</v>
          </cell>
          <cell r="B1843">
            <v>161</v>
          </cell>
        </row>
        <row r="1844">
          <cell r="A1844" t="str">
            <v>1RE1LPNS520BX1S1</v>
          </cell>
          <cell r="B1844">
            <v>556</v>
          </cell>
        </row>
        <row r="1845">
          <cell r="A1845" t="str">
            <v>1RE1LPNS520BX1S2</v>
          </cell>
          <cell r="B1845">
            <v>272</v>
          </cell>
        </row>
        <row r="1846">
          <cell r="A1846" t="str">
            <v>1RE1LPNS520BX1S3</v>
          </cell>
          <cell r="B1846">
            <v>272</v>
          </cell>
        </row>
        <row r="1847">
          <cell r="A1847" t="str">
            <v>1RE1LPNS520BX1S4</v>
          </cell>
          <cell r="B1847">
            <v>273</v>
          </cell>
        </row>
        <row r="1848">
          <cell r="A1848" t="str">
            <v>1RE1LPNS520BX1S5</v>
          </cell>
          <cell r="B1848">
            <v>273</v>
          </cell>
        </row>
        <row r="1849">
          <cell r="A1849" t="str">
            <v>1RE1LPNS520BX1ZA</v>
          </cell>
          <cell r="B1849">
            <v>275</v>
          </cell>
        </row>
        <row r="1850">
          <cell r="A1850" t="str">
            <v>1RE1LPNS520BX2ASS1</v>
          </cell>
          <cell r="B1850">
            <v>304</v>
          </cell>
        </row>
        <row r="1851">
          <cell r="A1851" t="str">
            <v>1RE1LPNS520BX2ASS2</v>
          </cell>
          <cell r="B1851">
            <v>304</v>
          </cell>
        </row>
        <row r="1852">
          <cell r="A1852" t="str">
            <v>1RE1LPNS520BX2ASS3</v>
          </cell>
          <cell r="B1852">
            <v>344</v>
          </cell>
        </row>
        <row r="1853">
          <cell r="A1853" t="str">
            <v>1RE1LPNS520BX2ASS4</v>
          </cell>
          <cell r="B1853">
            <v>344</v>
          </cell>
        </row>
        <row r="1854">
          <cell r="A1854" t="str">
            <v>1RE1LPNS520BX2S2</v>
          </cell>
          <cell r="B1854">
            <v>294</v>
          </cell>
        </row>
        <row r="1855">
          <cell r="A1855" t="str">
            <v>1RE1LPNS520BX2S3</v>
          </cell>
          <cell r="B1855">
            <v>304</v>
          </cell>
        </row>
        <row r="1856">
          <cell r="A1856" t="str">
            <v>1RE1LPNS520BX2S4</v>
          </cell>
          <cell r="B1856">
            <v>304</v>
          </cell>
        </row>
        <row r="1857">
          <cell r="A1857" t="str">
            <v>1RE1LPNS520BX2S5</v>
          </cell>
          <cell r="B1857">
            <v>304</v>
          </cell>
        </row>
        <row r="1858">
          <cell r="A1858" t="str">
            <v>1RE1LPNS520BX2YA</v>
          </cell>
          <cell r="B1858">
            <v>344</v>
          </cell>
        </row>
        <row r="1859">
          <cell r="A1859" t="str">
            <v>1RE1LPNS520BX2ZA</v>
          </cell>
          <cell r="B1859">
            <v>304</v>
          </cell>
        </row>
        <row r="1860">
          <cell r="A1860" t="str">
            <v>1RE1LPNS520CPUASS1</v>
          </cell>
          <cell r="B1860">
            <v>270</v>
          </cell>
        </row>
        <row r="1861">
          <cell r="A1861" t="str">
            <v>1RE1LPNS520CPUASS2</v>
          </cell>
          <cell r="B1861">
            <v>270</v>
          </cell>
        </row>
        <row r="1862">
          <cell r="A1862" t="str">
            <v>1RE1LPNS520CPUASS3</v>
          </cell>
          <cell r="B1862">
            <v>321</v>
          </cell>
        </row>
        <row r="1863">
          <cell r="A1863" t="str">
            <v>1RE1LPNS520CPUASS4</v>
          </cell>
          <cell r="B1863">
            <v>321</v>
          </cell>
        </row>
        <row r="1864">
          <cell r="A1864" t="str">
            <v>1RE1LPNS520CPUZA</v>
          </cell>
          <cell r="B1864">
            <v>319</v>
          </cell>
        </row>
        <row r="1865">
          <cell r="A1865" t="str">
            <v>1RE1LPNS5290CES5</v>
          </cell>
          <cell r="B1865">
            <v>60</v>
          </cell>
        </row>
        <row r="1866">
          <cell r="A1866" t="str">
            <v>1RE1LPNS700AL2ZA</v>
          </cell>
          <cell r="B1866">
            <v>165</v>
          </cell>
        </row>
        <row r="1867">
          <cell r="A1867" t="str">
            <v>1RE1LPNS700BX1-S1</v>
          </cell>
          <cell r="B1867">
            <v>328</v>
          </cell>
        </row>
        <row r="1868">
          <cell r="A1868" t="str">
            <v>1RE1LPNS700BX1-S2</v>
          </cell>
          <cell r="B1868">
            <v>325</v>
          </cell>
        </row>
        <row r="1869">
          <cell r="A1869" t="str">
            <v>1RE1LPNS700BX2-S1</v>
          </cell>
          <cell r="B1869">
            <v>163</v>
          </cell>
        </row>
        <row r="1870">
          <cell r="A1870" t="str">
            <v>1RE1LPNS700BX2-S2</v>
          </cell>
          <cell r="B1870">
            <v>140</v>
          </cell>
        </row>
        <row r="1871">
          <cell r="A1871" t="str">
            <v>1RE1LPNS700BX2-S3</v>
          </cell>
          <cell r="B1871">
            <v>140</v>
          </cell>
        </row>
        <row r="1872">
          <cell r="A1872" t="str">
            <v>1RE1LPNS700BX2-S4</v>
          </cell>
          <cell r="B1872">
            <v>140</v>
          </cell>
        </row>
        <row r="1873">
          <cell r="A1873" t="str">
            <v>1RE1LPNS700BX2ZA</v>
          </cell>
          <cell r="B1873">
            <v>165</v>
          </cell>
        </row>
        <row r="1874">
          <cell r="A1874" t="str">
            <v>1RE1LPNS700CPU-S4</v>
          </cell>
          <cell r="B1874">
            <v>327</v>
          </cell>
        </row>
        <row r="1875">
          <cell r="A1875" t="str">
            <v>1RE1LPNS700CPUT1</v>
          </cell>
          <cell r="B1875">
            <v>339</v>
          </cell>
        </row>
        <row r="1876">
          <cell r="A1876" t="str">
            <v>1RE1LPNS700CPUZA</v>
          </cell>
          <cell r="B1876">
            <v>344</v>
          </cell>
        </row>
        <row r="1877">
          <cell r="A1877" t="str">
            <v>1RE1LPNS700M2ZA</v>
          </cell>
          <cell r="B1877">
            <v>168</v>
          </cell>
        </row>
        <row r="1878">
          <cell r="A1878" t="str">
            <v>1RE1LPNS720BX1-S1</v>
          </cell>
          <cell r="B1878">
            <v>274</v>
          </cell>
        </row>
        <row r="1879">
          <cell r="A1879" t="str">
            <v>1RE1LPNS720BX1-S2</v>
          </cell>
          <cell r="B1879">
            <v>277</v>
          </cell>
        </row>
        <row r="1880">
          <cell r="A1880" t="str">
            <v>1RE1LPNS720BX2-S1</v>
          </cell>
          <cell r="B1880">
            <v>43</v>
          </cell>
        </row>
        <row r="1881">
          <cell r="A1881" t="str">
            <v>1RE1LPNS720BX2-S2</v>
          </cell>
          <cell r="B1881">
            <v>52</v>
          </cell>
        </row>
        <row r="1882">
          <cell r="A1882" t="str">
            <v>1RE1LPNS720BX2-S3</v>
          </cell>
          <cell r="B1882">
            <v>52</v>
          </cell>
        </row>
        <row r="1883">
          <cell r="A1883" t="str">
            <v>1RE1LPNS720BX2-S4</v>
          </cell>
          <cell r="B1883">
            <v>52</v>
          </cell>
        </row>
        <row r="1884">
          <cell r="A1884" t="str">
            <v>1RE1LPNS720BX2ZA</v>
          </cell>
          <cell r="B1884">
            <v>68</v>
          </cell>
        </row>
        <row r="1885">
          <cell r="A1885" t="str">
            <v>1RE1LPNS720CPUZA</v>
          </cell>
          <cell r="B1885">
            <v>317</v>
          </cell>
        </row>
        <row r="1886">
          <cell r="A1886" t="str">
            <v>1RE1LPNSX2K1ZA</v>
          </cell>
          <cell r="B1886">
            <v>378</v>
          </cell>
        </row>
        <row r="1887">
          <cell r="A1887" t="str">
            <v>1RE1LPNSX2K1ZA-R1</v>
          </cell>
          <cell r="B1887">
            <v>380</v>
          </cell>
        </row>
        <row r="1888">
          <cell r="A1888" t="str">
            <v>1RE1LPNSX2K1ZA-S2</v>
          </cell>
          <cell r="B1888">
            <v>379</v>
          </cell>
        </row>
        <row r="1889">
          <cell r="A1889" t="str">
            <v>1RE1LPNT3461ZA</v>
          </cell>
          <cell r="B1889">
            <v>47</v>
          </cell>
        </row>
        <row r="1890">
          <cell r="A1890" t="str">
            <v>1RE1LPNT3661ZA</v>
          </cell>
          <cell r="B1890">
            <v>34</v>
          </cell>
        </row>
        <row r="1891">
          <cell r="A1891" t="str">
            <v>1RE1LPNT5051ZA</v>
          </cell>
          <cell r="B1891">
            <v>48</v>
          </cell>
        </row>
        <row r="1892">
          <cell r="A1892" t="str">
            <v>1RE1LPNT5051ZAR1</v>
          </cell>
          <cell r="B1892">
            <v>48</v>
          </cell>
        </row>
        <row r="1893">
          <cell r="A1893" t="str">
            <v>1RE1LPNT5051ZAS1</v>
          </cell>
          <cell r="B1893">
            <v>48</v>
          </cell>
        </row>
        <row r="1894">
          <cell r="A1894" t="str">
            <v>1RE1LPNT5051ZAS2</v>
          </cell>
          <cell r="B1894">
            <v>48</v>
          </cell>
        </row>
        <row r="1895">
          <cell r="A1895" t="str">
            <v>1RE1LPNT5051ZAS3</v>
          </cell>
          <cell r="B1895">
            <v>49</v>
          </cell>
        </row>
        <row r="1896">
          <cell r="A1896" t="str">
            <v>1RE1LPNT5111ZA</v>
          </cell>
          <cell r="B1896">
            <v>187</v>
          </cell>
        </row>
        <row r="1897">
          <cell r="A1897" t="str">
            <v>1RE1LPNT5111ZAS1</v>
          </cell>
          <cell r="B1897">
            <v>143</v>
          </cell>
        </row>
        <row r="1898">
          <cell r="A1898" t="str">
            <v>1RE1LPNT5111ZAS2</v>
          </cell>
          <cell r="B1898">
            <v>170</v>
          </cell>
        </row>
        <row r="1899">
          <cell r="A1899" t="str">
            <v>1RE1LPNT5112ZA</v>
          </cell>
          <cell r="B1899">
            <v>20</v>
          </cell>
        </row>
        <row r="1900">
          <cell r="A1900" t="str">
            <v>1RE1LPNT5112ZAS1</v>
          </cell>
          <cell r="B1900">
            <v>19</v>
          </cell>
        </row>
        <row r="1901">
          <cell r="A1901" t="str">
            <v>1RE1LPNT5112ZAS2</v>
          </cell>
          <cell r="B1901">
            <v>19</v>
          </cell>
        </row>
        <row r="1902">
          <cell r="A1902" t="str">
            <v>1RE1LPNT511CN1ZA</v>
          </cell>
          <cell r="B1902">
            <v>186</v>
          </cell>
        </row>
        <row r="1903">
          <cell r="A1903" t="str">
            <v>1RE1LPNT511P1ZA</v>
          </cell>
          <cell r="B1903">
            <v>187</v>
          </cell>
        </row>
        <row r="1904">
          <cell r="A1904" t="str">
            <v>1RE1LPNT511P1ZAS1</v>
          </cell>
          <cell r="B1904">
            <v>190</v>
          </cell>
        </row>
        <row r="1905">
          <cell r="A1905" t="str">
            <v>1RE1LPNT511P1ZAS2</v>
          </cell>
          <cell r="B1905">
            <v>183</v>
          </cell>
        </row>
        <row r="1906">
          <cell r="A1906" t="str">
            <v>1RE1LPNT511P2ZA</v>
          </cell>
          <cell r="B1906">
            <v>14</v>
          </cell>
        </row>
        <row r="1907">
          <cell r="A1907" t="str">
            <v>1RE1LPNT511P2ZAS1</v>
          </cell>
          <cell r="B1907">
            <v>14</v>
          </cell>
        </row>
        <row r="1908">
          <cell r="A1908" t="str">
            <v>1RE1LPNT511P3ZA</v>
          </cell>
          <cell r="B1908">
            <v>7</v>
          </cell>
        </row>
        <row r="1909">
          <cell r="A1909" t="str">
            <v>1RE1LPNT511P3ZAS1</v>
          </cell>
          <cell r="B1909">
            <v>7</v>
          </cell>
        </row>
        <row r="1910">
          <cell r="A1910" t="str">
            <v>1RE1LPNT511P3ZAS2</v>
          </cell>
          <cell r="B1910">
            <v>3</v>
          </cell>
        </row>
        <row r="1911">
          <cell r="A1911" t="str">
            <v>1RE1LPNT5431ZA</v>
          </cell>
          <cell r="B1911">
            <v>223</v>
          </cell>
        </row>
        <row r="1912">
          <cell r="A1912" t="str">
            <v>1RE1LPNT5431ZAR1</v>
          </cell>
          <cell r="B1912">
            <v>223</v>
          </cell>
        </row>
        <row r="1913">
          <cell r="A1913" t="str">
            <v>1RE1LPNT5431ZAS1</v>
          </cell>
          <cell r="B1913">
            <v>223</v>
          </cell>
        </row>
        <row r="1914">
          <cell r="A1914" t="str">
            <v>1RE1LPNT5461ZA</v>
          </cell>
          <cell r="B1914">
            <v>223</v>
          </cell>
        </row>
        <row r="1915">
          <cell r="A1915" t="str">
            <v>1RE1LPNT5461ZAR1</v>
          </cell>
          <cell r="B1915">
            <v>223</v>
          </cell>
        </row>
        <row r="1916">
          <cell r="A1916" t="str">
            <v>1RE1LPNT5461ZAS1</v>
          </cell>
          <cell r="B1916">
            <v>223</v>
          </cell>
        </row>
        <row r="1917">
          <cell r="A1917" t="str">
            <v>1RE1LPNT5462ZA</v>
          </cell>
          <cell r="B1917">
            <v>197</v>
          </cell>
        </row>
        <row r="1918">
          <cell r="A1918" t="str">
            <v>1RE1LPNT5462ZAR1</v>
          </cell>
          <cell r="B1918">
            <v>195</v>
          </cell>
        </row>
        <row r="1919">
          <cell r="A1919" t="str">
            <v>1RE1LPNT5462ZAS1</v>
          </cell>
          <cell r="B1919">
            <v>195</v>
          </cell>
        </row>
        <row r="1920">
          <cell r="A1920" t="str">
            <v>1RE1LPNT5511ZA</v>
          </cell>
          <cell r="B1920">
            <v>266</v>
          </cell>
        </row>
        <row r="1921">
          <cell r="A1921" t="str">
            <v>1RE1LPNT5511ZAR1</v>
          </cell>
          <cell r="B1921">
            <v>264</v>
          </cell>
        </row>
        <row r="1922">
          <cell r="A1922" t="str">
            <v>1RE1LPNT5511ZAS1</v>
          </cell>
          <cell r="B1922">
            <v>261</v>
          </cell>
        </row>
        <row r="1923">
          <cell r="A1923" t="str">
            <v>1RE1LPNT5511ZAS2</v>
          </cell>
          <cell r="B1923">
            <v>254</v>
          </cell>
        </row>
        <row r="1924">
          <cell r="A1924" t="str">
            <v>1RE1LPNT5511ZAS3</v>
          </cell>
          <cell r="B1924">
            <v>263</v>
          </cell>
        </row>
        <row r="1925">
          <cell r="A1925" t="str">
            <v>1RE1LPNT5511ZAS4</v>
          </cell>
          <cell r="B1925">
            <v>266</v>
          </cell>
        </row>
        <row r="1926">
          <cell r="A1926" t="str">
            <v>1RE1LPNT5512ZA</v>
          </cell>
          <cell r="B1926">
            <v>75</v>
          </cell>
        </row>
        <row r="1927">
          <cell r="A1927" t="str">
            <v>1RE1LPNT5512ZAR1</v>
          </cell>
          <cell r="B1927">
            <v>78</v>
          </cell>
        </row>
        <row r="1928">
          <cell r="A1928" t="str">
            <v>1RE1LPNT5512ZAS1</v>
          </cell>
          <cell r="B1928">
            <v>78</v>
          </cell>
        </row>
        <row r="1929">
          <cell r="A1929" t="str">
            <v>1RE1LPNT5512ZAS2</v>
          </cell>
          <cell r="B1929">
            <v>78</v>
          </cell>
        </row>
        <row r="1930">
          <cell r="A1930" t="str">
            <v>1RE1LPNT5512ZAS3</v>
          </cell>
          <cell r="B1930">
            <v>78</v>
          </cell>
        </row>
        <row r="1931">
          <cell r="A1931" t="str">
            <v>1RE1LPNT551CN1ZA</v>
          </cell>
          <cell r="B1931">
            <v>266</v>
          </cell>
        </row>
        <row r="1932">
          <cell r="A1932" t="str">
            <v>1RE1LPNT5531ZA</v>
          </cell>
          <cell r="B1932">
            <v>274</v>
          </cell>
        </row>
        <row r="1933">
          <cell r="A1933" t="str">
            <v>1RE1LPNT5531ZAR1</v>
          </cell>
          <cell r="B1933">
            <v>272</v>
          </cell>
        </row>
        <row r="1934">
          <cell r="A1934" t="str">
            <v>1RE1LPNT5531ZAS2</v>
          </cell>
          <cell r="B1934">
            <v>262</v>
          </cell>
        </row>
        <row r="1935">
          <cell r="A1935" t="str">
            <v>1RE1LPNT5531ZAS3</v>
          </cell>
          <cell r="B1935">
            <v>271</v>
          </cell>
        </row>
        <row r="1936">
          <cell r="A1936" t="str">
            <v>1RE1LPNT5532ZAS1</v>
          </cell>
          <cell r="B1936">
            <v>157</v>
          </cell>
        </row>
        <row r="1937">
          <cell r="A1937" t="str">
            <v>1RE1LPNT5561ZA</v>
          </cell>
          <cell r="B1937">
            <v>274</v>
          </cell>
        </row>
        <row r="1938">
          <cell r="A1938" t="str">
            <v>1RE1LPNT5561ZAR1</v>
          </cell>
          <cell r="B1938">
            <v>273</v>
          </cell>
        </row>
        <row r="1939">
          <cell r="A1939" t="str">
            <v>1RE1LPNT5561ZAS2</v>
          </cell>
          <cell r="B1939">
            <v>262</v>
          </cell>
        </row>
        <row r="1940">
          <cell r="A1940" t="str">
            <v>1RE1LPNT5561ZAS3</v>
          </cell>
          <cell r="B1940">
            <v>271</v>
          </cell>
        </row>
        <row r="1941">
          <cell r="A1941" t="str">
            <v>1RE1LPNT5561ZAS4</v>
          </cell>
          <cell r="B1941">
            <v>274</v>
          </cell>
        </row>
        <row r="1942">
          <cell r="A1942" t="str">
            <v>1RE1LPNT5562ZA</v>
          </cell>
          <cell r="B1942">
            <v>183</v>
          </cell>
        </row>
        <row r="1943">
          <cell r="A1943" t="str">
            <v>1RE1LPNT5562ZAR1</v>
          </cell>
          <cell r="B1943">
            <v>161</v>
          </cell>
        </row>
        <row r="1944">
          <cell r="A1944" t="str">
            <v>1RE1LPNT5562ZAS2</v>
          </cell>
          <cell r="B1944">
            <v>161</v>
          </cell>
        </row>
        <row r="1945">
          <cell r="A1945" t="str">
            <v>1RE1LPNT5562ZAS3</v>
          </cell>
          <cell r="B1945">
            <v>161</v>
          </cell>
        </row>
        <row r="1946">
          <cell r="A1946" t="str">
            <v>1RE1LPNT5601ZA</v>
          </cell>
          <cell r="B1946">
            <v>328</v>
          </cell>
        </row>
        <row r="1947">
          <cell r="A1947" t="str">
            <v>1RE1LPNT5601ZAS1</v>
          </cell>
          <cell r="B1947">
            <v>328</v>
          </cell>
        </row>
        <row r="1948">
          <cell r="A1948" t="str">
            <v>1RE1LPNT5602ZA</v>
          </cell>
          <cell r="B1948">
            <v>169</v>
          </cell>
        </row>
        <row r="1949">
          <cell r="A1949" t="str">
            <v>1RE1LPNT5602ZAS1</v>
          </cell>
          <cell r="B1949">
            <v>168</v>
          </cell>
        </row>
        <row r="1950">
          <cell r="A1950" t="str">
            <v>1RE1LPNT6301XZA</v>
          </cell>
          <cell r="B1950">
            <v>97</v>
          </cell>
        </row>
        <row r="1951">
          <cell r="A1951" t="str">
            <v>1RE1LPNT6301ZA</v>
          </cell>
          <cell r="B1951">
            <v>97</v>
          </cell>
        </row>
        <row r="1952">
          <cell r="A1952" t="str">
            <v>1RE1LPNT6301ZA-R1</v>
          </cell>
          <cell r="B1952">
            <v>97</v>
          </cell>
        </row>
        <row r="1953">
          <cell r="A1953" t="str">
            <v>1RE1LPNT6301ZA-S2</v>
          </cell>
          <cell r="B1953">
            <v>96</v>
          </cell>
        </row>
        <row r="1954">
          <cell r="A1954" t="str">
            <v>1RE1LPNT6801XZA</v>
          </cell>
          <cell r="B1954">
            <v>145</v>
          </cell>
        </row>
        <row r="1955">
          <cell r="A1955" t="str">
            <v>1RE1LPNT6801ZA</v>
          </cell>
          <cell r="B1955">
            <v>145</v>
          </cell>
        </row>
        <row r="1956">
          <cell r="A1956" t="str">
            <v>1RE1LPNT6801ZA-R1</v>
          </cell>
          <cell r="B1956">
            <v>145</v>
          </cell>
        </row>
        <row r="1957">
          <cell r="A1957" t="str">
            <v>1RE1LPNT6801ZA-S2</v>
          </cell>
          <cell r="B1957">
            <v>130</v>
          </cell>
        </row>
        <row r="1958">
          <cell r="A1958" t="str">
            <v>1RE1LPPL100RAMZAR1</v>
          </cell>
          <cell r="B1958">
            <v>144</v>
          </cell>
        </row>
        <row r="1959">
          <cell r="A1959" t="str">
            <v>1RE1LPPL200REMZA</v>
          </cell>
          <cell r="B1959">
            <v>143</v>
          </cell>
        </row>
        <row r="1960">
          <cell r="A1960" t="str">
            <v>1RE1LPPL200REMZAG3</v>
          </cell>
          <cell r="B1960">
            <v>144</v>
          </cell>
        </row>
        <row r="1961">
          <cell r="A1961" t="str">
            <v>1RE1LPPL200REMZAR1</v>
          </cell>
          <cell r="B1961">
            <v>143</v>
          </cell>
        </row>
        <row r="1962">
          <cell r="A1962" t="str">
            <v>1RE1LPPL200REMZAR2</v>
          </cell>
          <cell r="B1962">
            <v>143</v>
          </cell>
        </row>
        <row r="1963">
          <cell r="A1963" t="str">
            <v>1RE1LPPL200REMZAS2</v>
          </cell>
          <cell r="B1963">
            <v>142</v>
          </cell>
        </row>
        <row r="1964">
          <cell r="A1964" t="str">
            <v>1RE1LPPU100GMZA</v>
          </cell>
          <cell r="B1964">
            <v>167</v>
          </cell>
        </row>
        <row r="1965">
          <cell r="A1965" t="str">
            <v>1RE1LPPU100GMZA-R1</v>
          </cell>
          <cell r="B1965">
            <v>167</v>
          </cell>
        </row>
        <row r="1966">
          <cell r="A1966" t="str">
            <v>1RE1LPPU100GMZA-S1</v>
          </cell>
          <cell r="B1966">
            <v>187</v>
          </cell>
        </row>
        <row r="1967">
          <cell r="A1967" t="str">
            <v>1RE1LPPU100GMZA-S2</v>
          </cell>
          <cell r="B1967">
            <v>190</v>
          </cell>
        </row>
        <row r="1968">
          <cell r="A1968" t="str">
            <v>1RE1LPPU100GPZA</v>
          </cell>
          <cell r="B1968">
            <v>14</v>
          </cell>
        </row>
        <row r="1969">
          <cell r="A1969" t="str">
            <v>1RE1LPPU100GPZA-R1</v>
          </cell>
          <cell r="B1969">
            <v>14</v>
          </cell>
        </row>
        <row r="1970">
          <cell r="A1970" t="str">
            <v>1RE1LPPU100GPZA-S1</v>
          </cell>
          <cell r="B1970">
            <v>12</v>
          </cell>
        </row>
        <row r="1971">
          <cell r="A1971" t="str">
            <v>1RE1LPPU100GPZA-S2</v>
          </cell>
          <cell r="B1971">
            <v>12</v>
          </cell>
        </row>
        <row r="1972">
          <cell r="A1972" t="str">
            <v>1RE1LPPU100NMZA</v>
          </cell>
          <cell r="B1972">
            <v>167</v>
          </cell>
        </row>
        <row r="1973">
          <cell r="A1973" t="str">
            <v>1RE1LPPU100NMZA-R1</v>
          </cell>
          <cell r="B1973">
            <v>167</v>
          </cell>
        </row>
        <row r="1974">
          <cell r="A1974" t="str">
            <v>1RE1LPPU100NMZA-S1</v>
          </cell>
          <cell r="B1974">
            <v>187</v>
          </cell>
        </row>
        <row r="1975">
          <cell r="A1975" t="str">
            <v>1RE1LPPU100NMZA-S2</v>
          </cell>
          <cell r="B1975">
            <v>190</v>
          </cell>
        </row>
        <row r="1976">
          <cell r="A1976" t="str">
            <v>1RE1LPPU100NPZA</v>
          </cell>
          <cell r="B1976">
            <v>14</v>
          </cell>
        </row>
        <row r="1977">
          <cell r="A1977" t="str">
            <v>1RE1LPPU100NPZA-R1</v>
          </cell>
          <cell r="B1977">
            <v>14</v>
          </cell>
        </row>
        <row r="1978">
          <cell r="A1978" t="str">
            <v>1RE1LPPU100NPZA-S1</v>
          </cell>
          <cell r="B1978">
            <v>12</v>
          </cell>
        </row>
        <row r="1979">
          <cell r="A1979" t="str">
            <v>1RE1LPPU100NPZA-S2</v>
          </cell>
          <cell r="B1979">
            <v>12</v>
          </cell>
        </row>
        <row r="1980">
          <cell r="A1980" t="str">
            <v>1RE1LPPU101NMZA-S1</v>
          </cell>
          <cell r="B1980">
            <v>187</v>
          </cell>
        </row>
        <row r="1981">
          <cell r="A1981" t="str">
            <v>1RE1LPPU102NPZA</v>
          </cell>
          <cell r="B1981">
            <v>14</v>
          </cell>
        </row>
        <row r="1982">
          <cell r="A1982" t="str">
            <v>1RE1LPPU102NPZA-R1</v>
          </cell>
          <cell r="B1982">
            <v>14</v>
          </cell>
        </row>
        <row r="1983">
          <cell r="A1983" t="str">
            <v>1RE1LPPU102NPZA-S2</v>
          </cell>
          <cell r="B1983">
            <v>12</v>
          </cell>
        </row>
        <row r="1984">
          <cell r="A1984" t="str">
            <v>1RE1LPPU103NPZA-S1</v>
          </cell>
          <cell r="B1984">
            <v>12</v>
          </cell>
        </row>
        <row r="1985">
          <cell r="A1985" t="str">
            <v>1RE1LPS1015CMZA</v>
          </cell>
          <cell r="B1985">
            <v>304</v>
          </cell>
        </row>
        <row r="1986">
          <cell r="A1986" t="str">
            <v>1RE1LPS1026CMK1V</v>
          </cell>
          <cell r="B1986">
            <v>303</v>
          </cell>
        </row>
        <row r="1987">
          <cell r="A1987" t="str">
            <v>1RE1LPS1026CMZA</v>
          </cell>
          <cell r="B1987">
            <v>304</v>
          </cell>
        </row>
        <row r="1988">
          <cell r="A1988" t="str">
            <v>1RE1LPS1027CMZA</v>
          </cell>
          <cell r="B1988">
            <v>550</v>
          </cell>
        </row>
        <row r="1989">
          <cell r="A1989" t="str">
            <v>1RE1LPS1027CMZAK1</v>
          </cell>
          <cell r="B1989">
            <v>549</v>
          </cell>
        </row>
        <row r="1990">
          <cell r="A1990" t="str">
            <v>1RE1LPS1027CMZAS1</v>
          </cell>
          <cell r="B1990">
            <v>601</v>
          </cell>
        </row>
        <row r="1991">
          <cell r="A1991" t="str">
            <v>1RE1LPS1028YM-R1</v>
          </cell>
          <cell r="B1991">
            <v>632</v>
          </cell>
        </row>
        <row r="1992">
          <cell r="A1992" t="str">
            <v>1RE1LPS1028YM-S1</v>
          </cell>
          <cell r="B1992">
            <v>632</v>
          </cell>
        </row>
        <row r="1993">
          <cell r="A1993" t="str">
            <v>1RE1LPS1028YMZA</v>
          </cell>
          <cell r="B1993">
            <v>644</v>
          </cell>
        </row>
        <row r="1994">
          <cell r="A1994" t="str">
            <v>1RE1LPS1057CMZA</v>
          </cell>
          <cell r="B1994">
            <v>700</v>
          </cell>
        </row>
        <row r="1995">
          <cell r="A1995" t="str">
            <v>1RE1LPS1057CMZAK1</v>
          </cell>
          <cell r="B1995">
            <v>700</v>
          </cell>
        </row>
        <row r="1996">
          <cell r="A1996" t="str">
            <v>1RE1LPS1057CMZAS1</v>
          </cell>
          <cell r="B1996">
            <v>689</v>
          </cell>
        </row>
        <row r="1997">
          <cell r="A1997" t="str">
            <v>1RE1LPS1058YM-R1</v>
          </cell>
          <cell r="B1997">
            <v>663</v>
          </cell>
        </row>
        <row r="1998">
          <cell r="A1998" t="str">
            <v>1RE1LPS1058YM-S1</v>
          </cell>
          <cell r="B1998">
            <v>650</v>
          </cell>
        </row>
        <row r="1999">
          <cell r="A1999" t="str">
            <v>1RE1LPS1058YMZA</v>
          </cell>
          <cell r="B1999">
            <v>663</v>
          </cell>
        </row>
        <row r="2000">
          <cell r="A2000" t="str">
            <v>1RE1LPS1065CVMWAR1</v>
          </cell>
          <cell r="B2000">
            <v>603</v>
          </cell>
        </row>
        <row r="2001">
          <cell r="A2001" t="str">
            <v>1RE1LPS2087HL-S1</v>
          </cell>
          <cell r="B2001">
            <v>1</v>
          </cell>
        </row>
        <row r="2002">
          <cell r="A2002" t="str">
            <v>1RE1LPS2087HM-S1</v>
          </cell>
          <cell r="B2002">
            <v>1189</v>
          </cell>
        </row>
        <row r="2003">
          <cell r="A2003" t="str">
            <v>1RE1LPS2087HP-S1</v>
          </cell>
          <cell r="B2003">
            <v>26</v>
          </cell>
        </row>
        <row r="2004">
          <cell r="A2004" t="str">
            <v>1RE1LPS2087J1BMZA</v>
          </cell>
          <cell r="B2004">
            <v>7</v>
          </cell>
        </row>
        <row r="2005">
          <cell r="A2005" t="str">
            <v>1RE1LPS2087JBMZAR1</v>
          </cell>
          <cell r="B2005">
            <v>7</v>
          </cell>
        </row>
        <row r="2006">
          <cell r="A2006" t="str">
            <v>1RE1LPS2087L-R1</v>
          </cell>
          <cell r="B2006">
            <v>1</v>
          </cell>
        </row>
        <row r="2007">
          <cell r="A2007" t="str">
            <v>1RE1LPS2087LZA</v>
          </cell>
          <cell r="B2007">
            <v>1</v>
          </cell>
        </row>
        <row r="2008">
          <cell r="A2008" t="str">
            <v>1RE1LPS2087M-R1</v>
          </cell>
          <cell r="B2008">
            <v>1171</v>
          </cell>
        </row>
        <row r="2009">
          <cell r="A2009" t="str">
            <v>1RE1LPS2087MZA</v>
          </cell>
          <cell r="B2009">
            <v>1172</v>
          </cell>
        </row>
        <row r="2010">
          <cell r="A2010" t="str">
            <v>1RE1LPS2087P-R1</v>
          </cell>
          <cell r="B2010">
            <v>26</v>
          </cell>
        </row>
        <row r="2011">
          <cell r="A2011" t="str">
            <v>1RE1LPS2087PZA</v>
          </cell>
          <cell r="B2011">
            <v>26</v>
          </cell>
        </row>
        <row r="2012">
          <cell r="A2012" t="str">
            <v>1RE1LPS5076HMZAR1</v>
          </cell>
          <cell r="B2012">
            <v>1011</v>
          </cell>
        </row>
        <row r="2013">
          <cell r="A2013" t="str">
            <v>1RE1LPS7097D-S1</v>
          </cell>
          <cell r="B2013">
            <v>136</v>
          </cell>
        </row>
        <row r="2014">
          <cell r="A2014" t="str">
            <v>1RE1LPS7097M-S1</v>
          </cell>
          <cell r="B2014">
            <v>819</v>
          </cell>
        </row>
        <row r="2015">
          <cell r="A2015" t="str">
            <v>1RE1LPS7097M-S2</v>
          </cell>
          <cell r="B2015">
            <v>819</v>
          </cell>
        </row>
        <row r="2016">
          <cell r="A2016" t="str">
            <v>1RE1LPS7097R-S1</v>
          </cell>
          <cell r="B2016">
            <v>206</v>
          </cell>
        </row>
        <row r="2017">
          <cell r="A2017" t="str">
            <v>1RE1LPS8120MZA</v>
          </cell>
          <cell r="B2017">
            <v>950</v>
          </cell>
        </row>
        <row r="2018">
          <cell r="A2018" t="str">
            <v>1RE1LPS8127D-R1</v>
          </cell>
          <cell r="B2018">
            <v>133</v>
          </cell>
        </row>
        <row r="2019">
          <cell r="A2019" t="str">
            <v>1RE1LPS8127DZA</v>
          </cell>
          <cell r="B2019">
            <v>133</v>
          </cell>
        </row>
        <row r="2020">
          <cell r="A2020" t="str">
            <v>1RE1LPS8127L-R1</v>
          </cell>
          <cell r="B2020">
            <v>50</v>
          </cell>
        </row>
        <row r="2021">
          <cell r="A2021" t="str">
            <v>1RE1LPS8127M-R1</v>
          </cell>
          <cell r="B2021">
            <v>950</v>
          </cell>
        </row>
        <row r="2022">
          <cell r="A2022" t="str">
            <v>1RE1LPS8127MZA</v>
          </cell>
          <cell r="B2022">
            <v>950</v>
          </cell>
        </row>
        <row r="2023">
          <cell r="A2023" t="str">
            <v>1RE1LPS8127R-R1</v>
          </cell>
          <cell r="B2023">
            <v>458</v>
          </cell>
        </row>
        <row r="2024">
          <cell r="A2024" t="str">
            <v>1RE1LPS8127RZA</v>
          </cell>
          <cell r="B2024">
            <v>462</v>
          </cell>
        </row>
        <row r="2025">
          <cell r="A2025" t="str">
            <v>1RE1LPS8127ZVMZA</v>
          </cell>
          <cell r="B2025">
            <v>950</v>
          </cell>
        </row>
        <row r="2026">
          <cell r="A2026" t="str">
            <v>1RE1LPS8130MZA</v>
          </cell>
          <cell r="B2026">
            <v>958</v>
          </cell>
        </row>
        <row r="2027">
          <cell r="A2027" t="str">
            <v>1RE1LPS8130RZA</v>
          </cell>
          <cell r="B2027">
            <v>632</v>
          </cell>
        </row>
        <row r="2028">
          <cell r="A2028" t="str">
            <v>1RE1LPS8147D-R1</v>
          </cell>
          <cell r="B2028">
            <v>166</v>
          </cell>
        </row>
        <row r="2029">
          <cell r="A2029" t="str">
            <v>1RE1LPS8147DZA</v>
          </cell>
          <cell r="B2029">
            <v>166</v>
          </cell>
        </row>
        <row r="2030">
          <cell r="A2030" t="str">
            <v>1RE1LPS8147L-R1</v>
          </cell>
          <cell r="B2030">
            <v>50</v>
          </cell>
        </row>
        <row r="2031">
          <cell r="A2031" t="str">
            <v>1RE1LPS8147LZA</v>
          </cell>
          <cell r="B2031">
            <v>50</v>
          </cell>
        </row>
        <row r="2032">
          <cell r="A2032" t="str">
            <v>1RE1LPS8147M-R1</v>
          </cell>
          <cell r="B2032">
            <v>958</v>
          </cell>
        </row>
        <row r="2033">
          <cell r="A2033" t="str">
            <v>1RE1LPS8147MZA</v>
          </cell>
          <cell r="B2033">
            <v>958</v>
          </cell>
        </row>
        <row r="2034">
          <cell r="A2034" t="str">
            <v>1RE1LPS8147R-R1</v>
          </cell>
          <cell r="B2034">
            <v>628</v>
          </cell>
        </row>
        <row r="2035">
          <cell r="A2035" t="str">
            <v>1RE1LPS8147RZA</v>
          </cell>
          <cell r="B2035">
            <v>632</v>
          </cell>
        </row>
        <row r="2036">
          <cell r="A2036" t="str">
            <v>1RE1LPS8147ZVLZA</v>
          </cell>
          <cell r="B2036">
            <v>50</v>
          </cell>
        </row>
        <row r="2037">
          <cell r="A2037" t="str">
            <v>1RE1LPS8147ZVMZA</v>
          </cell>
          <cell r="B2037">
            <v>958</v>
          </cell>
        </row>
        <row r="2038">
          <cell r="A2038" t="str">
            <v>1RE1LPS8150MZA</v>
          </cell>
          <cell r="B2038">
            <v>958</v>
          </cell>
        </row>
        <row r="2039">
          <cell r="A2039" t="str">
            <v>1RE1LPSL1056MZA</v>
          </cell>
          <cell r="B2039">
            <v>511</v>
          </cell>
        </row>
        <row r="2040">
          <cell r="A2040" t="str">
            <v>1RE1LPSL1056MZAK1</v>
          </cell>
          <cell r="B2040">
            <v>510</v>
          </cell>
        </row>
        <row r="2041">
          <cell r="A2041" t="str">
            <v>1RE1LPSL1056MZAS1</v>
          </cell>
          <cell r="B2041">
            <v>517</v>
          </cell>
        </row>
        <row r="2042">
          <cell r="A2042" t="str">
            <v>1RE1LPSL1066MZA</v>
          </cell>
          <cell r="B2042">
            <v>661</v>
          </cell>
        </row>
        <row r="2043">
          <cell r="A2043" t="str">
            <v>1RE1LPSL1066MZAK1</v>
          </cell>
          <cell r="B2043">
            <v>661</v>
          </cell>
        </row>
        <row r="2044">
          <cell r="A2044" t="str">
            <v>1RE1LPSL1066MZAS1</v>
          </cell>
          <cell r="B2044">
            <v>671</v>
          </cell>
        </row>
        <row r="2045">
          <cell r="A2045" t="str">
            <v>1RE1LPSL3056M-R1</v>
          </cell>
          <cell r="B2045">
            <v>600</v>
          </cell>
        </row>
        <row r="2046">
          <cell r="A2046" t="str">
            <v>1RE1LPSL3056M-S1</v>
          </cell>
          <cell r="B2046">
            <v>595</v>
          </cell>
        </row>
        <row r="2047">
          <cell r="A2047" t="str">
            <v>1RE1LPSL3056MZA</v>
          </cell>
          <cell r="B2047">
            <v>590</v>
          </cell>
        </row>
        <row r="2048">
          <cell r="A2048" t="str">
            <v>1RE1LPSL3066M-R1</v>
          </cell>
          <cell r="B2048">
            <v>623</v>
          </cell>
        </row>
        <row r="2049">
          <cell r="A2049" t="str">
            <v>1RE1LPSL3066M-S1</v>
          </cell>
          <cell r="B2049">
            <v>618</v>
          </cell>
        </row>
        <row r="2050">
          <cell r="A2050" t="str">
            <v>1RE1LPSL3066MZA</v>
          </cell>
          <cell r="B2050">
            <v>613</v>
          </cell>
        </row>
        <row r="2051">
          <cell r="A2051" t="str">
            <v>1RE1LPT77301ZA</v>
          </cell>
          <cell r="B2051">
            <v>4</v>
          </cell>
        </row>
        <row r="2052">
          <cell r="A2052" t="str">
            <v>1RE1LPTCA185BRRZA</v>
          </cell>
          <cell r="B2052">
            <v>14</v>
          </cell>
        </row>
        <row r="2053">
          <cell r="A2053" t="str">
            <v>1RE1LPTCA185CERR1</v>
          </cell>
          <cell r="B2053">
            <v>217</v>
          </cell>
        </row>
        <row r="2054">
          <cell r="A2054" t="str">
            <v>1RE1LPTCA185CERZA</v>
          </cell>
          <cell r="B2054">
            <v>14</v>
          </cell>
        </row>
        <row r="2055">
          <cell r="A2055" t="str">
            <v>1RE1LPTCA185RR1</v>
          </cell>
          <cell r="B2055">
            <v>15</v>
          </cell>
        </row>
        <row r="2056">
          <cell r="A2056" t="str">
            <v>1RE1LPTCA185RURZA</v>
          </cell>
          <cell r="B2056">
            <v>15</v>
          </cell>
        </row>
        <row r="2057">
          <cell r="A2057" t="str">
            <v>1RE1LPTCA185RZA</v>
          </cell>
          <cell r="B2057">
            <v>14</v>
          </cell>
        </row>
        <row r="2058">
          <cell r="A2058" t="str">
            <v>1RE1LPTCA285BRRZA</v>
          </cell>
          <cell r="B2058">
            <v>26</v>
          </cell>
        </row>
        <row r="2059">
          <cell r="A2059" t="str">
            <v>1RE1LPTCA285CERR1</v>
          </cell>
          <cell r="B2059">
            <v>26</v>
          </cell>
        </row>
        <row r="2060">
          <cell r="A2060" t="str">
            <v>1RE1LPTCA285CERZA</v>
          </cell>
          <cell r="B2060">
            <v>26</v>
          </cell>
        </row>
        <row r="2061">
          <cell r="A2061" t="str">
            <v>1RE1LPTCA285RR1</v>
          </cell>
          <cell r="B2061">
            <v>26</v>
          </cell>
        </row>
        <row r="2062">
          <cell r="A2062" t="str">
            <v>1RE1LPTCA285RURZA</v>
          </cell>
          <cell r="B2062">
            <v>25</v>
          </cell>
        </row>
        <row r="2063">
          <cell r="A2063" t="str">
            <v>1RE1LPTCA285RZA</v>
          </cell>
          <cell r="B2063">
            <v>25</v>
          </cell>
        </row>
        <row r="2064">
          <cell r="A2064" t="str">
            <v>1RE1LPTCA385BRRZA</v>
          </cell>
          <cell r="B2064">
            <v>21</v>
          </cell>
        </row>
        <row r="2065">
          <cell r="A2065" t="str">
            <v>1RE1LPTCA385CERR1</v>
          </cell>
          <cell r="B2065">
            <v>22</v>
          </cell>
        </row>
        <row r="2066">
          <cell r="A2066" t="str">
            <v>1RE1LPTCA385CERZA</v>
          </cell>
          <cell r="B2066">
            <v>21</v>
          </cell>
        </row>
        <row r="2067">
          <cell r="A2067" t="str">
            <v>1RE1LPTCA385RR1</v>
          </cell>
          <cell r="B2067">
            <v>22</v>
          </cell>
        </row>
        <row r="2068">
          <cell r="A2068" t="str">
            <v>1RE1LPTCA385RURZA</v>
          </cell>
          <cell r="B2068">
            <v>22</v>
          </cell>
        </row>
        <row r="2069">
          <cell r="A2069" t="str">
            <v>1RE1LPTCA385RZA</v>
          </cell>
          <cell r="B2069">
            <v>21</v>
          </cell>
        </row>
        <row r="2070">
          <cell r="A2070" t="str">
            <v>1RE1LPTDA1180SXR1</v>
          </cell>
          <cell r="B2070">
            <v>298</v>
          </cell>
        </row>
        <row r="2071">
          <cell r="A2071" t="str">
            <v>1RE1LPTDA1180SXT1</v>
          </cell>
          <cell r="B2071">
            <v>298</v>
          </cell>
        </row>
        <row r="2072">
          <cell r="A2072" t="str">
            <v>1RE1LPTDA1180SXZA</v>
          </cell>
          <cell r="B2072">
            <v>298</v>
          </cell>
        </row>
        <row r="2073">
          <cell r="A2073" t="str">
            <v>1RE1LPTDA6178XS1</v>
          </cell>
          <cell r="B2073">
            <v>538</v>
          </cell>
        </row>
        <row r="2074">
          <cell r="A2074" t="str">
            <v>1RE1LPTDA63811S1</v>
          </cell>
          <cell r="B2074">
            <v>305</v>
          </cell>
        </row>
        <row r="2075">
          <cell r="A2075" t="str">
            <v>1RE1LPTDA63811ZA</v>
          </cell>
          <cell r="B2075">
            <v>303</v>
          </cell>
        </row>
        <row r="2076">
          <cell r="A2076" t="str">
            <v>1RE1LPTDA63812S1</v>
          </cell>
          <cell r="B2076">
            <v>304</v>
          </cell>
        </row>
        <row r="2077">
          <cell r="A2077" t="str">
            <v>1RE1LPTDA63812ZA</v>
          </cell>
          <cell r="B2077">
            <v>304</v>
          </cell>
        </row>
        <row r="2078">
          <cell r="A2078" t="str">
            <v>1RE1LPTDA6381AL1S1</v>
          </cell>
          <cell r="B2078">
            <v>321</v>
          </cell>
        </row>
        <row r="2079">
          <cell r="A2079" t="str">
            <v>1RE1LPTDA6381AL1ZA</v>
          </cell>
          <cell r="B2079">
            <v>318</v>
          </cell>
        </row>
        <row r="2080">
          <cell r="A2080" t="str">
            <v>1RE1LPTDA6381AL2S1</v>
          </cell>
          <cell r="B2080">
            <v>320</v>
          </cell>
        </row>
        <row r="2081">
          <cell r="A2081" t="str">
            <v>1RE1LPTDA6381AL2ZA</v>
          </cell>
          <cell r="B2081">
            <v>320</v>
          </cell>
        </row>
        <row r="2082">
          <cell r="A2082" t="str">
            <v>1RE1LPTDA6381C1ZA</v>
          </cell>
          <cell r="B2082">
            <v>50</v>
          </cell>
        </row>
        <row r="2083">
          <cell r="A2083" t="str">
            <v>1RE1LPTDA6381C2ZA</v>
          </cell>
          <cell r="B2083">
            <v>304</v>
          </cell>
        </row>
        <row r="2084">
          <cell r="A2084" t="str">
            <v>1RE1LPTDA6381CX1ZA</v>
          </cell>
          <cell r="B2084">
            <v>302</v>
          </cell>
        </row>
        <row r="2085">
          <cell r="A2085" t="str">
            <v>1RE1LPTDA6381CX2ZA</v>
          </cell>
          <cell r="B2085">
            <v>304</v>
          </cell>
        </row>
        <row r="2086">
          <cell r="A2086" t="str">
            <v>1RE1LPTDA6381SX1T1</v>
          </cell>
          <cell r="B2086">
            <v>310</v>
          </cell>
        </row>
        <row r="2087">
          <cell r="A2087" t="str">
            <v>1RE1LPTDA6381SX1ZA</v>
          </cell>
          <cell r="B2087">
            <v>302</v>
          </cell>
        </row>
        <row r="2088">
          <cell r="A2088" t="str">
            <v>1RE1LPTDA6381SX2T1</v>
          </cell>
          <cell r="B2088">
            <v>304</v>
          </cell>
        </row>
        <row r="2089">
          <cell r="A2089" t="str">
            <v>1RE1LPTDA6381SX2ZA</v>
          </cell>
          <cell r="B2089">
            <v>304</v>
          </cell>
        </row>
        <row r="2090">
          <cell r="A2090" t="str">
            <v>1RE1LPTDA6381UK1ZA</v>
          </cell>
          <cell r="B2090">
            <v>303</v>
          </cell>
        </row>
        <row r="2091">
          <cell r="A2091" t="str">
            <v>1RE1LPTDA6381UK2ZA</v>
          </cell>
          <cell r="B2091">
            <v>304</v>
          </cell>
        </row>
        <row r="2092">
          <cell r="A2092" t="str">
            <v>1RE1LPTDA6381X1S1</v>
          </cell>
          <cell r="B2092">
            <v>305</v>
          </cell>
        </row>
        <row r="2093">
          <cell r="A2093" t="str">
            <v>1RE1LPTDA6381X1ZA</v>
          </cell>
          <cell r="B2093">
            <v>305</v>
          </cell>
        </row>
        <row r="2094">
          <cell r="A2094" t="str">
            <v>1RE1LPTDA6381X2S1</v>
          </cell>
          <cell r="B2094">
            <v>304</v>
          </cell>
        </row>
        <row r="2095">
          <cell r="A2095" t="str">
            <v>1RE1LPTDA6381X2ZA</v>
          </cell>
          <cell r="B2095">
            <v>304</v>
          </cell>
        </row>
        <row r="2096">
          <cell r="A2096" t="str">
            <v>1RE1LPTDA63821S1</v>
          </cell>
          <cell r="B2096">
            <v>365</v>
          </cell>
        </row>
        <row r="2097">
          <cell r="A2097" t="str">
            <v>1RE1LPTDA63821ZA</v>
          </cell>
          <cell r="B2097">
            <v>363</v>
          </cell>
        </row>
        <row r="2098">
          <cell r="A2098" t="str">
            <v>1RE1LPTDA63822S1</v>
          </cell>
          <cell r="B2098">
            <v>461</v>
          </cell>
        </row>
        <row r="2099">
          <cell r="A2099" t="str">
            <v>1RE1LPTDA63822ZA</v>
          </cell>
          <cell r="B2099">
            <v>461</v>
          </cell>
        </row>
        <row r="2100">
          <cell r="A2100" t="str">
            <v>1RE1LPTDA6382AG1S1</v>
          </cell>
          <cell r="B2100">
            <v>365</v>
          </cell>
        </row>
        <row r="2101">
          <cell r="A2101" t="str">
            <v>1RE1LPTDA6382AG2S1</v>
          </cell>
          <cell r="B2101">
            <v>461</v>
          </cell>
        </row>
        <row r="2102">
          <cell r="A2102" t="str">
            <v>1RE1LPTDA6382AL1S1</v>
          </cell>
          <cell r="B2102">
            <v>381</v>
          </cell>
        </row>
        <row r="2103">
          <cell r="A2103" t="str">
            <v>1RE1LPTDA6382AL2S1</v>
          </cell>
          <cell r="B2103">
            <v>477</v>
          </cell>
        </row>
        <row r="2104">
          <cell r="A2104" t="str">
            <v>1RE1LPTDA6382C1ZA</v>
          </cell>
          <cell r="B2104">
            <v>363</v>
          </cell>
        </row>
        <row r="2105">
          <cell r="A2105" t="str">
            <v>1RE1LPTDA6382C2ZA</v>
          </cell>
          <cell r="B2105">
            <v>461</v>
          </cell>
        </row>
        <row r="2106">
          <cell r="A2106" t="str">
            <v>1RE1LPTDA6382CX1ZA</v>
          </cell>
          <cell r="B2106">
            <v>363</v>
          </cell>
        </row>
        <row r="2107">
          <cell r="A2107" t="str">
            <v>1RE1LPTDA6382CX2ZA</v>
          </cell>
          <cell r="B2107">
            <v>461</v>
          </cell>
        </row>
        <row r="2108">
          <cell r="A2108" t="str">
            <v>1RE1LPTDA6382SX1T1</v>
          </cell>
          <cell r="B2108">
            <v>370</v>
          </cell>
        </row>
        <row r="2109">
          <cell r="A2109" t="str">
            <v>1RE1LPTDA6382SX1ZA</v>
          </cell>
          <cell r="B2109">
            <v>362</v>
          </cell>
        </row>
        <row r="2110">
          <cell r="A2110" t="str">
            <v>1RE1LPTDA6382SX2T1</v>
          </cell>
          <cell r="B2110">
            <v>461</v>
          </cell>
        </row>
        <row r="2111">
          <cell r="A2111" t="str">
            <v>1RE1LPTDA6382SX2ZA</v>
          </cell>
          <cell r="B2111">
            <v>461</v>
          </cell>
        </row>
        <row r="2112">
          <cell r="A2112" t="str">
            <v>1RE1LPTDA6382TW1S1</v>
          </cell>
          <cell r="B2112">
            <v>349</v>
          </cell>
        </row>
        <row r="2113">
          <cell r="A2113" t="str">
            <v>1RE1LPTDA6382TW1ZA</v>
          </cell>
          <cell r="B2113">
            <v>339</v>
          </cell>
        </row>
        <row r="2114">
          <cell r="A2114" t="str">
            <v>1RE1LPTDA6382TW2S1</v>
          </cell>
          <cell r="B2114">
            <v>445</v>
          </cell>
        </row>
        <row r="2115">
          <cell r="A2115" t="str">
            <v>1RE1LPTDA6382TW2ZA</v>
          </cell>
          <cell r="B2115">
            <v>437</v>
          </cell>
        </row>
        <row r="2116">
          <cell r="A2116" t="str">
            <v>1RE1LPTDA6382UK1ZA</v>
          </cell>
          <cell r="B2116">
            <v>363</v>
          </cell>
        </row>
        <row r="2117">
          <cell r="A2117" t="str">
            <v>1RE1LPTDA6382UK2ZA</v>
          </cell>
          <cell r="B2117">
            <v>461</v>
          </cell>
        </row>
        <row r="2118">
          <cell r="A2118" t="str">
            <v>1RE1LPTDA6382X1S1</v>
          </cell>
          <cell r="B2118">
            <v>365</v>
          </cell>
        </row>
        <row r="2119">
          <cell r="A2119" t="str">
            <v>1RE1LPTDA6382X1ZA</v>
          </cell>
          <cell r="B2119">
            <v>362</v>
          </cell>
        </row>
        <row r="2120">
          <cell r="A2120" t="str">
            <v>1RE1LPTDA6382X2S1</v>
          </cell>
          <cell r="B2120">
            <v>461</v>
          </cell>
        </row>
        <row r="2121">
          <cell r="A2121" t="str">
            <v>1RE1LPTDA6382X2S2</v>
          </cell>
          <cell r="B2121">
            <v>461</v>
          </cell>
        </row>
        <row r="2122">
          <cell r="A2122" t="str">
            <v>1RE1LPTDA6382X2ZA</v>
          </cell>
          <cell r="B2122">
            <v>461</v>
          </cell>
        </row>
        <row r="2123">
          <cell r="A2123" t="str">
            <v>1RE1LPTE82480SXZA</v>
          </cell>
          <cell r="B2123">
            <v>360</v>
          </cell>
        </row>
        <row r="2124">
          <cell r="A2124" t="str">
            <v>1RE1LPTE82483SXZA</v>
          </cell>
          <cell r="B2124">
            <v>436</v>
          </cell>
        </row>
        <row r="2125">
          <cell r="A2125" t="str">
            <v>1RE1LPTEM824RUZA</v>
          </cell>
          <cell r="B2125">
            <v>815</v>
          </cell>
        </row>
        <row r="2126">
          <cell r="A2126" t="str">
            <v>1RE1LPTGP600A01HZA</v>
          </cell>
          <cell r="B2126">
            <v>158</v>
          </cell>
        </row>
        <row r="2127">
          <cell r="A2127" t="str">
            <v>1RE1LPTGP600A03HZA</v>
          </cell>
          <cell r="B2127">
            <v>158</v>
          </cell>
        </row>
        <row r="2128">
          <cell r="A2128" t="str">
            <v>1RE1LPTGP600ALGHZA</v>
          </cell>
          <cell r="B2128">
            <v>158</v>
          </cell>
        </row>
        <row r="2129">
          <cell r="A2129" t="str">
            <v>1RE1LPTGP600ALHZA</v>
          </cell>
          <cell r="B2129">
            <v>158</v>
          </cell>
        </row>
        <row r="2130">
          <cell r="A2130" t="str">
            <v>1RE1LPTGP600CEGHZA</v>
          </cell>
          <cell r="B2130">
            <v>158</v>
          </cell>
        </row>
        <row r="2131">
          <cell r="A2131" t="str">
            <v>1RE1LPTGP600CEH-G1</v>
          </cell>
          <cell r="B2131">
            <v>199</v>
          </cell>
        </row>
        <row r="2132">
          <cell r="A2132" t="str">
            <v>1RE1LPTGP600CEH-S1</v>
          </cell>
          <cell r="B2132">
            <v>156</v>
          </cell>
        </row>
        <row r="2133">
          <cell r="A2133" t="str">
            <v xml:space="preserve">1RE1LPTGP600CEH-S1 </v>
          </cell>
          <cell r="B2133">
            <v>156</v>
          </cell>
        </row>
        <row r="2134">
          <cell r="A2134" t="str">
            <v>1RE1LPTGP600CEH-S2</v>
          </cell>
          <cell r="B2134">
            <v>157</v>
          </cell>
        </row>
        <row r="2135">
          <cell r="A2135" t="str">
            <v>1RE1LPTGP600CEHZA</v>
          </cell>
          <cell r="B2135">
            <v>158</v>
          </cell>
        </row>
        <row r="2136">
          <cell r="A2136" t="str">
            <v>1RE1LPTGP600CHZA</v>
          </cell>
          <cell r="B2136">
            <v>158</v>
          </cell>
        </row>
        <row r="2137">
          <cell r="A2137" t="str">
            <v>1RE1LPTGP600GHZA</v>
          </cell>
          <cell r="B2137">
            <v>158</v>
          </cell>
        </row>
        <row r="2138">
          <cell r="A2138" t="str">
            <v>1RE1LPTGP600H-S1</v>
          </cell>
          <cell r="B2138">
            <v>156</v>
          </cell>
        </row>
        <row r="2139">
          <cell r="A2139" t="str">
            <v>1RE1LPTGP600H-S2</v>
          </cell>
          <cell r="B2139">
            <v>157</v>
          </cell>
        </row>
        <row r="2140">
          <cell r="A2140" t="str">
            <v>1RE1LPTGP600HZA</v>
          </cell>
          <cell r="B2140">
            <v>158</v>
          </cell>
        </row>
        <row r="2141">
          <cell r="A2141" t="str">
            <v>1RE1LPTGP600LAH-S1</v>
          </cell>
          <cell r="B2141">
            <v>156</v>
          </cell>
        </row>
        <row r="2142">
          <cell r="A2142" t="str">
            <v>1RE1LPTGP600LAH-S2</v>
          </cell>
          <cell r="B2142">
            <v>157</v>
          </cell>
        </row>
        <row r="2143">
          <cell r="A2143" t="str">
            <v>1RE1LPTGP600LAHZA</v>
          </cell>
          <cell r="B2143">
            <v>158</v>
          </cell>
        </row>
        <row r="2144">
          <cell r="A2144" t="str">
            <v>1RE1LPTGP600LCHZA</v>
          </cell>
          <cell r="B2144">
            <v>158</v>
          </cell>
        </row>
        <row r="2145">
          <cell r="A2145" t="str">
            <v>1RE1LPTGP600RUH-S1</v>
          </cell>
          <cell r="B2145">
            <v>156</v>
          </cell>
        </row>
        <row r="2146">
          <cell r="A2146" t="str">
            <v>1RE1LPTGP600RUH-S2</v>
          </cell>
          <cell r="B2146">
            <v>157</v>
          </cell>
        </row>
        <row r="2147">
          <cell r="A2147" t="str">
            <v>1RE1LPTGP600RUHZA</v>
          </cell>
          <cell r="B2147">
            <v>158</v>
          </cell>
        </row>
        <row r="2148">
          <cell r="A2148" t="str">
            <v>1RE1LPTGP700AL1-R1</v>
          </cell>
          <cell r="B2148">
            <v>277</v>
          </cell>
        </row>
        <row r="2149">
          <cell r="A2149" t="str">
            <v>1RE1LPTGP700AL1ZA</v>
          </cell>
          <cell r="B2149">
            <v>275</v>
          </cell>
        </row>
        <row r="2150">
          <cell r="A2150" t="str">
            <v>1RE1LPTGP700CE1-R1</v>
          </cell>
          <cell r="B2150">
            <v>277</v>
          </cell>
        </row>
        <row r="2151">
          <cell r="A2151" t="str">
            <v>1RE1LPTGP700CE1-S2</v>
          </cell>
          <cell r="B2151">
            <v>274</v>
          </cell>
        </row>
        <row r="2152">
          <cell r="A2152" t="str">
            <v>1RE1LPTGP700CE1ZA</v>
          </cell>
          <cell r="B2152">
            <v>828</v>
          </cell>
        </row>
        <row r="2153">
          <cell r="A2153" t="str">
            <v>1RE1LPTGP700-G1</v>
          </cell>
          <cell r="B2153">
            <v>256</v>
          </cell>
        </row>
        <row r="2154">
          <cell r="A2154" t="str">
            <v>1RE1LPTGP700H1-S1</v>
          </cell>
          <cell r="B2154">
            <v>273</v>
          </cell>
        </row>
        <row r="2155">
          <cell r="A2155" t="str">
            <v>1RE1LPTGP700M1-R1</v>
          </cell>
          <cell r="B2155">
            <v>278</v>
          </cell>
        </row>
        <row r="2156">
          <cell r="A2156" t="str">
            <v>1RE1LPTGP700M1-S2</v>
          </cell>
          <cell r="B2156">
            <v>274</v>
          </cell>
        </row>
        <row r="2157">
          <cell r="A2157" t="str">
            <v>1RE1LPTGP700M1ZA</v>
          </cell>
          <cell r="B2157">
            <v>275</v>
          </cell>
        </row>
        <row r="2158">
          <cell r="A2158" t="str">
            <v>1RE1LPTGP700VE-S1</v>
          </cell>
          <cell r="B2158">
            <v>278</v>
          </cell>
        </row>
        <row r="2159">
          <cell r="A2159" t="str">
            <v>1RE1LPTPA60A01RZA</v>
          </cell>
          <cell r="B2159">
            <v>29</v>
          </cell>
        </row>
        <row r="2160">
          <cell r="A2160" t="str">
            <v>1RE1LPTPA60A03RZA</v>
          </cell>
          <cell r="B2160">
            <v>29</v>
          </cell>
        </row>
        <row r="2161">
          <cell r="A2161" t="str">
            <v>1RE1LPTPA60ALRZA</v>
          </cell>
          <cell r="B2161">
            <v>29</v>
          </cell>
        </row>
        <row r="2162">
          <cell r="A2162" t="str">
            <v>1RE1LPTPA60CER-G1</v>
          </cell>
          <cell r="B2162">
            <v>18</v>
          </cell>
        </row>
        <row r="2163">
          <cell r="A2163" t="str">
            <v>1RE1LPTPA60CER-S1</v>
          </cell>
          <cell r="B2163">
            <v>23</v>
          </cell>
        </row>
        <row r="2164">
          <cell r="A2164" t="str">
            <v>1RE1LPTPA60CER-S2</v>
          </cell>
          <cell r="B2164">
            <v>30</v>
          </cell>
        </row>
        <row r="2165">
          <cell r="A2165" t="str">
            <v>1RE1LPTPA60CERZA</v>
          </cell>
          <cell r="B2165">
            <v>29</v>
          </cell>
        </row>
        <row r="2166">
          <cell r="A2166" t="str">
            <v>1RE1LPTPA60CRZA</v>
          </cell>
          <cell r="B2166">
            <v>29</v>
          </cell>
        </row>
        <row r="2167">
          <cell r="A2167" t="str">
            <v>1RE1LPTPA60LAR-S1</v>
          </cell>
          <cell r="B2167">
            <v>23</v>
          </cell>
        </row>
        <row r="2168">
          <cell r="A2168" t="str">
            <v>1RE1LPTPA60LAR-S2</v>
          </cell>
          <cell r="B2168">
            <v>30</v>
          </cell>
        </row>
        <row r="2169">
          <cell r="A2169" t="str">
            <v>1RE1LPTPA60LARZA</v>
          </cell>
          <cell r="B2169">
            <v>29</v>
          </cell>
        </row>
        <row r="2170">
          <cell r="A2170" t="str">
            <v>1RE1LPTPA60LCRZA</v>
          </cell>
          <cell r="B2170">
            <v>29</v>
          </cell>
        </row>
        <row r="2171">
          <cell r="A2171" t="str">
            <v>1RE1LPTPA60R-S1</v>
          </cell>
          <cell r="B2171">
            <v>23</v>
          </cell>
        </row>
        <row r="2172">
          <cell r="A2172" t="str">
            <v>1RE1LPTPA60R-S2</v>
          </cell>
          <cell r="B2172">
            <v>30</v>
          </cell>
        </row>
        <row r="2173">
          <cell r="A2173" t="str">
            <v>1RE1LPTPA60RUR-S1</v>
          </cell>
          <cell r="B2173">
            <v>23</v>
          </cell>
        </row>
        <row r="2174">
          <cell r="A2174" t="str">
            <v>1RE1LPTPA60RUR-S2</v>
          </cell>
          <cell r="B2174">
            <v>30</v>
          </cell>
        </row>
        <row r="2175">
          <cell r="A2175" t="str">
            <v>1RE1LPTPA60RURZA</v>
          </cell>
          <cell r="B2175">
            <v>29</v>
          </cell>
        </row>
        <row r="2176">
          <cell r="A2176" t="str">
            <v>1RE1LPTPA60RZA</v>
          </cell>
          <cell r="B2176">
            <v>29</v>
          </cell>
        </row>
        <row r="2177">
          <cell r="A2177" t="str">
            <v>1RE1LPTPA65ALRZA</v>
          </cell>
          <cell r="B2177">
            <v>45</v>
          </cell>
        </row>
        <row r="2178">
          <cell r="A2178" t="str">
            <v>1RE1LPTPA65CER-G1</v>
          </cell>
          <cell r="B2178">
            <v>46</v>
          </cell>
        </row>
        <row r="2179">
          <cell r="A2179" t="str">
            <v>1RE1LPTPA65CER-S1</v>
          </cell>
          <cell r="B2179">
            <v>44</v>
          </cell>
        </row>
        <row r="2180">
          <cell r="A2180" t="str">
            <v>1RE1LPTPA65CER-S2</v>
          </cell>
          <cell r="B2180">
            <v>45</v>
          </cell>
        </row>
        <row r="2181">
          <cell r="A2181" t="str">
            <v>1RE1LPTPA65CERZA</v>
          </cell>
          <cell r="B2181">
            <v>45</v>
          </cell>
        </row>
        <row r="2182">
          <cell r="A2182" t="str">
            <v>1RE1LPTPA65CRZA</v>
          </cell>
          <cell r="B2182">
            <v>45</v>
          </cell>
        </row>
        <row r="2183">
          <cell r="A2183" t="str">
            <v>1RE1LPTPA65LAR-S1</v>
          </cell>
          <cell r="B2183">
            <v>44</v>
          </cell>
        </row>
        <row r="2184">
          <cell r="A2184" t="str">
            <v>1RE1LPTPA65LARZA</v>
          </cell>
          <cell r="B2184">
            <v>45</v>
          </cell>
        </row>
        <row r="2185">
          <cell r="A2185" t="str">
            <v>1RE1LPTPA65LCRZA</v>
          </cell>
          <cell r="B2185">
            <v>45</v>
          </cell>
        </row>
        <row r="2186">
          <cell r="A2186" t="str">
            <v>1RE1LPTPA65R-S1</v>
          </cell>
          <cell r="B2186">
            <v>44</v>
          </cell>
        </row>
        <row r="2187">
          <cell r="A2187" t="str">
            <v>1RE1LPTPA65RUR-S1</v>
          </cell>
          <cell r="B2187">
            <v>44</v>
          </cell>
        </row>
        <row r="2188">
          <cell r="A2188" t="str">
            <v>1RE1LPTPA65RURZA</v>
          </cell>
          <cell r="B2188">
            <v>45</v>
          </cell>
        </row>
        <row r="2189">
          <cell r="A2189" t="str">
            <v>1RE1LPTPA65RZA</v>
          </cell>
          <cell r="B2189">
            <v>45</v>
          </cell>
        </row>
        <row r="2190">
          <cell r="A2190" t="str">
            <v>1RE1LPTPA68A03R-R1</v>
          </cell>
          <cell r="B2190">
            <v>118</v>
          </cell>
        </row>
        <row r="2191">
          <cell r="A2191" t="str">
            <v>1RE1LPTPA68A03RZA</v>
          </cell>
          <cell r="B2191">
            <v>118</v>
          </cell>
        </row>
        <row r="2192">
          <cell r="A2192" t="str">
            <v>1RE1LPTPA68ALRZA</v>
          </cell>
          <cell r="B2192">
            <v>118</v>
          </cell>
        </row>
        <row r="2193">
          <cell r="A2193" t="str">
            <v>1RE1LPTPA68CERZA</v>
          </cell>
          <cell r="B2193">
            <v>118</v>
          </cell>
        </row>
        <row r="2194">
          <cell r="A2194" t="str">
            <v>1RE1LPTPA68CRZA</v>
          </cell>
          <cell r="B2194">
            <v>118</v>
          </cell>
        </row>
        <row r="2195">
          <cell r="A2195" t="str">
            <v>1RE1LPTPA68RZA</v>
          </cell>
          <cell r="B2195">
            <v>118</v>
          </cell>
        </row>
        <row r="2196">
          <cell r="A2196" t="str">
            <v>1RE1LPTPA70AL1-R1</v>
          </cell>
          <cell r="B2196">
            <v>59</v>
          </cell>
        </row>
        <row r="2197">
          <cell r="A2197" t="str">
            <v>1RE1LPTPA70AL1ZA</v>
          </cell>
          <cell r="B2197">
            <v>58</v>
          </cell>
        </row>
        <row r="2198">
          <cell r="A2198" t="str">
            <v>1RE1LPTPA70C1-R1</v>
          </cell>
          <cell r="B2198">
            <v>59</v>
          </cell>
        </row>
        <row r="2199">
          <cell r="A2199" t="str">
            <v>1RE1LPTPA70C1-S1</v>
          </cell>
          <cell r="B2199">
            <v>3</v>
          </cell>
        </row>
        <row r="2200">
          <cell r="A2200" t="str">
            <v>1RE1LPTPA70C1ZA</v>
          </cell>
          <cell r="B2200">
            <v>58</v>
          </cell>
        </row>
        <row r="2201">
          <cell r="A2201" t="str">
            <v>1RE1LPTPA70CE1-R1</v>
          </cell>
          <cell r="B2201">
            <v>59</v>
          </cell>
        </row>
        <row r="2202">
          <cell r="A2202" t="str">
            <v>1RE1LPTPA70CE1-S2</v>
          </cell>
          <cell r="B2202">
            <v>58</v>
          </cell>
        </row>
        <row r="2203">
          <cell r="A2203" t="str">
            <v>1RE1LPTPA70CE1ZA</v>
          </cell>
          <cell r="B2203">
            <v>58</v>
          </cell>
        </row>
        <row r="2204">
          <cell r="A2204" t="str">
            <v>1RE1LPTPA70M1-R1</v>
          </cell>
          <cell r="B2204">
            <v>59</v>
          </cell>
        </row>
        <row r="2205">
          <cell r="A2205" t="str">
            <v>1RE1LPTPA70M1-S2</v>
          </cell>
          <cell r="B2205">
            <v>58</v>
          </cell>
        </row>
        <row r="2206">
          <cell r="A2206" t="str">
            <v>1RE1LPTPA70M1ZA</v>
          </cell>
          <cell r="B2206">
            <v>58</v>
          </cell>
        </row>
        <row r="2207">
          <cell r="A2207" t="str">
            <v>1RE1LPTPA70R1-S1</v>
          </cell>
          <cell r="B2207">
            <v>58</v>
          </cell>
        </row>
        <row r="2208">
          <cell r="A2208" t="str">
            <v>1RE1LPTPA70R1ZA-G2</v>
          </cell>
          <cell r="B2208">
            <v>42</v>
          </cell>
        </row>
        <row r="2209">
          <cell r="A2209" t="str">
            <v>1RE1LPTPA72R1ZA-G2</v>
          </cell>
          <cell r="B2209">
            <v>45</v>
          </cell>
        </row>
        <row r="2210">
          <cell r="A2210" t="str">
            <v>1RE1LPTPA73AL1-R1</v>
          </cell>
          <cell r="B2210">
            <v>36</v>
          </cell>
        </row>
        <row r="2211">
          <cell r="A2211" t="str">
            <v>1RE1LPTPA73AL1ZA</v>
          </cell>
          <cell r="B2211">
            <v>35</v>
          </cell>
        </row>
        <row r="2212">
          <cell r="A2212" t="str">
            <v>1RE1LPTPA73C1-R1</v>
          </cell>
          <cell r="B2212">
            <v>36</v>
          </cell>
        </row>
        <row r="2213">
          <cell r="A2213" t="str">
            <v>1RE1LPTPA73C1ZA</v>
          </cell>
          <cell r="B2213">
            <v>35</v>
          </cell>
        </row>
        <row r="2214">
          <cell r="A2214" t="str">
            <v>1RE1LPTPA73CE1-R1</v>
          </cell>
          <cell r="B2214">
            <v>36</v>
          </cell>
        </row>
        <row r="2215">
          <cell r="A2215" t="str">
            <v>1RE1LPTPA73CE1-S2</v>
          </cell>
          <cell r="B2215">
            <v>35</v>
          </cell>
        </row>
        <row r="2216">
          <cell r="A2216" t="str">
            <v>1RE1LPTPA73CE1ZA</v>
          </cell>
          <cell r="B2216">
            <v>35</v>
          </cell>
        </row>
        <row r="2217">
          <cell r="A2217" t="str">
            <v>1RE1LPTPA73M1-R1</v>
          </cell>
          <cell r="B2217">
            <v>36</v>
          </cell>
        </row>
        <row r="2218">
          <cell r="A2218" t="str">
            <v>1RE1LPTPA73M1-S2</v>
          </cell>
          <cell r="B2218">
            <v>35</v>
          </cell>
        </row>
        <row r="2219">
          <cell r="A2219" t="str">
            <v>1RE1LPTPA73M1ZA</v>
          </cell>
          <cell r="B2219">
            <v>35</v>
          </cell>
        </row>
        <row r="2220">
          <cell r="A2220" t="str">
            <v>1RE1LPTPA73R1-S1</v>
          </cell>
          <cell r="B2220">
            <v>35</v>
          </cell>
        </row>
        <row r="2221">
          <cell r="A2221" t="str">
            <v>1RE1LPTPA8001ZAS1</v>
          </cell>
          <cell r="B2221">
            <v>265</v>
          </cell>
        </row>
        <row r="2222">
          <cell r="A2222" t="str">
            <v>1RE1LPUDS124CEHZA</v>
          </cell>
          <cell r="B2222">
            <v>189</v>
          </cell>
        </row>
        <row r="2223">
          <cell r="A2223" t="str">
            <v>1RE1LPUDS124CEHZAS</v>
          </cell>
          <cell r="B2223">
            <v>193</v>
          </cell>
        </row>
        <row r="2224">
          <cell r="A2224" t="str">
            <v>1RE1LPUDS124CEHZR1</v>
          </cell>
          <cell r="B2224">
            <v>186</v>
          </cell>
        </row>
        <row r="2225">
          <cell r="A2225" t="str">
            <v>1RE1LPUDS124CEHZS2</v>
          </cell>
          <cell r="B2225">
            <v>185</v>
          </cell>
        </row>
        <row r="2226">
          <cell r="A2226" t="str">
            <v>1RE1LPUDS124CEHZS3</v>
          </cell>
          <cell r="B2226">
            <v>186</v>
          </cell>
        </row>
        <row r="2227">
          <cell r="A2227" t="str">
            <v>1RE1LPUDS124HZA</v>
          </cell>
          <cell r="B2227">
            <v>188</v>
          </cell>
        </row>
        <row r="2228">
          <cell r="A2228" t="str">
            <v>1RE1LPUDS124HZAR1</v>
          </cell>
          <cell r="B2228">
            <v>188</v>
          </cell>
        </row>
        <row r="2229">
          <cell r="A2229" t="str">
            <v>1RE1LPUDS124HZAS2</v>
          </cell>
          <cell r="B2229">
            <v>185</v>
          </cell>
        </row>
        <row r="2230">
          <cell r="A2230" t="str">
            <v>1RE1LPUDS124HZAS3</v>
          </cell>
          <cell r="B2230">
            <v>186</v>
          </cell>
        </row>
        <row r="2231">
          <cell r="A2231" t="str">
            <v>1RE1LPUDT111CERZA</v>
          </cell>
          <cell r="B2231">
            <v>14</v>
          </cell>
        </row>
        <row r="2232">
          <cell r="A2232" t="str">
            <v>1RE1LPUDT111CERZAS</v>
          </cell>
          <cell r="B2232">
            <v>11</v>
          </cell>
        </row>
        <row r="2233">
          <cell r="A2233" t="str">
            <v>1RE1LPUDT111CERZR1</v>
          </cell>
          <cell r="B2233">
            <v>14</v>
          </cell>
        </row>
        <row r="2234">
          <cell r="A2234" t="str">
            <v>1RE1LPUDT111CERZS2</v>
          </cell>
          <cell r="B2234">
            <v>14</v>
          </cell>
        </row>
        <row r="2235">
          <cell r="A2235" t="str">
            <v>1RE1LPUDT111CERZS3</v>
          </cell>
          <cell r="B2235">
            <v>14</v>
          </cell>
        </row>
        <row r="2236">
          <cell r="A2236" t="str">
            <v>1RE1LPUDT111RURZA</v>
          </cell>
          <cell r="B2236">
            <v>15</v>
          </cell>
        </row>
        <row r="2237">
          <cell r="A2237" t="str">
            <v>1RE1LPUDT111RURZR1</v>
          </cell>
          <cell r="B2237">
            <v>15</v>
          </cell>
        </row>
        <row r="2238">
          <cell r="A2238" t="str">
            <v>1RE1LPUDT111RZA</v>
          </cell>
          <cell r="B2238">
            <v>15</v>
          </cell>
        </row>
        <row r="2239">
          <cell r="A2239" t="str">
            <v>1RE1LPUDT111RZAR1</v>
          </cell>
          <cell r="B2239">
            <v>15</v>
          </cell>
        </row>
        <row r="2240">
          <cell r="A2240" t="str">
            <v>1RE1LPUDT111RZAS2</v>
          </cell>
          <cell r="B2240">
            <v>14</v>
          </cell>
        </row>
        <row r="2241">
          <cell r="A2241" t="str">
            <v>1RE1LPUDT111RZAS3</v>
          </cell>
          <cell r="B2241">
            <v>14</v>
          </cell>
        </row>
        <row r="2242">
          <cell r="A2242" t="str">
            <v>1RE1LPUDT121CECZA</v>
          </cell>
          <cell r="B2242">
            <v>8</v>
          </cell>
        </row>
        <row r="2243">
          <cell r="A2243" t="str">
            <v>1RE1LPUDT121CECZR1</v>
          </cell>
          <cell r="B2243">
            <v>8</v>
          </cell>
        </row>
        <row r="2244">
          <cell r="A2244" t="str">
            <v>1RE1LPUDT121CECZS3</v>
          </cell>
          <cell r="B2244">
            <v>8</v>
          </cell>
        </row>
        <row r="2245">
          <cell r="A2245" t="str">
            <v>1RE1LPUDT121CECZS4</v>
          </cell>
          <cell r="B2245">
            <v>8</v>
          </cell>
        </row>
        <row r="2246">
          <cell r="A2246" t="str">
            <v>1RE1LPUDT121CECZS5</v>
          </cell>
          <cell r="B2246">
            <v>8</v>
          </cell>
        </row>
        <row r="2247">
          <cell r="A2247" t="str">
            <v>1RE1LPUDT121CERZA</v>
          </cell>
          <cell r="B2247">
            <v>25</v>
          </cell>
        </row>
        <row r="2248">
          <cell r="A2248" t="str">
            <v>1RE1LPUDT121CERZR1</v>
          </cell>
          <cell r="B2248">
            <v>25</v>
          </cell>
        </row>
        <row r="2249">
          <cell r="A2249" t="str">
            <v>1RE1LPUDT121CERZS3</v>
          </cell>
          <cell r="B2249">
            <v>25</v>
          </cell>
        </row>
        <row r="2250">
          <cell r="A2250" t="str">
            <v>1RE1LPUDT121CERZS4</v>
          </cell>
          <cell r="B2250">
            <v>25</v>
          </cell>
        </row>
        <row r="2251">
          <cell r="A2251" t="str">
            <v>1RE1LPUDT121CERZS5</v>
          </cell>
          <cell r="B2251">
            <v>25</v>
          </cell>
        </row>
        <row r="2252">
          <cell r="A2252" t="str">
            <v>1RE1LPUDT121RURZA</v>
          </cell>
          <cell r="B2252">
            <v>25</v>
          </cell>
        </row>
        <row r="2253">
          <cell r="A2253" t="str">
            <v>1RE1LPUDT121RZA</v>
          </cell>
          <cell r="B2253">
            <v>25</v>
          </cell>
        </row>
        <row r="2254">
          <cell r="A2254" t="str">
            <v>1RE1LPUDT121RZAR1</v>
          </cell>
          <cell r="B2254">
            <v>25</v>
          </cell>
        </row>
        <row r="2255">
          <cell r="A2255" t="str">
            <v>1RE1LPUDT121RZAS4</v>
          </cell>
          <cell r="B2255">
            <v>25</v>
          </cell>
        </row>
        <row r="2256">
          <cell r="A2256" t="str">
            <v>1RE1LPUDT121RZAS5</v>
          </cell>
          <cell r="B2256">
            <v>25</v>
          </cell>
        </row>
        <row r="2257">
          <cell r="A2257" t="str">
            <v>1RE1LPUDT131CERR1</v>
          </cell>
          <cell r="B2257">
            <v>21</v>
          </cell>
        </row>
        <row r="2258">
          <cell r="A2258" t="str">
            <v>1RE1LPUDT131CERZA</v>
          </cell>
          <cell r="B2258">
            <v>21</v>
          </cell>
        </row>
        <row r="2259">
          <cell r="A2259" t="str">
            <v>1RE1LPUDT131CERZS1</v>
          </cell>
          <cell r="B2259">
            <v>22</v>
          </cell>
        </row>
        <row r="2260">
          <cell r="A2260" t="str">
            <v>1RE1LPUDT131RR1</v>
          </cell>
          <cell r="B2260">
            <v>22</v>
          </cell>
        </row>
        <row r="2261">
          <cell r="A2261" t="str">
            <v>1RE1LPUDT131RZA</v>
          </cell>
          <cell r="B2261">
            <v>21</v>
          </cell>
        </row>
        <row r="2262">
          <cell r="A2262" t="str">
            <v>1RE1LPUT1301ZAS1</v>
          </cell>
          <cell r="B2262">
            <v>199</v>
          </cell>
        </row>
        <row r="2263">
          <cell r="A2263" t="str">
            <v>1RE1LPUT2481ZA</v>
          </cell>
          <cell r="B2263">
            <v>313</v>
          </cell>
        </row>
        <row r="2264">
          <cell r="A2264" t="str">
            <v>1RE1LPUT2481ZAR1</v>
          </cell>
          <cell r="B2264">
            <v>314</v>
          </cell>
        </row>
        <row r="2265">
          <cell r="A2265" t="str">
            <v>1RE1LPUT2481ZAS2</v>
          </cell>
          <cell r="B2265">
            <v>326</v>
          </cell>
        </row>
        <row r="2266">
          <cell r="A2266" t="str">
            <v>1RE1LPUT2482ZA</v>
          </cell>
          <cell r="B2266">
            <v>147</v>
          </cell>
        </row>
        <row r="2267">
          <cell r="A2267" t="str">
            <v>1RE1LPUT2482ZAR1</v>
          </cell>
          <cell r="B2267">
            <v>147</v>
          </cell>
        </row>
        <row r="2268">
          <cell r="A2268" t="str">
            <v>1RE1LPUT2482ZAS2</v>
          </cell>
          <cell r="B2268">
            <v>155</v>
          </cell>
        </row>
        <row r="2269">
          <cell r="A2269" t="str">
            <v>1RE1LPUT2483ZA</v>
          </cell>
          <cell r="B2269">
            <v>8</v>
          </cell>
        </row>
        <row r="2270">
          <cell r="A2270" t="str">
            <v>1RE1LPUT2483ZAR1</v>
          </cell>
          <cell r="B2270">
            <v>8</v>
          </cell>
        </row>
        <row r="2271">
          <cell r="A2271" t="str">
            <v>1RE1LPUT2483ZAS2</v>
          </cell>
          <cell r="B2271">
            <v>8</v>
          </cell>
        </row>
        <row r="2272">
          <cell r="A2272" t="str">
            <v>1RE1LPUT248N1ZA</v>
          </cell>
          <cell r="B2272">
            <v>329</v>
          </cell>
        </row>
        <row r="2273">
          <cell r="A2273" t="str">
            <v>1RE1LPUT248N1ZAR1</v>
          </cell>
          <cell r="B2273">
            <v>329</v>
          </cell>
        </row>
        <row r="2274">
          <cell r="A2274" t="str">
            <v>1RE1LPVC13001ZA-R1</v>
          </cell>
          <cell r="B2274">
            <v>871</v>
          </cell>
        </row>
        <row r="2275">
          <cell r="A2275" t="str">
            <v>1RE1LPVC13002ZA-R1</v>
          </cell>
          <cell r="B2275">
            <v>183</v>
          </cell>
        </row>
        <row r="2276">
          <cell r="A2276" t="str">
            <v>1RE1LPVC16001ZA-R1</v>
          </cell>
          <cell r="B2276">
            <v>976</v>
          </cell>
        </row>
        <row r="2277">
          <cell r="A2277" t="str">
            <v>1RE1LPVC16002ZA-R1</v>
          </cell>
          <cell r="B2277">
            <v>190</v>
          </cell>
        </row>
        <row r="2278">
          <cell r="A2278" t="str">
            <v>1RE1LPVC20001ZA-S2</v>
          </cell>
          <cell r="B2278">
            <v>1597</v>
          </cell>
        </row>
        <row r="2279">
          <cell r="A2279" t="str">
            <v>1RE1LPVC20002ZA-S2</v>
          </cell>
          <cell r="B2279">
            <v>233</v>
          </cell>
        </row>
        <row r="2280">
          <cell r="A2280" t="str">
            <v>1RE1LPVC3001ZA</v>
          </cell>
          <cell r="B2280">
            <v>622</v>
          </cell>
        </row>
        <row r="2281">
          <cell r="A2281" t="str">
            <v>1RE1LPVC3002ZA</v>
          </cell>
          <cell r="B2281">
            <v>322</v>
          </cell>
        </row>
        <row r="2282">
          <cell r="A2282" t="str">
            <v>1RE1LPVC300BX1ZA</v>
          </cell>
          <cell r="B2282">
            <v>622</v>
          </cell>
        </row>
        <row r="2283">
          <cell r="A2283" t="str">
            <v>1RE1LPVC300CN1ZA</v>
          </cell>
          <cell r="B2283">
            <v>622</v>
          </cell>
        </row>
        <row r="2284">
          <cell r="A2284" t="str">
            <v>1RE1LPVC300CX1ZA</v>
          </cell>
          <cell r="B2284">
            <v>622</v>
          </cell>
        </row>
        <row r="2285">
          <cell r="A2285" t="str">
            <v>1RE1LPVC300EX1ZA</v>
          </cell>
          <cell r="B2285">
            <v>622</v>
          </cell>
        </row>
        <row r="2286">
          <cell r="A2286" t="str">
            <v>1RE1LPVC300NA1ZA</v>
          </cell>
          <cell r="B2286">
            <v>622</v>
          </cell>
        </row>
        <row r="2287">
          <cell r="A2287" t="str">
            <v>1RE1LPVC6001ZA</v>
          </cell>
          <cell r="B2287">
            <v>705</v>
          </cell>
        </row>
        <row r="2288">
          <cell r="A2288" t="str">
            <v>1RE1LPVC6002ZA</v>
          </cell>
          <cell r="B2288">
            <v>337</v>
          </cell>
        </row>
        <row r="2289">
          <cell r="A2289" t="str">
            <v>1RE1LPVC600BX1ZA</v>
          </cell>
          <cell r="B2289">
            <v>705</v>
          </cell>
        </row>
        <row r="2290">
          <cell r="A2290" t="str">
            <v>1RE1LPVC600CN1ZA</v>
          </cell>
          <cell r="B2290">
            <v>705</v>
          </cell>
        </row>
        <row r="2291">
          <cell r="A2291" t="str">
            <v>1RE1LPVC600CX1ZA</v>
          </cell>
          <cell r="B2291">
            <v>705</v>
          </cell>
        </row>
        <row r="2292">
          <cell r="A2292" t="str">
            <v>1RE1LPVC600EX1ZA</v>
          </cell>
          <cell r="B2292">
            <v>705</v>
          </cell>
        </row>
        <row r="2293">
          <cell r="A2293" t="str">
            <v>1RE1LPVC600NA1ZA</v>
          </cell>
          <cell r="B2293">
            <v>705</v>
          </cell>
        </row>
        <row r="2294">
          <cell r="A2294" t="str">
            <v>1RE1LPWT125R1ZA</v>
          </cell>
          <cell r="B2294">
            <v>7</v>
          </cell>
        </row>
        <row r="2295">
          <cell r="A2295" t="str">
            <v>1RE1LPWT126R1ZA</v>
          </cell>
          <cell r="B2295">
            <v>7</v>
          </cell>
        </row>
        <row r="2296">
          <cell r="A2296" t="str">
            <v>1RE1LXQ1001ZA/AS</v>
          </cell>
          <cell r="B2296">
            <v>5</v>
          </cell>
        </row>
        <row r="2297">
          <cell r="A2297" t="str">
            <v>1RE1LXQ1002ZA/AS</v>
          </cell>
          <cell r="B2297">
            <v>5</v>
          </cell>
        </row>
        <row r="2298">
          <cell r="A2298" t="str">
            <v>1RE1LXS1001ZA/AS</v>
          </cell>
          <cell r="B2298">
            <v>5</v>
          </cell>
        </row>
        <row r="2299">
          <cell r="A2299" t="str">
            <v>1RE1NCP1104</v>
          </cell>
          <cell r="B2299">
            <v>127</v>
          </cell>
        </row>
        <row r="2300">
          <cell r="A2300" t="str">
            <v>1RE1NCP1104CN</v>
          </cell>
          <cell r="B2300">
            <v>127</v>
          </cell>
        </row>
        <row r="2301">
          <cell r="A2301" t="str">
            <v>1RE1NCP1104M1</v>
          </cell>
          <cell r="B2301">
            <v>127</v>
          </cell>
        </row>
        <row r="2302">
          <cell r="A2302" t="str">
            <v>1RE1NCP1104XJ</v>
          </cell>
          <cell r="B2302">
            <v>127</v>
          </cell>
        </row>
        <row r="2303">
          <cell r="A2303" t="str">
            <v>1RE1NCP1104XJSX</v>
          </cell>
          <cell r="B2303">
            <v>127</v>
          </cell>
        </row>
        <row r="2304">
          <cell r="A2304" t="str">
            <v>1RE1NCP1104XV4</v>
          </cell>
          <cell r="B2304">
            <v>127</v>
          </cell>
        </row>
        <row r="2305">
          <cell r="A2305" t="str">
            <v>1RE1NCP1170XJSX</v>
          </cell>
          <cell r="B2305">
            <v>250</v>
          </cell>
        </row>
        <row r="2306">
          <cell r="A2306" t="str">
            <v>1RE1NCP1171</v>
          </cell>
          <cell r="B2306">
            <v>334</v>
          </cell>
        </row>
        <row r="2307">
          <cell r="A2307" t="str">
            <v>1RE1NCP1171CN</v>
          </cell>
          <cell r="B2307">
            <v>233</v>
          </cell>
        </row>
        <row r="2308">
          <cell r="A2308" t="str">
            <v>1RE1NCP1171M1</v>
          </cell>
          <cell r="B2308">
            <v>334</v>
          </cell>
        </row>
        <row r="2309">
          <cell r="A2309" t="str">
            <v>1RE1NCP1171NEV4</v>
          </cell>
          <cell r="B2309">
            <v>334</v>
          </cell>
        </row>
        <row r="2310">
          <cell r="A2310" t="str">
            <v>1RE1NCP1171XJ</v>
          </cell>
          <cell r="B2310">
            <v>334</v>
          </cell>
        </row>
        <row r="2311">
          <cell r="A2311" t="str">
            <v>1RE1NCP1171XJSX</v>
          </cell>
          <cell r="B2311">
            <v>334</v>
          </cell>
        </row>
        <row r="2312">
          <cell r="A2312" t="str">
            <v>1RE1NCP1172</v>
          </cell>
          <cell r="B2312">
            <v>538</v>
          </cell>
        </row>
        <row r="2313">
          <cell r="A2313" t="str">
            <v>1RE1NCP1172CN</v>
          </cell>
          <cell r="B2313">
            <v>538</v>
          </cell>
        </row>
        <row r="2314">
          <cell r="A2314" t="str">
            <v>1RE1NCP1172M1</v>
          </cell>
          <cell r="B2314">
            <v>538</v>
          </cell>
        </row>
        <row r="2315">
          <cell r="A2315" t="str">
            <v>1RE1NCP1172NEV4</v>
          </cell>
          <cell r="B2315">
            <v>538</v>
          </cell>
        </row>
        <row r="2316">
          <cell r="A2316" t="str">
            <v>1RE1NCP1172XJ</v>
          </cell>
          <cell r="B2316">
            <v>538</v>
          </cell>
        </row>
        <row r="2317">
          <cell r="A2317" t="str">
            <v>1RE1NCP1172XJSX</v>
          </cell>
          <cell r="B2317">
            <v>538</v>
          </cell>
        </row>
        <row r="2318">
          <cell r="A2318" t="str">
            <v>1RE1NCP1173</v>
          </cell>
          <cell r="B2318">
            <v>492</v>
          </cell>
        </row>
        <row r="2319">
          <cell r="A2319" t="str">
            <v>1RE1NCP1173CN</v>
          </cell>
          <cell r="B2319">
            <v>491</v>
          </cell>
        </row>
        <row r="2320">
          <cell r="A2320" t="str">
            <v>1RE1NCP1173M1</v>
          </cell>
          <cell r="B2320">
            <v>492</v>
          </cell>
        </row>
        <row r="2321">
          <cell r="A2321" t="str">
            <v>1RE1NCP1173NEV4</v>
          </cell>
          <cell r="B2321">
            <v>492</v>
          </cell>
        </row>
        <row r="2322">
          <cell r="A2322" t="str">
            <v>1RE1NCP1173XJ</v>
          </cell>
          <cell r="B2322">
            <v>492</v>
          </cell>
        </row>
        <row r="2323">
          <cell r="A2323" t="str">
            <v>1RE1NCP1173XJSX</v>
          </cell>
          <cell r="B2323">
            <v>492</v>
          </cell>
        </row>
        <row r="2324">
          <cell r="A2324" t="str">
            <v>1RE1NCP1174</v>
          </cell>
          <cell r="B2324">
            <v>211</v>
          </cell>
        </row>
        <row r="2325">
          <cell r="A2325" t="str">
            <v>1RE1NCP1174CN</v>
          </cell>
          <cell r="B2325">
            <v>210</v>
          </cell>
        </row>
        <row r="2326">
          <cell r="A2326" t="str">
            <v>1RE1NCP1174M1</v>
          </cell>
          <cell r="B2326">
            <v>211</v>
          </cell>
        </row>
        <row r="2327">
          <cell r="A2327" t="str">
            <v>1RE1NCP1174NEV4</v>
          </cell>
          <cell r="B2327">
            <v>211</v>
          </cell>
        </row>
        <row r="2328">
          <cell r="A2328" t="str">
            <v>1RE1NCP1174XJ</v>
          </cell>
          <cell r="B2328">
            <v>211</v>
          </cell>
        </row>
        <row r="2329">
          <cell r="A2329" t="str">
            <v>1RE1NCP1174XJSX</v>
          </cell>
          <cell r="B2329">
            <v>211</v>
          </cell>
        </row>
        <row r="2330">
          <cell r="A2330" t="str">
            <v>1RE1NCP1180</v>
          </cell>
          <cell r="B2330">
            <v>224</v>
          </cell>
        </row>
        <row r="2331">
          <cell r="A2331" t="str">
            <v>1RE1NCP1180AG</v>
          </cell>
          <cell r="B2331">
            <v>224</v>
          </cell>
        </row>
        <row r="2332">
          <cell r="A2332" t="str">
            <v>1RE1NCP1180AL</v>
          </cell>
          <cell r="B2332">
            <v>232</v>
          </cell>
        </row>
        <row r="2333">
          <cell r="A2333" t="str">
            <v>1RE1NCP1180C</v>
          </cell>
          <cell r="B2333">
            <v>224</v>
          </cell>
        </row>
        <row r="2334">
          <cell r="A2334" t="str">
            <v>1RE1NCP1180CN</v>
          </cell>
          <cell r="B2334">
            <v>223</v>
          </cell>
        </row>
        <row r="2335">
          <cell r="A2335" t="str">
            <v>1RE1NCP1180M1</v>
          </cell>
          <cell r="B2335">
            <v>224</v>
          </cell>
        </row>
        <row r="2336">
          <cell r="A2336" t="str">
            <v>1RE1NCP1180M2</v>
          </cell>
          <cell r="B2336">
            <v>224</v>
          </cell>
        </row>
        <row r="2337">
          <cell r="A2337" t="str">
            <v>1RE1NCP1180NEV4</v>
          </cell>
          <cell r="B2337">
            <v>224</v>
          </cell>
        </row>
        <row r="2338">
          <cell r="A2338" t="str">
            <v>1RE1NCP1180UKV4</v>
          </cell>
          <cell r="B2338">
            <v>224</v>
          </cell>
        </row>
        <row r="2339">
          <cell r="A2339" t="str">
            <v>1RE1NCP1180X</v>
          </cell>
          <cell r="B2339">
            <v>224</v>
          </cell>
        </row>
        <row r="2340">
          <cell r="A2340" t="str">
            <v>1RE1NCP1180XSX</v>
          </cell>
          <cell r="B2340">
            <v>224</v>
          </cell>
        </row>
        <row r="2341">
          <cell r="A2341" t="str">
            <v>1RE1NCP1187</v>
          </cell>
          <cell r="B2341">
            <v>384</v>
          </cell>
        </row>
        <row r="2342">
          <cell r="A2342" t="str">
            <v>1RE1NCP1187X</v>
          </cell>
          <cell r="B2342">
            <v>384</v>
          </cell>
        </row>
        <row r="2343">
          <cell r="A2343" t="str">
            <v>1RE1NCP1188CN</v>
          </cell>
          <cell r="B2343">
            <v>386</v>
          </cell>
        </row>
        <row r="2344">
          <cell r="A2344" t="str">
            <v>1RE1NCP1188XJ</v>
          </cell>
          <cell r="B2344">
            <v>386</v>
          </cell>
        </row>
        <row r="2345">
          <cell r="A2345" t="str">
            <v>1RE1NCP1280CE</v>
          </cell>
          <cell r="B2345">
            <v>55</v>
          </cell>
        </row>
        <row r="2346">
          <cell r="A2346" t="str">
            <v>1RE1NCP1280CN</v>
          </cell>
          <cell r="B2346">
            <v>55</v>
          </cell>
        </row>
        <row r="2347">
          <cell r="A2347" t="str">
            <v>1RE1NCP1280M1</v>
          </cell>
          <cell r="B2347">
            <v>55</v>
          </cell>
        </row>
        <row r="2348">
          <cell r="A2348" t="str">
            <v>1RE1NCP1280XJ</v>
          </cell>
          <cell r="B2348">
            <v>55</v>
          </cell>
        </row>
        <row r="2349">
          <cell r="A2349" t="str">
            <v>1RE1NCP1280XJSX</v>
          </cell>
          <cell r="B2349">
            <v>55</v>
          </cell>
        </row>
        <row r="2350">
          <cell r="A2350" t="str">
            <v>1RE1NCP1290</v>
          </cell>
          <cell r="B2350">
            <v>480</v>
          </cell>
        </row>
        <row r="2351">
          <cell r="A2351" t="str">
            <v>1RE1NCP1290CE</v>
          </cell>
          <cell r="B2351">
            <v>473</v>
          </cell>
        </row>
        <row r="2352">
          <cell r="A2352" t="str">
            <v>1RE1NCP1290CJ</v>
          </cell>
          <cell r="B2352">
            <v>474</v>
          </cell>
        </row>
        <row r="2353">
          <cell r="A2353" t="str">
            <v>1RE1NCP1290CJSX</v>
          </cell>
          <cell r="B2353">
            <v>474</v>
          </cell>
        </row>
        <row r="2354">
          <cell r="A2354" t="str">
            <v>1RE1NCP1290CN</v>
          </cell>
          <cell r="B2354">
            <v>473</v>
          </cell>
        </row>
        <row r="2355">
          <cell r="A2355" t="str">
            <v>1RE1NCP1290M1</v>
          </cell>
          <cell r="B2355">
            <v>474</v>
          </cell>
        </row>
        <row r="2356">
          <cell r="A2356" t="str">
            <v>1RE1NCP1290X</v>
          </cell>
          <cell r="B2356">
            <v>480</v>
          </cell>
        </row>
        <row r="2357">
          <cell r="A2357" t="str">
            <v>1RE1NS0106</v>
          </cell>
          <cell r="B2357">
            <v>146</v>
          </cell>
        </row>
        <row r="2358">
          <cell r="A2358" t="str">
            <v>1RE1NS0106CN</v>
          </cell>
          <cell r="B2358">
            <v>145</v>
          </cell>
        </row>
        <row r="2359">
          <cell r="A2359" t="str">
            <v>1RE1NS0106X</v>
          </cell>
          <cell r="B2359">
            <v>145</v>
          </cell>
        </row>
        <row r="2360">
          <cell r="A2360" t="str">
            <v>1RE1NS0106XEU</v>
          </cell>
          <cell r="B2360">
            <v>145</v>
          </cell>
        </row>
        <row r="2361">
          <cell r="A2361" t="str">
            <v>1RE1NS0106XS1</v>
          </cell>
          <cell r="B2361">
            <v>146</v>
          </cell>
        </row>
        <row r="2362">
          <cell r="A2362" t="str">
            <v>1RE1NS0106XSX</v>
          </cell>
          <cell r="B2362">
            <v>145</v>
          </cell>
        </row>
        <row r="2363">
          <cell r="A2363" t="str">
            <v>1RE1NS0110</v>
          </cell>
          <cell r="B2363">
            <v>114</v>
          </cell>
        </row>
        <row r="2364">
          <cell r="A2364" t="str">
            <v>1RE1NS0110CN</v>
          </cell>
          <cell r="B2364">
            <v>114</v>
          </cell>
        </row>
        <row r="2365">
          <cell r="A2365" t="str">
            <v>1RE1NS0110X</v>
          </cell>
          <cell r="B2365">
            <v>114</v>
          </cell>
        </row>
        <row r="2366">
          <cell r="A2366" t="str">
            <v>1RE1NS0110XEU</v>
          </cell>
          <cell r="B2366">
            <v>114</v>
          </cell>
        </row>
        <row r="2367">
          <cell r="A2367" t="str">
            <v>1RE1NS0110XS1</v>
          </cell>
          <cell r="B2367">
            <v>114</v>
          </cell>
        </row>
        <row r="2368">
          <cell r="A2368" t="str">
            <v>1RE1NS0110X-S2</v>
          </cell>
          <cell r="B2368">
            <v>114</v>
          </cell>
        </row>
        <row r="2369">
          <cell r="A2369" t="str">
            <v>1RE1NS0110XSX</v>
          </cell>
          <cell r="B2369">
            <v>114</v>
          </cell>
        </row>
        <row r="2370">
          <cell r="A2370" t="str">
            <v>1RE1NS0110XVN</v>
          </cell>
          <cell r="B2370">
            <v>114</v>
          </cell>
        </row>
        <row r="2371">
          <cell r="A2371" t="str">
            <v>1RE1NS0111</v>
          </cell>
          <cell r="B2371">
            <v>114</v>
          </cell>
        </row>
        <row r="2372">
          <cell r="A2372" t="str">
            <v>1RE1NS0111CN</v>
          </cell>
          <cell r="B2372">
            <v>114</v>
          </cell>
        </row>
        <row r="2373">
          <cell r="A2373" t="str">
            <v>1RE1NS0111X</v>
          </cell>
          <cell r="B2373">
            <v>114</v>
          </cell>
        </row>
        <row r="2374">
          <cell r="A2374" t="str">
            <v>1RE1NS0111XEU</v>
          </cell>
          <cell r="B2374">
            <v>114</v>
          </cell>
        </row>
        <row r="2375">
          <cell r="A2375" t="str">
            <v>1RE1NS0111XS1</v>
          </cell>
          <cell r="B2375">
            <v>114</v>
          </cell>
        </row>
        <row r="2376">
          <cell r="A2376" t="str">
            <v>1RE1NS0111X-S2</v>
          </cell>
          <cell r="B2376">
            <v>114</v>
          </cell>
        </row>
        <row r="2377">
          <cell r="A2377" t="str">
            <v>1RE1NS0111XSX</v>
          </cell>
          <cell r="B2377">
            <v>114</v>
          </cell>
        </row>
        <row r="2378">
          <cell r="A2378" t="str">
            <v>1RE1NS0111XVN</v>
          </cell>
          <cell r="B2378">
            <v>114</v>
          </cell>
        </row>
        <row r="2379">
          <cell r="A2379" t="str">
            <v>1RE1NS0112</v>
          </cell>
          <cell r="B2379">
            <v>207</v>
          </cell>
        </row>
        <row r="2380">
          <cell r="A2380" t="str">
            <v>1RE1NS0112CN</v>
          </cell>
          <cell r="B2380">
            <v>207</v>
          </cell>
        </row>
        <row r="2381">
          <cell r="A2381" t="str">
            <v>1RE1NS0112X</v>
          </cell>
          <cell r="B2381">
            <v>207</v>
          </cell>
        </row>
        <row r="2382">
          <cell r="A2382" t="str">
            <v>1RE1NS0112XEU</v>
          </cell>
          <cell r="B2382">
            <v>207</v>
          </cell>
        </row>
        <row r="2383">
          <cell r="A2383" t="str">
            <v>1RE1NS0112XS1</v>
          </cell>
          <cell r="B2383">
            <v>207</v>
          </cell>
        </row>
        <row r="2384">
          <cell r="A2384" t="str">
            <v>1RE1NS0112X-S2</v>
          </cell>
          <cell r="B2384">
            <v>207</v>
          </cell>
        </row>
        <row r="2385">
          <cell r="A2385" t="str">
            <v>1RE1NS0112XSX</v>
          </cell>
          <cell r="B2385">
            <v>207</v>
          </cell>
        </row>
        <row r="2386">
          <cell r="A2386" t="str">
            <v>1RE1NS0112XVN</v>
          </cell>
          <cell r="B2386">
            <v>207</v>
          </cell>
        </row>
        <row r="2387">
          <cell r="A2387" t="str">
            <v>1RE1NS0130</v>
          </cell>
          <cell r="B2387">
            <v>52</v>
          </cell>
        </row>
        <row r="2388">
          <cell r="A2388" t="str">
            <v>1RE1NS0130CN</v>
          </cell>
          <cell r="B2388">
            <v>51</v>
          </cell>
        </row>
        <row r="2389">
          <cell r="A2389" t="str">
            <v>1RE1NS0130-S3</v>
          </cell>
          <cell r="B2389">
            <v>51</v>
          </cell>
        </row>
        <row r="2390">
          <cell r="A2390" t="str">
            <v>1RE1NS0130V4R1</v>
          </cell>
          <cell r="B2390">
            <v>53</v>
          </cell>
        </row>
        <row r="2391">
          <cell r="A2391" t="str">
            <v>1RE1NS0130X</v>
          </cell>
          <cell r="B2391">
            <v>51</v>
          </cell>
        </row>
        <row r="2392">
          <cell r="A2392" t="str">
            <v>1RE1NS0130XEU</v>
          </cell>
          <cell r="B2392">
            <v>51</v>
          </cell>
        </row>
        <row r="2393">
          <cell r="A2393" t="str">
            <v>1RE1NS0130XSX</v>
          </cell>
          <cell r="B2393">
            <v>51</v>
          </cell>
        </row>
        <row r="2394">
          <cell r="A2394" t="str">
            <v>1RE1NS0130XV7R1</v>
          </cell>
          <cell r="B2394">
            <v>53</v>
          </cell>
        </row>
        <row r="2395">
          <cell r="A2395" t="str">
            <v>1RE1NS0130XV7S2</v>
          </cell>
          <cell r="B2395">
            <v>185</v>
          </cell>
        </row>
        <row r="2396">
          <cell r="A2396" t="str">
            <v>1RE1NS0130XVN</v>
          </cell>
          <cell r="B2396">
            <v>51</v>
          </cell>
        </row>
        <row r="2397">
          <cell r="A2397" t="str">
            <v>1RE1NS0131</v>
          </cell>
          <cell r="B2397">
            <v>685</v>
          </cell>
        </row>
        <row r="2398">
          <cell r="A2398" t="str">
            <v>1RE1NS0131V4R1</v>
          </cell>
          <cell r="B2398">
            <v>684</v>
          </cell>
        </row>
        <row r="2399">
          <cell r="A2399" t="str">
            <v>1RE1NS0131X</v>
          </cell>
          <cell r="B2399">
            <v>685</v>
          </cell>
        </row>
        <row r="2400">
          <cell r="A2400" t="str">
            <v>1RE1NS0131XEU</v>
          </cell>
          <cell r="B2400">
            <v>685</v>
          </cell>
        </row>
        <row r="2401">
          <cell r="A2401" t="str">
            <v>1RE1NS0131XSX</v>
          </cell>
          <cell r="B2401">
            <v>685</v>
          </cell>
        </row>
        <row r="2402">
          <cell r="A2402" t="str">
            <v>1RE1NS0131XV7R1</v>
          </cell>
          <cell r="B2402">
            <v>685</v>
          </cell>
        </row>
        <row r="2403">
          <cell r="A2403" t="str">
            <v>1RE1NS0131XV7S2</v>
          </cell>
          <cell r="B2403">
            <v>739</v>
          </cell>
        </row>
        <row r="2404">
          <cell r="A2404" t="str">
            <v>1RE1NS0132</v>
          </cell>
          <cell r="B2404">
            <v>685</v>
          </cell>
        </row>
        <row r="2405">
          <cell r="A2405" t="str">
            <v>1RE1NS0132CN</v>
          </cell>
          <cell r="B2405">
            <v>685</v>
          </cell>
        </row>
        <row r="2406">
          <cell r="A2406" t="str">
            <v>1RE1NS0132G</v>
          </cell>
          <cell r="B2406">
            <v>685</v>
          </cell>
        </row>
        <row r="2407">
          <cell r="A2407" t="str">
            <v>1RE1NS0132SXG</v>
          </cell>
          <cell r="B2407">
            <v>685</v>
          </cell>
        </row>
        <row r="2408">
          <cell r="A2408" t="str">
            <v>1RE1NS0132V4R1</v>
          </cell>
          <cell r="B2408">
            <v>685</v>
          </cell>
        </row>
        <row r="2409">
          <cell r="A2409" t="str">
            <v>1RE1NS0132X</v>
          </cell>
          <cell r="B2409">
            <v>685</v>
          </cell>
        </row>
        <row r="2410">
          <cell r="A2410" t="str">
            <v>1RE1NS0132XEU</v>
          </cell>
          <cell r="B2410">
            <v>685</v>
          </cell>
        </row>
        <row r="2411">
          <cell r="A2411" t="str">
            <v>1RE1NS0132XG</v>
          </cell>
          <cell r="B2411">
            <v>685</v>
          </cell>
        </row>
        <row r="2412">
          <cell r="A2412" t="str">
            <v>1RE1NS0132XGEU</v>
          </cell>
          <cell r="B2412">
            <v>685</v>
          </cell>
        </row>
        <row r="2413">
          <cell r="A2413" t="str">
            <v>1RE1NS0132XSX</v>
          </cell>
          <cell r="B2413">
            <v>685</v>
          </cell>
        </row>
        <row r="2414">
          <cell r="A2414" t="str">
            <v>1RE1NS0132XV4R1</v>
          </cell>
          <cell r="B2414">
            <v>685</v>
          </cell>
        </row>
        <row r="2415">
          <cell r="A2415" t="str">
            <v>1RE1NS0132XV7R1</v>
          </cell>
          <cell r="B2415">
            <v>685</v>
          </cell>
        </row>
        <row r="2416">
          <cell r="A2416" t="str">
            <v>1RE1NS0132XV7S2</v>
          </cell>
          <cell r="B2416">
            <v>739</v>
          </cell>
        </row>
        <row r="2417">
          <cell r="A2417" t="str">
            <v>1RE1NS0132XVN</v>
          </cell>
          <cell r="B2417">
            <v>685</v>
          </cell>
        </row>
        <row r="2418">
          <cell r="A2418" t="str">
            <v>1RE1NS0161</v>
          </cell>
          <cell r="B2418">
            <v>81</v>
          </cell>
        </row>
        <row r="2419">
          <cell r="A2419" t="str">
            <v>1RE1NS0161CN</v>
          </cell>
          <cell r="B2419">
            <v>81</v>
          </cell>
        </row>
        <row r="2420">
          <cell r="A2420" t="str">
            <v>1RE1NS0161X</v>
          </cell>
          <cell r="B2420">
            <v>81</v>
          </cell>
        </row>
        <row r="2421">
          <cell r="A2421" t="str">
            <v>1RE1NS0161XEU</v>
          </cell>
          <cell r="B2421">
            <v>81</v>
          </cell>
        </row>
        <row r="2422">
          <cell r="A2422" t="str">
            <v>1RE1NS0161XS1</v>
          </cell>
          <cell r="B2422">
            <v>81</v>
          </cell>
        </row>
        <row r="2423">
          <cell r="A2423" t="str">
            <v>1RE1NS0161XSX</v>
          </cell>
          <cell r="B2423">
            <v>81</v>
          </cell>
        </row>
        <row r="2424">
          <cell r="A2424" t="str">
            <v>1RE1NS0180</v>
          </cell>
          <cell r="B2424">
            <v>198</v>
          </cell>
        </row>
        <row r="2425">
          <cell r="A2425" t="str">
            <v>1RE1NS0180AG</v>
          </cell>
          <cell r="B2425">
            <v>198</v>
          </cell>
        </row>
        <row r="2426">
          <cell r="A2426" t="str">
            <v>1RE1NS0180AL</v>
          </cell>
          <cell r="B2426">
            <v>198</v>
          </cell>
        </row>
        <row r="2427">
          <cell r="A2427" t="str">
            <v>1RE1NS0180CN</v>
          </cell>
          <cell r="B2427">
            <v>198</v>
          </cell>
        </row>
        <row r="2428">
          <cell r="A2428" t="str">
            <v>1RE1NS0180TW</v>
          </cell>
          <cell r="B2428">
            <v>194</v>
          </cell>
        </row>
        <row r="2429">
          <cell r="A2429" t="str">
            <v>1RE1NS0180UK</v>
          </cell>
          <cell r="B2429">
            <v>198</v>
          </cell>
        </row>
        <row r="2430">
          <cell r="A2430" t="str">
            <v>1RE1NS0180UKS1</v>
          </cell>
          <cell r="B2430">
            <v>198</v>
          </cell>
        </row>
        <row r="2431">
          <cell r="A2431" t="str">
            <v>1RE1NS0180X</v>
          </cell>
          <cell r="B2431">
            <v>198</v>
          </cell>
        </row>
        <row r="2432">
          <cell r="A2432" t="str">
            <v>1RE1NS0180XEU</v>
          </cell>
          <cell r="B2432">
            <v>198</v>
          </cell>
        </row>
        <row r="2433">
          <cell r="A2433" t="str">
            <v>1RE1NS0180XS1</v>
          </cell>
          <cell r="B2433">
            <v>198</v>
          </cell>
        </row>
        <row r="2434">
          <cell r="A2434" t="str">
            <v>1RE1NS0180XSX</v>
          </cell>
          <cell r="B2434">
            <v>198</v>
          </cell>
        </row>
        <row r="2435">
          <cell r="A2435" t="str">
            <v>1RE1NS0280X</v>
          </cell>
          <cell r="B2435">
            <v>63</v>
          </cell>
        </row>
        <row r="2436">
          <cell r="A2436" t="str">
            <v>1RE1NS0280XEU</v>
          </cell>
          <cell r="B2436">
            <v>63</v>
          </cell>
        </row>
        <row r="2437">
          <cell r="A2437" t="str">
            <v>1RE1NS0280XS1</v>
          </cell>
          <cell r="B2437">
            <v>63</v>
          </cell>
        </row>
        <row r="2438">
          <cell r="A2438" t="str">
            <v>1RE1NS0290</v>
          </cell>
          <cell r="B2438">
            <v>46</v>
          </cell>
        </row>
        <row r="2439">
          <cell r="A2439" t="str">
            <v>1RE1NS0290CE</v>
          </cell>
          <cell r="B2439">
            <v>46</v>
          </cell>
        </row>
        <row r="2440">
          <cell r="A2440" t="str">
            <v>1RE1NS0290CES1</v>
          </cell>
          <cell r="B2440">
            <v>46</v>
          </cell>
        </row>
        <row r="2441">
          <cell r="A2441" t="str">
            <v>1RE1NS0290CESX</v>
          </cell>
          <cell r="B2441">
            <v>46</v>
          </cell>
        </row>
        <row r="2442">
          <cell r="A2442" t="str">
            <v>1RE1NS0290CN</v>
          </cell>
          <cell r="B2442">
            <v>46</v>
          </cell>
        </row>
        <row r="2443">
          <cell r="A2443" t="str">
            <v>1RE1NS0290MS</v>
          </cell>
          <cell r="B2443">
            <v>46</v>
          </cell>
        </row>
        <row r="2444">
          <cell r="A2444" t="str">
            <v>1RE1NS0290S1</v>
          </cell>
          <cell r="B2444">
            <v>46</v>
          </cell>
        </row>
        <row r="2445">
          <cell r="A2445" t="str">
            <v>1RE1NS0290X</v>
          </cell>
          <cell r="B2445">
            <v>46</v>
          </cell>
        </row>
        <row r="2446">
          <cell r="A2446" t="str">
            <v>1RE1NS5110</v>
          </cell>
          <cell r="B2446">
            <v>113</v>
          </cell>
        </row>
        <row r="2447">
          <cell r="A2447" t="str">
            <v>1RE1NS5110CN</v>
          </cell>
          <cell r="B2447">
            <v>113</v>
          </cell>
        </row>
        <row r="2448">
          <cell r="A2448" t="str">
            <v>1RE1NS5110SX</v>
          </cell>
          <cell r="B2448">
            <v>113</v>
          </cell>
        </row>
        <row r="2449">
          <cell r="A2449" t="str">
            <v>1RE1NS5110-T1</v>
          </cell>
          <cell r="B2449">
            <v>113</v>
          </cell>
        </row>
        <row r="2450">
          <cell r="A2450" t="str">
            <v>1RE1NS5110-T2</v>
          </cell>
          <cell r="B2450">
            <v>113</v>
          </cell>
        </row>
        <row r="2451">
          <cell r="A2451" t="str">
            <v>1RE1NS5110X</v>
          </cell>
          <cell r="B2451">
            <v>113</v>
          </cell>
        </row>
        <row r="2452">
          <cell r="A2452" t="str">
            <v>1RE1NS5110XEU</v>
          </cell>
          <cell r="B2452">
            <v>113</v>
          </cell>
        </row>
        <row r="2453">
          <cell r="A2453" t="str">
            <v>1RE1NS5110XS2</v>
          </cell>
          <cell r="B2453">
            <v>114</v>
          </cell>
        </row>
        <row r="2454">
          <cell r="A2454" t="str">
            <v>1RE1NS5110XS3</v>
          </cell>
          <cell r="B2454">
            <v>113</v>
          </cell>
        </row>
        <row r="2455">
          <cell r="A2455" t="str">
            <v>1RE1NS5110XS4</v>
          </cell>
          <cell r="B2455">
            <v>113</v>
          </cell>
        </row>
        <row r="2456">
          <cell r="A2456" t="str">
            <v>1RE1NS5110XVN</v>
          </cell>
          <cell r="B2456">
            <v>113</v>
          </cell>
        </row>
        <row r="2457">
          <cell r="A2457" t="str">
            <v>1RE1NS5110XZA</v>
          </cell>
          <cell r="B2457">
            <v>113</v>
          </cell>
        </row>
        <row r="2458">
          <cell r="A2458" t="str">
            <v>1RE1NS5111</v>
          </cell>
          <cell r="B2458">
            <v>113</v>
          </cell>
        </row>
        <row r="2459">
          <cell r="A2459" t="str">
            <v>1RE1NS5111CN</v>
          </cell>
          <cell r="B2459">
            <v>113</v>
          </cell>
        </row>
        <row r="2460">
          <cell r="A2460" t="str">
            <v>1RE1NS5111SX</v>
          </cell>
          <cell r="B2460">
            <v>113</v>
          </cell>
        </row>
        <row r="2461">
          <cell r="A2461" t="str">
            <v>1RE1NS5111X</v>
          </cell>
          <cell r="B2461">
            <v>113</v>
          </cell>
        </row>
        <row r="2462">
          <cell r="A2462" t="str">
            <v>1RE1NS5111XEU</v>
          </cell>
          <cell r="B2462">
            <v>113</v>
          </cell>
        </row>
        <row r="2463">
          <cell r="A2463" t="str">
            <v>1RE1NS5111XS2</v>
          </cell>
          <cell r="B2463">
            <v>114</v>
          </cell>
        </row>
        <row r="2464">
          <cell r="A2464" t="str">
            <v>1RE1NS5111XS3</v>
          </cell>
          <cell r="B2464">
            <v>113</v>
          </cell>
        </row>
        <row r="2465">
          <cell r="A2465" t="str">
            <v>1RE1NS5111XS4</v>
          </cell>
          <cell r="B2465">
            <v>113</v>
          </cell>
        </row>
        <row r="2466">
          <cell r="A2466" t="str">
            <v>1RE1NS5112</v>
          </cell>
          <cell r="B2466">
            <v>206</v>
          </cell>
        </row>
        <row r="2467">
          <cell r="A2467" t="str">
            <v>1RE1NS5112CN</v>
          </cell>
          <cell r="B2467">
            <v>206</v>
          </cell>
        </row>
        <row r="2468">
          <cell r="A2468" t="str">
            <v>1RE1NS5112SX</v>
          </cell>
          <cell r="B2468">
            <v>206</v>
          </cell>
        </row>
        <row r="2469">
          <cell r="A2469" t="str">
            <v>1RE1NS5112-T1</v>
          </cell>
          <cell r="B2469">
            <v>204</v>
          </cell>
        </row>
        <row r="2470">
          <cell r="A2470" t="str">
            <v>1RE1NS5112X</v>
          </cell>
          <cell r="B2470">
            <v>206</v>
          </cell>
        </row>
        <row r="2471">
          <cell r="A2471" t="str">
            <v>1RE1NS5112XEU</v>
          </cell>
          <cell r="B2471">
            <v>206</v>
          </cell>
        </row>
        <row r="2472">
          <cell r="A2472" t="str">
            <v>1RE1NS5112XS2</v>
          </cell>
          <cell r="B2472">
            <v>207</v>
          </cell>
        </row>
        <row r="2473">
          <cell r="A2473" t="str">
            <v>1RE1NS5112XS3</v>
          </cell>
          <cell r="B2473">
            <v>206</v>
          </cell>
        </row>
        <row r="2474">
          <cell r="A2474" t="str">
            <v>1RE1NS5112XS4</v>
          </cell>
          <cell r="B2474">
            <v>206</v>
          </cell>
        </row>
        <row r="2475">
          <cell r="A2475" t="str">
            <v>1RE1NS5113-S1</v>
          </cell>
          <cell r="B2475">
            <v>227</v>
          </cell>
        </row>
        <row r="2476">
          <cell r="A2476" t="str">
            <v>1RE1NS5130CN</v>
          </cell>
          <cell r="B2476">
            <v>124</v>
          </cell>
        </row>
        <row r="2477">
          <cell r="A2477" t="str">
            <v>1RE1NS5130SX</v>
          </cell>
          <cell r="B2477">
            <v>127</v>
          </cell>
        </row>
        <row r="2478">
          <cell r="A2478" t="str">
            <v>1RE1NS5130X</v>
          </cell>
          <cell r="B2478">
            <v>127</v>
          </cell>
        </row>
        <row r="2479">
          <cell r="A2479" t="str">
            <v>1RE1NS5130XEU</v>
          </cell>
          <cell r="B2479">
            <v>127</v>
          </cell>
        </row>
        <row r="2480">
          <cell r="A2480" t="str">
            <v>1RE1NS5130XS1</v>
          </cell>
          <cell r="B2480">
            <v>45</v>
          </cell>
        </row>
        <row r="2481">
          <cell r="A2481" t="str">
            <v>1RE1NS5130XS2</v>
          </cell>
          <cell r="B2481">
            <v>45</v>
          </cell>
        </row>
        <row r="2482">
          <cell r="A2482" t="str">
            <v>1RE1NS5130XS3</v>
          </cell>
          <cell r="B2482">
            <v>84</v>
          </cell>
        </row>
        <row r="2483">
          <cell r="A2483" t="str">
            <v>1RE1NS5130XS4</v>
          </cell>
          <cell r="B2483">
            <v>115</v>
          </cell>
        </row>
        <row r="2484">
          <cell r="A2484" t="str">
            <v>1RE1NS5130XVN</v>
          </cell>
          <cell r="B2484">
            <v>127</v>
          </cell>
        </row>
        <row r="2485">
          <cell r="A2485" t="str">
            <v>1RE1NS5162</v>
          </cell>
          <cell r="B2485">
            <v>1</v>
          </cell>
        </row>
        <row r="2486">
          <cell r="A2486" t="str">
            <v>1RE1NS5162CN</v>
          </cell>
          <cell r="B2486">
            <v>1</v>
          </cell>
        </row>
        <row r="2487">
          <cell r="A2487" t="str">
            <v>1RE1NS5162SX</v>
          </cell>
          <cell r="B2487">
            <v>1</v>
          </cell>
        </row>
        <row r="2488">
          <cell r="A2488" t="str">
            <v>1RE1NS5162X</v>
          </cell>
          <cell r="B2488">
            <v>1</v>
          </cell>
        </row>
        <row r="2489">
          <cell r="A2489" t="str">
            <v>1RE1NS5162XEU</v>
          </cell>
          <cell r="B2489">
            <v>1</v>
          </cell>
        </row>
        <row r="2490">
          <cell r="A2490" t="str">
            <v>1RE1NS5162XS1</v>
          </cell>
          <cell r="B2490">
            <v>151</v>
          </cell>
        </row>
        <row r="2491">
          <cell r="A2491" t="str">
            <v>1RE1NS5162XS2</v>
          </cell>
          <cell r="B2491">
            <v>151</v>
          </cell>
        </row>
        <row r="2492">
          <cell r="A2492" t="str">
            <v>1RE1NS5162XS3</v>
          </cell>
          <cell r="B2492">
            <v>1</v>
          </cell>
        </row>
        <row r="2493">
          <cell r="A2493" t="str">
            <v>1RE1NS5162XS4</v>
          </cell>
          <cell r="B2493">
            <v>1</v>
          </cell>
        </row>
        <row r="2494">
          <cell r="A2494" t="str">
            <v>1RE1NS5170</v>
          </cell>
          <cell r="B2494">
            <v>231</v>
          </cell>
        </row>
        <row r="2495">
          <cell r="A2495" t="str">
            <v>1RE1NS5170CN</v>
          </cell>
          <cell r="B2495">
            <v>231</v>
          </cell>
        </row>
        <row r="2496">
          <cell r="A2496" t="str">
            <v>1RE1NS5170SX</v>
          </cell>
          <cell r="B2496">
            <v>232</v>
          </cell>
        </row>
        <row r="2497">
          <cell r="A2497" t="str">
            <v>1RE1NS5170X</v>
          </cell>
          <cell r="B2497">
            <v>232</v>
          </cell>
        </row>
        <row r="2498">
          <cell r="A2498" t="str">
            <v>1RE1NS5170XEU</v>
          </cell>
          <cell r="B2498">
            <v>231</v>
          </cell>
        </row>
        <row r="2499">
          <cell r="A2499" t="str">
            <v>1RE1NS5170XS1</v>
          </cell>
          <cell r="B2499">
            <v>222</v>
          </cell>
        </row>
        <row r="2500">
          <cell r="A2500" t="str">
            <v>1RE1NS5170XS2</v>
          </cell>
          <cell r="B2500">
            <v>222</v>
          </cell>
        </row>
        <row r="2501">
          <cell r="A2501" t="str">
            <v>1RE1NS5170XS3</v>
          </cell>
          <cell r="B2501">
            <v>232</v>
          </cell>
        </row>
        <row r="2502">
          <cell r="A2502" t="str">
            <v>1RE1NS5170XS4</v>
          </cell>
          <cell r="B2502">
            <v>232</v>
          </cell>
        </row>
        <row r="2503">
          <cell r="A2503" t="str">
            <v>1RE1NS5170XT1</v>
          </cell>
          <cell r="B2503">
            <v>235</v>
          </cell>
        </row>
        <row r="2504">
          <cell r="A2504" t="str">
            <v>1RE1NS5171</v>
          </cell>
          <cell r="B2504">
            <v>321</v>
          </cell>
        </row>
        <row r="2505">
          <cell r="A2505" t="str">
            <v>1RE1NS5171CN</v>
          </cell>
          <cell r="B2505">
            <v>321</v>
          </cell>
        </row>
        <row r="2506">
          <cell r="A2506" t="str">
            <v>1RE1NS5171SX</v>
          </cell>
          <cell r="B2506">
            <v>321</v>
          </cell>
        </row>
        <row r="2507">
          <cell r="A2507" t="str">
            <v>1RE1NS5171X</v>
          </cell>
          <cell r="B2507">
            <v>321</v>
          </cell>
        </row>
        <row r="2508">
          <cell r="A2508" t="str">
            <v>1RE1NS5171XEU</v>
          </cell>
          <cell r="B2508">
            <v>321</v>
          </cell>
        </row>
        <row r="2509">
          <cell r="A2509" t="str">
            <v>1RE1NS5171XS2</v>
          </cell>
          <cell r="B2509">
            <v>21</v>
          </cell>
        </row>
        <row r="2510">
          <cell r="A2510" t="str">
            <v>1RE1NS5171XS3</v>
          </cell>
          <cell r="B2510">
            <v>321</v>
          </cell>
        </row>
        <row r="2511">
          <cell r="A2511" t="str">
            <v>1RE1NS5171XS4</v>
          </cell>
          <cell r="B2511">
            <v>321</v>
          </cell>
        </row>
        <row r="2512">
          <cell r="A2512" t="str">
            <v>1RE1NS5172</v>
          </cell>
          <cell r="B2512">
            <v>537</v>
          </cell>
        </row>
        <row r="2513">
          <cell r="A2513" t="str">
            <v>1RE1NS5172CN</v>
          </cell>
          <cell r="B2513">
            <v>537</v>
          </cell>
        </row>
        <row r="2514">
          <cell r="A2514" t="str">
            <v>1RE1NS5172SX</v>
          </cell>
          <cell r="B2514">
            <v>537</v>
          </cell>
        </row>
        <row r="2515">
          <cell r="A2515" t="str">
            <v>1RE1NS5172X</v>
          </cell>
          <cell r="B2515">
            <v>537</v>
          </cell>
        </row>
        <row r="2516">
          <cell r="A2516" t="str">
            <v>1RE1NS5172XEU</v>
          </cell>
          <cell r="B2516">
            <v>537</v>
          </cell>
        </row>
        <row r="2517">
          <cell r="A2517" t="str">
            <v>1RE1NS5172XS1</v>
          </cell>
          <cell r="B2517">
            <v>578</v>
          </cell>
        </row>
        <row r="2518">
          <cell r="A2518" t="str">
            <v>1RE1NS5172XS2</v>
          </cell>
          <cell r="B2518">
            <v>21</v>
          </cell>
        </row>
        <row r="2519">
          <cell r="A2519" t="str">
            <v>1RE1NS5172XS3</v>
          </cell>
          <cell r="B2519">
            <v>537</v>
          </cell>
        </row>
        <row r="2520">
          <cell r="A2520" t="str">
            <v>1RE1NS5172XS4</v>
          </cell>
          <cell r="B2520">
            <v>537</v>
          </cell>
        </row>
        <row r="2521">
          <cell r="A2521" t="str">
            <v>1RE1NS5173</v>
          </cell>
          <cell r="B2521">
            <v>146</v>
          </cell>
        </row>
        <row r="2522">
          <cell r="A2522" t="str">
            <v>1RE1NS5173CN</v>
          </cell>
          <cell r="B2522">
            <v>138</v>
          </cell>
        </row>
        <row r="2523">
          <cell r="A2523" t="str">
            <v>1RE1NS5173SX</v>
          </cell>
          <cell r="B2523">
            <v>138</v>
          </cell>
        </row>
        <row r="2524">
          <cell r="A2524" t="str">
            <v>1RE1NS5173X</v>
          </cell>
          <cell r="B2524">
            <v>138</v>
          </cell>
        </row>
        <row r="2525">
          <cell r="A2525" t="str">
            <v>1RE1NS5173XEU</v>
          </cell>
          <cell r="B2525">
            <v>138</v>
          </cell>
        </row>
        <row r="2526">
          <cell r="A2526" t="str">
            <v>1RE1NS5173XS2</v>
          </cell>
          <cell r="B2526">
            <v>137</v>
          </cell>
        </row>
        <row r="2527">
          <cell r="A2527" t="str">
            <v>1RE1NS5173XS3</v>
          </cell>
          <cell r="B2527">
            <v>139</v>
          </cell>
        </row>
        <row r="2528">
          <cell r="A2528" t="str">
            <v>1RE1NS5173XS4</v>
          </cell>
          <cell r="B2528">
            <v>139</v>
          </cell>
        </row>
        <row r="2529">
          <cell r="A2529" t="str">
            <v>1RE1NS5173XT1</v>
          </cell>
          <cell r="B2529">
            <v>146</v>
          </cell>
        </row>
        <row r="2530">
          <cell r="A2530" t="str">
            <v>1RE1NS5173XVN</v>
          </cell>
          <cell r="B2530">
            <v>146</v>
          </cell>
        </row>
        <row r="2531">
          <cell r="A2531" t="str">
            <v>1RE1NS5174</v>
          </cell>
          <cell r="B2531">
            <v>266</v>
          </cell>
        </row>
        <row r="2532">
          <cell r="A2532" t="str">
            <v>1RE1NS5174CN</v>
          </cell>
          <cell r="B2532">
            <v>266</v>
          </cell>
        </row>
        <row r="2533">
          <cell r="A2533" t="str">
            <v>1RE1NS5174SX</v>
          </cell>
          <cell r="B2533">
            <v>282</v>
          </cell>
        </row>
        <row r="2534">
          <cell r="A2534" t="str">
            <v>1RE1NS5174X</v>
          </cell>
          <cell r="B2534">
            <v>282</v>
          </cell>
        </row>
        <row r="2535">
          <cell r="A2535" t="str">
            <v>1RE1NS5174XEU</v>
          </cell>
          <cell r="B2535">
            <v>282</v>
          </cell>
        </row>
        <row r="2536">
          <cell r="A2536" t="str">
            <v>1RE1NS5174XN7S4</v>
          </cell>
          <cell r="B2536">
            <v>266</v>
          </cell>
        </row>
        <row r="2537">
          <cell r="A2537" t="str">
            <v>1RE1NS5174XS1</v>
          </cell>
          <cell r="B2537">
            <v>256</v>
          </cell>
        </row>
        <row r="2538">
          <cell r="A2538" t="str">
            <v>1RE1NS5174XS2</v>
          </cell>
          <cell r="B2538">
            <v>265</v>
          </cell>
        </row>
        <row r="2539">
          <cell r="A2539" t="str">
            <v>1RE1NS5174XS3</v>
          </cell>
          <cell r="B2539">
            <v>266</v>
          </cell>
        </row>
        <row r="2540">
          <cell r="A2540" t="str">
            <v>1RE1NS5174XS4</v>
          </cell>
          <cell r="B2540">
            <v>266</v>
          </cell>
        </row>
        <row r="2541">
          <cell r="A2541" t="str">
            <v>1RE1NS5174XT1</v>
          </cell>
          <cell r="B2541">
            <v>282</v>
          </cell>
        </row>
        <row r="2542">
          <cell r="A2542" t="str">
            <v>1RE1NS5174XVN</v>
          </cell>
          <cell r="B2542">
            <v>282</v>
          </cell>
        </row>
        <row r="2543">
          <cell r="A2543" t="str">
            <v>1RE1NS5180</v>
          </cell>
          <cell r="B2543">
            <v>166</v>
          </cell>
        </row>
        <row r="2544">
          <cell r="A2544" t="str">
            <v>1RE1NS5180AG</v>
          </cell>
          <cell r="B2544">
            <v>166</v>
          </cell>
        </row>
        <row r="2545">
          <cell r="A2545" t="str">
            <v>1RE1NS5180AGS4</v>
          </cell>
          <cell r="B2545">
            <v>161</v>
          </cell>
        </row>
        <row r="2546">
          <cell r="A2546" t="str">
            <v>1RE1NS5180AL</v>
          </cell>
          <cell r="B2546">
            <v>166</v>
          </cell>
        </row>
        <row r="2547">
          <cell r="A2547" t="str">
            <v>1RE1NS5180BR</v>
          </cell>
          <cell r="B2547">
            <v>166</v>
          </cell>
        </row>
        <row r="2548">
          <cell r="A2548" t="str">
            <v>1RE1NS5180BRS4</v>
          </cell>
          <cell r="B2548">
            <v>161</v>
          </cell>
        </row>
        <row r="2549">
          <cell r="A2549" t="str">
            <v>1RE1NS5180C</v>
          </cell>
          <cell r="B2549">
            <v>166</v>
          </cell>
        </row>
        <row r="2550">
          <cell r="A2550" t="str">
            <v>1RE1NS5180CN</v>
          </cell>
          <cell r="B2550">
            <v>166</v>
          </cell>
        </row>
        <row r="2551">
          <cell r="A2551" t="str">
            <v>1RE1NS5180MZA</v>
          </cell>
          <cell r="B2551">
            <v>166</v>
          </cell>
        </row>
        <row r="2552">
          <cell r="A2552" t="str">
            <v>1RE1NS5180NZ</v>
          </cell>
          <cell r="B2552">
            <v>157</v>
          </cell>
        </row>
        <row r="2553">
          <cell r="A2553" t="str">
            <v>1RE1NS5180-S1</v>
          </cell>
          <cell r="B2553">
            <v>166</v>
          </cell>
        </row>
        <row r="2554">
          <cell r="A2554" t="str">
            <v>1RE1NS5180SA</v>
          </cell>
          <cell r="B2554">
            <v>166</v>
          </cell>
        </row>
        <row r="2555">
          <cell r="A2555" t="str">
            <v>1RE1NS5180SX</v>
          </cell>
          <cell r="B2555">
            <v>160</v>
          </cell>
        </row>
        <row r="2556">
          <cell r="A2556" t="str">
            <v>1RE1NS5180UK-S3</v>
          </cell>
          <cell r="B2556">
            <v>160</v>
          </cell>
        </row>
        <row r="2557">
          <cell r="A2557" t="str">
            <v>1RE1NS5180X</v>
          </cell>
          <cell r="B2557">
            <v>166</v>
          </cell>
        </row>
        <row r="2558">
          <cell r="A2558" t="str">
            <v>1RE1NS5180XEU</v>
          </cell>
          <cell r="B2558">
            <v>166</v>
          </cell>
        </row>
        <row r="2559">
          <cell r="A2559" t="str">
            <v>1RE1NS5180XS1</v>
          </cell>
          <cell r="B2559">
            <v>174</v>
          </cell>
        </row>
        <row r="2560">
          <cell r="A2560" t="str">
            <v>1RE1NS5180XS2</v>
          </cell>
          <cell r="B2560">
            <v>95</v>
          </cell>
        </row>
        <row r="2561">
          <cell r="A2561" t="str">
            <v>1RE1NS5180XS3</v>
          </cell>
          <cell r="B2561">
            <v>151</v>
          </cell>
        </row>
        <row r="2562">
          <cell r="A2562" t="str">
            <v>1RE1NS5180XS4</v>
          </cell>
          <cell r="B2562">
            <v>161</v>
          </cell>
        </row>
        <row r="2563">
          <cell r="A2563" t="str">
            <v>1RE1NS5180XVN</v>
          </cell>
          <cell r="B2563">
            <v>166</v>
          </cell>
        </row>
        <row r="2564">
          <cell r="A2564" t="str">
            <v>1RE1NS5196XS1</v>
          </cell>
          <cell r="B2564">
            <v>30</v>
          </cell>
        </row>
        <row r="2565">
          <cell r="A2565" t="str">
            <v>1RE1NS5196XS2</v>
          </cell>
          <cell r="B2565">
            <v>30</v>
          </cell>
        </row>
        <row r="2566">
          <cell r="A2566" t="str">
            <v>1RE1NS5196XS3</v>
          </cell>
          <cell r="B2566">
            <v>30</v>
          </cell>
        </row>
        <row r="2567">
          <cell r="A2567" t="str">
            <v>1RE1NS5197X-S1</v>
          </cell>
          <cell r="B2567">
            <v>321</v>
          </cell>
        </row>
        <row r="2568">
          <cell r="A2568" t="str">
            <v>1RE1NS5282X</v>
          </cell>
          <cell r="B2568">
            <v>88</v>
          </cell>
        </row>
        <row r="2569">
          <cell r="A2569" t="str">
            <v>1RE1NS5282XEU</v>
          </cell>
          <cell r="B2569">
            <v>88</v>
          </cell>
        </row>
        <row r="2570">
          <cell r="A2570" t="str">
            <v>1RE1NS5282X-S1</v>
          </cell>
          <cell r="B2570">
            <v>92</v>
          </cell>
        </row>
        <row r="2571">
          <cell r="A2571" t="str">
            <v>1RE1NS5282X-S2</v>
          </cell>
          <cell r="B2571">
            <v>89</v>
          </cell>
        </row>
        <row r="2572">
          <cell r="A2572" t="str">
            <v>1RE1NS5282X-S3</v>
          </cell>
          <cell r="B2572">
            <v>89</v>
          </cell>
        </row>
        <row r="2573">
          <cell r="A2573" t="str">
            <v>1RE1NS5282X-S4</v>
          </cell>
          <cell r="B2573">
            <v>89</v>
          </cell>
        </row>
        <row r="2574">
          <cell r="A2574" t="str">
            <v>1RE1NS5284SX</v>
          </cell>
          <cell r="B2574">
            <v>122</v>
          </cell>
        </row>
        <row r="2575">
          <cell r="A2575" t="str">
            <v>1RE1NS5284X</v>
          </cell>
          <cell r="B2575">
            <v>123</v>
          </cell>
        </row>
        <row r="2576">
          <cell r="A2576" t="str">
            <v>1RE1NS5284XEU</v>
          </cell>
          <cell r="B2576">
            <v>122</v>
          </cell>
        </row>
        <row r="2577">
          <cell r="A2577" t="str">
            <v>1RE1NS5284X-S1</v>
          </cell>
          <cell r="B2577">
            <v>126</v>
          </cell>
        </row>
        <row r="2578">
          <cell r="A2578" t="str">
            <v>1RE1NS5284X-S2</v>
          </cell>
          <cell r="B2578">
            <v>123</v>
          </cell>
        </row>
        <row r="2579">
          <cell r="A2579" t="str">
            <v>1RE1NS5284X-S3</v>
          </cell>
          <cell r="B2579">
            <v>123</v>
          </cell>
        </row>
        <row r="2580">
          <cell r="A2580" t="str">
            <v>1RE1NS5284X-S4</v>
          </cell>
          <cell r="B2580">
            <v>123</v>
          </cell>
        </row>
        <row r="2581">
          <cell r="A2581" t="str">
            <v>1RE1NS5290</v>
          </cell>
          <cell r="B2581">
            <v>59</v>
          </cell>
        </row>
        <row r="2582">
          <cell r="A2582" t="str">
            <v>1RE1NS5290CE</v>
          </cell>
          <cell r="B2582">
            <v>59</v>
          </cell>
        </row>
        <row r="2583">
          <cell r="A2583" t="str">
            <v>1RE1NS5290CES1</v>
          </cell>
          <cell r="B2583">
            <v>6</v>
          </cell>
        </row>
        <row r="2584">
          <cell r="A2584" t="str">
            <v>1RE1NS5290CES2</v>
          </cell>
          <cell r="B2584">
            <v>1</v>
          </cell>
        </row>
        <row r="2585">
          <cell r="A2585" t="str">
            <v>1RE1NS5290CES4</v>
          </cell>
          <cell r="B2585">
            <v>60</v>
          </cell>
        </row>
        <row r="2586">
          <cell r="A2586" t="str">
            <v>1RE1NS5290CN</v>
          </cell>
          <cell r="B2586">
            <v>59</v>
          </cell>
        </row>
        <row r="2587">
          <cell r="A2587" t="str">
            <v>1RE1NS5290MS</v>
          </cell>
          <cell r="B2587">
            <v>59</v>
          </cell>
        </row>
        <row r="2588">
          <cell r="A2588" t="str">
            <v>1RE1NS5290SX</v>
          </cell>
          <cell r="B2588">
            <v>60</v>
          </cell>
        </row>
        <row r="2589">
          <cell r="A2589" t="str">
            <v>1RE1NS5290X</v>
          </cell>
          <cell r="B2589">
            <v>59</v>
          </cell>
        </row>
        <row r="2590">
          <cell r="A2590" t="str">
            <v>1RE1NS5290X-S1</v>
          </cell>
          <cell r="B2590">
            <v>60</v>
          </cell>
        </row>
        <row r="2591">
          <cell r="A2591" t="str">
            <v>1RE1NS5290X-S2</v>
          </cell>
          <cell r="B2591">
            <v>60</v>
          </cell>
        </row>
        <row r="2592">
          <cell r="A2592" t="str">
            <v>1RE1NS5290X-S3</v>
          </cell>
          <cell r="B2592">
            <v>60</v>
          </cell>
        </row>
        <row r="2593">
          <cell r="A2593" t="str">
            <v>1RE1NS7130</v>
          </cell>
          <cell r="B2593">
            <v>252</v>
          </cell>
        </row>
        <row r="2594">
          <cell r="A2594" t="str">
            <v>1RE1NS7130X</v>
          </cell>
          <cell r="B2594">
            <v>252</v>
          </cell>
        </row>
        <row r="2595">
          <cell r="A2595" t="str">
            <v>1RE1NS7130XEU</v>
          </cell>
          <cell r="B2595">
            <v>252</v>
          </cell>
        </row>
        <row r="2596">
          <cell r="A2596" t="str">
            <v>1RE1NS7130X-S1</v>
          </cell>
          <cell r="B2596">
            <v>124</v>
          </cell>
        </row>
        <row r="2597">
          <cell r="A2597" t="str">
            <v>1RE1NS7130X-S2</v>
          </cell>
          <cell r="B2597">
            <v>126</v>
          </cell>
        </row>
        <row r="2598">
          <cell r="A2598" t="str">
            <v>1RE1NS7130X-S3</v>
          </cell>
          <cell r="B2598">
            <v>126</v>
          </cell>
        </row>
        <row r="2599">
          <cell r="A2599" t="str">
            <v>1RE1NS7130X-S4</v>
          </cell>
          <cell r="B2599">
            <v>126</v>
          </cell>
        </row>
        <row r="2600">
          <cell r="A2600" t="str">
            <v>1RE1NSX2000BX1-S1</v>
          </cell>
          <cell r="B2600">
            <v>0</v>
          </cell>
        </row>
        <row r="2601">
          <cell r="A2601" t="str">
            <v>1RE1NSX2000BX1-S2</v>
          </cell>
          <cell r="B2601">
            <v>373</v>
          </cell>
        </row>
        <row r="2602">
          <cell r="A2602" t="str">
            <v>1RE1PEMCSEV4</v>
          </cell>
          <cell r="B2602">
            <v>270</v>
          </cell>
        </row>
        <row r="2603">
          <cell r="A2603" t="str">
            <v>1RE1PNLP2262ZA</v>
          </cell>
          <cell r="B2603">
            <v>55</v>
          </cell>
        </row>
        <row r="2604">
          <cell r="A2604" t="str">
            <v>1RE1PNLP2266ZA</v>
          </cell>
          <cell r="B2604">
            <v>11</v>
          </cell>
        </row>
        <row r="2605">
          <cell r="A2605" t="str">
            <v>1RE1PNLP2276ZA</v>
          </cell>
          <cell r="B2605">
            <v>130</v>
          </cell>
        </row>
        <row r="2606">
          <cell r="A2606" t="str">
            <v>1RE1PNLP2356ZA</v>
          </cell>
          <cell r="B2606">
            <v>46</v>
          </cell>
        </row>
        <row r="2607">
          <cell r="A2607" t="str">
            <v>1RE1PNLP2565ZA</v>
          </cell>
          <cell r="B2607">
            <v>263</v>
          </cell>
        </row>
        <row r="2608">
          <cell r="A2608" t="str">
            <v>1RE1PNLP2566ZA</v>
          </cell>
          <cell r="B2608">
            <v>263</v>
          </cell>
        </row>
        <row r="2609">
          <cell r="A2609" t="str">
            <v>1RE1PNLP2571ZA</v>
          </cell>
          <cell r="B2609">
            <v>1</v>
          </cell>
        </row>
        <row r="2610">
          <cell r="A2610" t="str">
            <v>1RE1PNLP2572ZA</v>
          </cell>
          <cell r="B2610">
            <v>578</v>
          </cell>
        </row>
        <row r="2611">
          <cell r="A2611" t="str">
            <v>1RE1PNLP2596ZA</v>
          </cell>
          <cell r="B2611">
            <v>108</v>
          </cell>
        </row>
        <row r="2612">
          <cell r="A2612" t="str">
            <v>1RE1PNLPTEB308RUZA</v>
          </cell>
          <cell r="B2612">
            <v>590</v>
          </cell>
        </row>
        <row r="2613">
          <cell r="A2613" t="str">
            <v>1RE1PNLPTES824SXZA</v>
          </cell>
          <cell r="B2613">
            <v>815</v>
          </cell>
        </row>
        <row r="2614">
          <cell r="A2614" t="str">
            <v>1RE1PS200YSZB-R2</v>
          </cell>
          <cell r="B2614">
            <v>80</v>
          </cell>
        </row>
        <row r="2615">
          <cell r="A2615" t="str">
            <v>1RE1PS200YSZB-V4</v>
          </cell>
          <cell r="B2615">
            <v>77</v>
          </cell>
        </row>
        <row r="2616">
          <cell r="A2616" t="str">
            <v>1RE1PSLP1230ZAL4</v>
          </cell>
          <cell r="B2616">
            <v>313</v>
          </cell>
        </row>
        <row r="2617">
          <cell r="A2617" t="str">
            <v>1RE1PSLP1246XA</v>
          </cell>
          <cell r="B2617">
            <v>21</v>
          </cell>
        </row>
        <row r="2618">
          <cell r="A2618" t="str">
            <v>1RE1PSLP1262ZA</v>
          </cell>
          <cell r="B2618">
            <v>3</v>
          </cell>
        </row>
        <row r="2619">
          <cell r="A2619" t="str">
            <v>1RE1PSLP1262ZAL4</v>
          </cell>
          <cell r="B2619">
            <v>3</v>
          </cell>
        </row>
        <row r="2620">
          <cell r="A2620" t="str">
            <v>1RE1PSLP1279ZA</v>
          </cell>
          <cell r="B2620">
            <v>143</v>
          </cell>
        </row>
        <row r="2621">
          <cell r="A2621" t="str">
            <v>1RE1PSLP1280ZA</v>
          </cell>
          <cell r="B2621">
            <v>483</v>
          </cell>
        </row>
        <row r="2622">
          <cell r="A2622" t="str">
            <v>1RE1PSLP1282ZAL4</v>
          </cell>
          <cell r="B2622">
            <v>815</v>
          </cell>
        </row>
        <row r="2623">
          <cell r="A2623" t="str">
            <v>1RE1PSLP1282ZAL4T1</v>
          </cell>
          <cell r="B2623">
            <v>829</v>
          </cell>
        </row>
        <row r="2624">
          <cell r="A2624" t="str">
            <v>1RE1PSLP1283ZAL4</v>
          </cell>
          <cell r="B2624">
            <v>436</v>
          </cell>
        </row>
        <row r="2625">
          <cell r="A2625" t="str">
            <v>1RE1PSLP1283ZAS1</v>
          </cell>
          <cell r="B2625">
            <v>436</v>
          </cell>
        </row>
        <row r="2626">
          <cell r="A2626" t="str">
            <v>1RE1PSLP1284ZAL4</v>
          </cell>
          <cell r="B2626">
            <v>360</v>
          </cell>
        </row>
        <row r="2627">
          <cell r="A2627" t="str">
            <v>1RE1PSLP1285ZAV4</v>
          </cell>
          <cell r="B2627">
            <v>821</v>
          </cell>
        </row>
        <row r="2628">
          <cell r="A2628" t="str">
            <v>1RE1PSLP1286ZAV4</v>
          </cell>
          <cell r="B2628">
            <v>443</v>
          </cell>
        </row>
        <row r="2629">
          <cell r="A2629" t="str">
            <v>1RE1PSLP1287ZAV4</v>
          </cell>
          <cell r="B2629">
            <v>364</v>
          </cell>
        </row>
        <row r="2630">
          <cell r="A2630" t="str">
            <v>1RE1PSLP1288ZA</v>
          </cell>
          <cell r="B2630">
            <v>811</v>
          </cell>
        </row>
        <row r="2631">
          <cell r="A2631" t="str">
            <v>1RE1PSLP1288ZAT1</v>
          </cell>
          <cell r="B2631">
            <v>80</v>
          </cell>
        </row>
        <row r="2632">
          <cell r="A2632" t="str">
            <v>1RE1PSLP1289ZA</v>
          </cell>
          <cell r="B2632">
            <v>429</v>
          </cell>
        </row>
        <row r="2633">
          <cell r="A2633" t="str">
            <v>1RE1PSLP1290ZA</v>
          </cell>
          <cell r="B2633">
            <v>356</v>
          </cell>
        </row>
        <row r="2634">
          <cell r="A2634" t="str">
            <v>1RE1PSLP1312ZAL4</v>
          </cell>
          <cell r="B2634">
            <v>263</v>
          </cell>
        </row>
        <row r="2635">
          <cell r="A2635" t="str">
            <v>1RE1PSLP1316ZA</v>
          </cell>
          <cell r="B2635">
            <v>594</v>
          </cell>
        </row>
        <row r="2636">
          <cell r="A2636" t="str">
            <v>1RE1PSLP1317ZA</v>
          </cell>
          <cell r="B2636">
            <v>173</v>
          </cell>
        </row>
        <row r="2637">
          <cell r="A2637" t="str">
            <v>1RE1PSLP1318ZAL4</v>
          </cell>
          <cell r="B2637">
            <v>47</v>
          </cell>
        </row>
        <row r="2638">
          <cell r="A2638" t="str">
            <v>1RE1PSLP1319ZAL4</v>
          </cell>
          <cell r="B2638">
            <v>85</v>
          </cell>
        </row>
        <row r="2639">
          <cell r="A2639" t="str">
            <v>1RE1PSLP1320ZA01V4</v>
          </cell>
          <cell r="B2639">
            <v>167</v>
          </cell>
        </row>
        <row r="2640">
          <cell r="A2640" t="str">
            <v>1RE1PSLP1320ZAL4</v>
          </cell>
          <cell r="B2640">
            <v>90</v>
          </cell>
        </row>
        <row r="2641">
          <cell r="A2641" t="str">
            <v>1RE1PSLP1326ZA</v>
          </cell>
          <cell r="B2641">
            <v>424</v>
          </cell>
        </row>
        <row r="2642">
          <cell r="A2642" t="str">
            <v>1RE1PSLP1327ZA</v>
          </cell>
          <cell r="B2642">
            <v>431</v>
          </cell>
        </row>
        <row r="2643">
          <cell r="A2643" t="str">
            <v>1RE1PSLP1328ZA</v>
          </cell>
          <cell r="B2643">
            <v>424</v>
          </cell>
        </row>
        <row r="2644">
          <cell r="A2644" t="str">
            <v>1RE1PSLP1329ZA</v>
          </cell>
          <cell r="B2644">
            <v>431</v>
          </cell>
        </row>
        <row r="2645">
          <cell r="A2645" t="str">
            <v>1RE1PSLP1340ZA</v>
          </cell>
          <cell r="B2645">
            <v>172</v>
          </cell>
        </row>
        <row r="2646">
          <cell r="A2646" t="str">
            <v>1RE1PSLP1341ZA</v>
          </cell>
          <cell r="B2646">
            <v>178</v>
          </cell>
        </row>
        <row r="2647">
          <cell r="A2647" t="str">
            <v>1RE1PSLP1342ZA</v>
          </cell>
          <cell r="B2647">
            <v>172</v>
          </cell>
        </row>
        <row r="2648">
          <cell r="A2648" t="str">
            <v>1RE1PSLP1343ZA</v>
          </cell>
          <cell r="B2648">
            <v>178</v>
          </cell>
        </row>
        <row r="2649">
          <cell r="A2649" t="str">
            <v>1RE1PSLP1344ZA</v>
          </cell>
          <cell r="B2649">
            <v>124</v>
          </cell>
        </row>
        <row r="2650">
          <cell r="A2650" t="str">
            <v>1RE1PSLP1348ZA</v>
          </cell>
          <cell r="B2650">
            <v>107</v>
          </cell>
        </row>
        <row r="2651">
          <cell r="A2651" t="str">
            <v>1RE1PSLP1349ZA</v>
          </cell>
          <cell r="B2651">
            <v>433</v>
          </cell>
        </row>
        <row r="2652">
          <cell r="A2652" t="str">
            <v>1RE1PSLP1350ZA</v>
          </cell>
          <cell r="B2652">
            <v>180</v>
          </cell>
        </row>
        <row r="2653">
          <cell r="A2653" t="str">
            <v>1RE1PSLP1351ZA</v>
          </cell>
          <cell r="B2653">
            <v>220</v>
          </cell>
        </row>
        <row r="2654">
          <cell r="A2654" t="str">
            <v>1RE1PSLP1388ZAV4</v>
          </cell>
          <cell r="B2654">
            <v>578</v>
          </cell>
        </row>
        <row r="2655">
          <cell r="A2655" t="str">
            <v>1RE1PSLP1389ZAV4</v>
          </cell>
          <cell r="B2655">
            <v>179</v>
          </cell>
        </row>
        <row r="2656">
          <cell r="A2656" t="str">
            <v>1RE1PSLP1399ZA</v>
          </cell>
          <cell r="B2656">
            <v>270</v>
          </cell>
        </row>
        <row r="2657">
          <cell r="A2657" t="str">
            <v>1RE1PSLP1399ZAL4</v>
          </cell>
          <cell r="B2657">
            <v>270</v>
          </cell>
        </row>
        <row r="2658">
          <cell r="A2658" t="str">
            <v>1RE1PSLP1401YA</v>
          </cell>
          <cell r="B2658">
            <v>703</v>
          </cell>
        </row>
        <row r="2659">
          <cell r="A2659" t="str">
            <v>1RE1PSLP1401ZAL4</v>
          </cell>
          <cell r="B2659">
            <v>703</v>
          </cell>
        </row>
        <row r="2660">
          <cell r="A2660" t="str">
            <v>1RE1PSLP1404ZA</v>
          </cell>
          <cell r="B2660">
            <v>590</v>
          </cell>
        </row>
        <row r="2661">
          <cell r="A2661" t="str">
            <v>1RE1PSLP1410ZA</v>
          </cell>
          <cell r="B2661">
            <v>1</v>
          </cell>
        </row>
        <row r="2662">
          <cell r="A2662" t="str">
            <v>1RE1PSLP1421ZA</v>
          </cell>
          <cell r="B2662">
            <v>578</v>
          </cell>
        </row>
        <row r="2663">
          <cell r="A2663" t="str">
            <v>1RE1PSLP1422ZA</v>
          </cell>
          <cell r="B2663">
            <v>173</v>
          </cell>
        </row>
        <row r="2664">
          <cell r="A2664" t="str">
            <v>1RE1PSLP1423ZA</v>
          </cell>
          <cell r="B2664">
            <v>179</v>
          </cell>
        </row>
        <row r="2665">
          <cell r="A2665" t="str">
            <v>1RE1PSLP1424ZA</v>
          </cell>
          <cell r="B2665">
            <v>179</v>
          </cell>
        </row>
        <row r="2666">
          <cell r="A2666" t="str">
            <v>1RE1PSLP1426ZA</v>
          </cell>
          <cell r="B2666">
            <v>173</v>
          </cell>
        </row>
        <row r="2667">
          <cell r="A2667" t="str">
            <v>1RE1PSLP1428ZA</v>
          </cell>
          <cell r="B2667">
            <v>176</v>
          </cell>
        </row>
        <row r="2668">
          <cell r="A2668" t="str">
            <v>1RE1PSLP1435YA</v>
          </cell>
          <cell r="B2668">
            <v>19</v>
          </cell>
        </row>
        <row r="2669">
          <cell r="A2669" t="str">
            <v>1RE1PSLP1435ZAL4</v>
          </cell>
          <cell r="B2669">
            <v>20</v>
          </cell>
        </row>
        <row r="2670">
          <cell r="A2670" t="str">
            <v>1RE1PSLP1450ZAL4</v>
          </cell>
          <cell r="B2670">
            <v>20</v>
          </cell>
        </row>
        <row r="2671">
          <cell r="A2671" t="str">
            <v>1RE1PSLP1452ZA</v>
          </cell>
          <cell r="B2671">
            <v>594</v>
          </cell>
        </row>
        <row r="2672">
          <cell r="A2672" t="str">
            <v>1RE1PSLP1455ZAL4</v>
          </cell>
          <cell r="B2672">
            <v>20</v>
          </cell>
        </row>
        <row r="2673">
          <cell r="A2673" t="str">
            <v>1RE1PSLP1456ZA</v>
          </cell>
          <cell r="B2673">
            <v>594</v>
          </cell>
        </row>
        <row r="2674">
          <cell r="A2674" t="str">
            <v>1RE1PSLP1463ZAL4</v>
          </cell>
          <cell r="B2674">
            <v>270</v>
          </cell>
        </row>
        <row r="2675">
          <cell r="A2675" t="str">
            <v>1RE1PSLP1464YA-S1</v>
          </cell>
          <cell r="B2675">
            <v>703</v>
          </cell>
        </row>
        <row r="2676">
          <cell r="A2676" t="str">
            <v>1RE1PSLP1464ZAL4</v>
          </cell>
          <cell r="B2676">
            <v>702</v>
          </cell>
        </row>
        <row r="2677">
          <cell r="A2677" t="str">
            <v>1RE1PSLP1472ZA</v>
          </cell>
          <cell r="B2677">
            <v>628</v>
          </cell>
        </row>
        <row r="2678">
          <cell r="A2678" t="str">
            <v>1RE1PSLP1473ZA</v>
          </cell>
          <cell r="B2678">
            <v>447</v>
          </cell>
        </row>
        <row r="2679">
          <cell r="A2679" t="str">
            <v>1RE1PSLP1486ZA</v>
          </cell>
          <cell r="B2679">
            <v>72</v>
          </cell>
        </row>
        <row r="2680">
          <cell r="A2680" t="str">
            <v>1RE1PSLP1487ZA</v>
          </cell>
          <cell r="B2680">
            <v>31</v>
          </cell>
        </row>
        <row r="2681">
          <cell r="A2681" t="str">
            <v>1RE1PSLP1488ZA</v>
          </cell>
          <cell r="B2681">
            <v>48</v>
          </cell>
        </row>
        <row r="2682">
          <cell r="A2682" t="str">
            <v>1RE1PSLP1489ZA</v>
          </cell>
          <cell r="B2682">
            <v>85</v>
          </cell>
        </row>
        <row r="2683">
          <cell r="A2683" t="str">
            <v>1RE1PSLP1492ZAL4</v>
          </cell>
          <cell r="B2683">
            <v>197</v>
          </cell>
        </row>
        <row r="2684">
          <cell r="A2684" t="str">
            <v>1RE1PSLP1498ZAL4</v>
          </cell>
          <cell r="B2684">
            <v>34</v>
          </cell>
        </row>
        <row r="2685">
          <cell r="A2685" t="str">
            <v>1RE1PSLP1499ZAL4</v>
          </cell>
          <cell r="B2685">
            <v>50</v>
          </cell>
        </row>
        <row r="2686">
          <cell r="A2686" t="str">
            <v>1RE1PSLP1500ZAL4</v>
          </cell>
          <cell r="B2686">
            <v>18</v>
          </cell>
        </row>
        <row r="2687">
          <cell r="A2687" t="str">
            <v>1RE1PSLP1501ZA</v>
          </cell>
          <cell r="B2687">
            <v>24</v>
          </cell>
        </row>
        <row r="2688">
          <cell r="A2688" t="str">
            <v>1RE1PSLP1502ZAL4</v>
          </cell>
          <cell r="B2688">
            <v>35</v>
          </cell>
        </row>
        <row r="2689">
          <cell r="A2689" t="str">
            <v>1RE1PSLP1503ZAL4</v>
          </cell>
          <cell r="B2689">
            <v>51</v>
          </cell>
        </row>
        <row r="2690">
          <cell r="A2690" t="str">
            <v>1RE1PSLP1504ZAL4</v>
          </cell>
          <cell r="B2690">
            <v>18</v>
          </cell>
        </row>
        <row r="2691">
          <cell r="A2691" t="str">
            <v>1RE1PSLP1505ZA</v>
          </cell>
          <cell r="B2691">
            <v>72</v>
          </cell>
        </row>
        <row r="2692">
          <cell r="A2692" t="str">
            <v>1RE1PSLP1511ZA</v>
          </cell>
          <cell r="B2692">
            <v>8</v>
          </cell>
        </row>
        <row r="2693">
          <cell r="A2693" t="str">
            <v>1RE1PSLP1514ZA</v>
          </cell>
          <cell r="B2693">
            <v>34</v>
          </cell>
        </row>
        <row r="2694">
          <cell r="A2694" t="str">
            <v>1RE1PSLP1515ZA</v>
          </cell>
          <cell r="B2694">
            <v>47</v>
          </cell>
        </row>
        <row r="2695">
          <cell r="A2695" t="str">
            <v>1RE1PSLP1515ZASPV4</v>
          </cell>
          <cell r="B2695">
            <v>47</v>
          </cell>
        </row>
        <row r="2696">
          <cell r="A2696" t="str">
            <v>1RE1PSLP1517ZA</v>
          </cell>
          <cell r="B2696">
            <v>3</v>
          </cell>
        </row>
        <row r="2697">
          <cell r="A2697" t="str">
            <v>1RE1PSLP1518ZA</v>
          </cell>
          <cell r="B2697">
            <v>12</v>
          </cell>
        </row>
        <row r="2698">
          <cell r="A2698" t="str">
            <v>1RE1PSLP1519ZA</v>
          </cell>
          <cell r="B2698">
            <v>60</v>
          </cell>
        </row>
        <row r="2699">
          <cell r="A2699" t="str">
            <v>1RE1PSLP1520ZA</v>
          </cell>
          <cell r="B2699">
            <v>3</v>
          </cell>
        </row>
        <row r="2700">
          <cell r="A2700" t="str">
            <v>1RE1PSLP1521ZA</v>
          </cell>
          <cell r="B2700">
            <v>44</v>
          </cell>
        </row>
        <row r="2701">
          <cell r="A2701" t="str">
            <v>1RE1PSLP1526ZAL4</v>
          </cell>
          <cell r="B2701">
            <v>49</v>
          </cell>
        </row>
        <row r="2702">
          <cell r="A2702" t="str">
            <v>1RE1PSLP1527ZAL4</v>
          </cell>
          <cell r="B2702">
            <v>41</v>
          </cell>
        </row>
        <row r="2703">
          <cell r="A2703" t="str">
            <v>1RE1PSLP1530ZA</v>
          </cell>
          <cell r="B2703">
            <v>38</v>
          </cell>
        </row>
        <row r="2704">
          <cell r="A2704" t="str">
            <v>1RE1PSLP1531ZA</v>
          </cell>
          <cell r="B2704">
            <v>126</v>
          </cell>
        </row>
        <row r="2705">
          <cell r="A2705" t="str">
            <v>1RE1PSLP1532ZA</v>
          </cell>
          <cell r="B2705">
            <v>38</v>
          </cell>
        </row>
        <row r="2706">
          <cell r="A2706" t="str">
            <v>1RE1PSLP1533ZA</v>
          </cell>
          <cell r="B2706">
            <v>126</v>
          </cell>
        </row>
        <row r="2707">
          <cell r="A2707" t="str">
            <v>1RE1PSLP1534ZA</v>
          </cell>
          <cell r="B2707">
            <v>224</v>
          </cell>
        </row>
        <row r="2708">
          <cell r="A2708" t="str">
            <v>1RE1PSLP1535ZA</v>
          </cell>
          <cell r="B2708">
            <v>221</v>
          </cell>
        </row>
        <row r="2709">
          <cell r="A2709" t="str">
            <v>1RE1PSLP1537ZA</v>
          </cell>
          <cell r="B2709">
            <v>812</v>
          </cell>
        </row>
        <row r="2710">
          <cell r="A2710" t="str">
            <v>1RE1PSLP1537ZAT1</v>
          </cell>
          <cell r="B2710">
            <v>826</v>
          </cell>
        </row>
        <row r="2711">
          <cell r="A2711" t="str">
            <v>1RE1PSLP1538ZA</v>
          </cell>
          <cell r="B2711">
            <v>45</v>
          </cell>
        </row>
        <row r="2712">
          <cell r="A2712" t="str">
            <v>1RE1PSLP1541ZA</v>
          </cell>
          <cell r="B2712">
            <v>471</v>
          </cell>
        </row>
        <row r="2713">
          <cell r="A2713" t="str">
            <v>1RE1PSLP1550ZA</v>
          </cell>
          <cell r="B2713">
            <v>56</v>
          </cell>
        </row>
        <row r="2714">
          <cell r="A2714" t="str">
            <v>1RE1PSLP1552ZA</v>
          </cell>
          <cell r="B2714">
            <v>33</v>
          </cell>
        </row>
        <row r="2715">
          <cell r="A2715" t="str">
            <v>1RE1PSLP1554ZA</v>
          </cell>
          <cell r="B2715">
            <v>231</v>
          </cell>
        </row>
        <row r="2716">
          <cell r="A2716" t="str">
            <v>1RE1PSLP1555ZA</v>
          </cell>
          <cell r="B2716">
            <v>443</v>
          </cell>
        </row>
        <row r="2717">
          <cell r="A2717" t="str">
            <v>1RE1PSLP1556ZA</v>
          </cell>
          <cell r="B2717">
            <v>54</v>
          </cell>
        </row>
        <row r="2718">
          <cell r="A2718" t="str">
            <v>1RE1PSLP1557ZA</v>
          </cell>
          <cell r="B2718">
            <v>48</v>
          </cell>
        </row>
        <row r="2719">
          <cell r="A2719" t="str">
            <v>1RE1PSLP1558ZA</v>
          </cell>
          <cell r="B2719">
            <v>54</v>
          </cell>
        </row>
        <row r="2720">
          <cell r="A2720" t="str">
            <v>1RE1PSLP1559ZA</v>
          </cell>
          <cell r="B2720">
            <v>48</v>
          </cell>
        </row>
        <row r="2721">
          <cell r="A2721" t="str">
            <v>1RE1PSLP1561ZA</v>
          </cell>
          <cell r="B2721">
            <v>82</v>
          </cell>
        </row>
        <row r="2722">
          <cell r="A2722" t="str">
            <v>1RE1PSLP1562ZA</v>
          </cell>
          <cell r="B2722">
            <v>48</v>
          </cell>
        </row>
        <row r="2723">
          <cell r="A2723" t="str">
            <v>1RE1PSLP1563ZA</v>
          </cell>
          <cell r="B2723">
            <v>31</v>
          </cell>
        </row>
        <row r="2724">
          <cell r="A2724" t="str">
            <v>1RE1PSLP1564ZA</v>
          </cell>
          <cell r="B2724">
            <v>13</v>
          </cell>
        </row>
        <row r="2725">
          <cell r="A2725" t="str">
            <v>1RE1PSLP1564ZASPV4</v>
          </cell>
          <cell r="B2725">
            <v>13</v>
          </cell>
        </row>
        <row r="2726">
          <cell r="A2726" t="str">
            <v>1RE1PSLP1565ZA</v>
          </cell>
          <cell r="B2726">
            <v>484</v>
          </cell>
        </row>
        <row r="2727">
          <cell r="A2727" t="str">
            <v>1RE1PSLP1570ZA</v>
          </cell>
          <cell r="B2727">
            <v>471</v>
          </cell>
        </row>
        <row r="2728">
          <cell r="A2728" t="str">
            <v>1RE1PSLP1572ZA</v>
          </cell>
          <cell r="B2728">
            <v>1</v>
          </cell>
        </row>
        <row r="2729">
          <cell r="A2729" t="str">
            <v>1RE1PSLP1573ZAV4</v>
          </cell>
          <cell r="B2729">
            <v>179</v>
          </cell>
        </row>
        <row r="2730">
          <cell r="A2730" t="str">
            <v>1RE1PSLP1574ZAV4</v>
          </cell>
          <cell r="B2730">
            <v>821</v>
          </cell>
        </row>
        <row r="2731">
          <cell r="A2731" t="str">
            <v>1RE1PSLP1575ZAV4</v>
          </cell>
          <cell r="B2731">
            <v>442</v>
          </cell>
        </row>
        <row r="2732">
          <cell r="A2732" t="str">
            <v>1RE1PSLP1576ZAV4</v>
          </cell>
          <cell r="B2732">
            <v>364</v>
          </cell>
        </row>
        <row r="2733">
          <cell r="A2733" t="str">
            <v>1RE1PSLP1577ZA</v>
          </cell>
          <cell r="B2733">
            <v>456</v>
          </cell>
        </row>
        <row r="2734">
          <cell r="A2734" t="str">
            <v>1RE1PSLP1579ZA</v>
          </cell>
          <cell r="B2734">
            <v>30</v>
          </cell>
        </row>
        <row r="2735">
          <cell r="A2735" t="str">
            <v>1RE1PSLP1580ZA</v>
          </cell>
          <cell r="B2735">
            <v>43</v>
          </cell>
        </row>
        <row r="2736">
          <cell r="A2736" t="str">
            <v>1RE1PSLP1581ZA</v>
          </cell>
          <cell r="B2736">
            <v>52</v>
          </cell>
        </row>
        <row r="2737">
          <cell r="A2737" t="str">
            <v>1RE1PSLP1582ZA</v>
          </cell>
          <cell r="B2737">
            <v>532</v>
          </cell>
        </row>
        <row r="2738">
          <cell r="A2738" t="str">
            <v>1RE1PSLP1583ZA</v>
          </cell>
          <cell r="B2738">
            <v>532</v>
          </cell>
        </row>
        <row r="2739">
          <cell r="A2739" t="str">
            <v>1RE1PSLP1584ZA</v>
          </cell>
          <cell r="B2739">
            <v>82</v>
          </cell>
        </row>
        <row r="2740">
          <cell r="A2740" t="str">
            <v>1RE1PSLP1585ZA</v>
          </cell>
          <cell r="B2740">
            <v>30</v>
          </cell>
        </row>
        <row r="2741">
          <cell r="A2741" t="str">
            <v>1RE1PSLP1586ZA</v>
          </cell>
          <cell r="B2741">
            <v>30</v>
          </cell>
        </row>
        <row r="2742">
          <cell r="A2742" t="str">
            <v>1RE1PSLP1586ZASPV4</v>
          </cell>
          <cell r="B2742">
            <v>30</v>
          </cell>
        </row>
        <row r="2743">
          <cell r="A2743" t="str">
            <v>1RE1PSLP1587ZA</v>
          </cell>
          <cell r="B2743">
            <v>3</v>
          </cell>
        </row>
        <row r="2744">
          <cell r="A2744" t="str">
            <v>1RE1PSLP1588ZA</v>
          </cell>
          <cell r="B2744">
            <v>116</v>
          </cell>
        </row>
        <row r="2745">
          <cell r="A2745" t="str">
            <v>1RE1PSLP1589ZA</v>
          </cell>
          <cell r="B2745">
            <v>60</v>
          </cell>
        </row>
        <row r="2746">
          <cell r="A2746" t="str">
            <v>1RE1PSLP1597ZA</v>
          </cell>
          <cell r="B2746">
            <v>13</v>
          </cell>
        </row>
        <row r="2747">
          <cell r="A2747" t="str">
            <v>1RE1PSLP1598ZA</v>
          </cell>
          <cell r="B2747">
            <v>240</v>
          </cell>
        </row>
        <row r="2748">
          <cell r="A2748" t="str">
            <v>1RE1PSLP1600ZA</v>
          </cell>
          <cell r="B2748">
            <v>13</v>
          </cell>
        </row>
        <row r="2749">
          <cell r="A2749" t="str">
            <v>1RE1PSLP1601ZA</v>
          </cell>
          <cell r="B2749">
            <v>82</v>
          </cell>
        </row>
        <row r="2750">
          <cell r="A2750" t="str">
            <v>1RE1PSLP1602ZA</v>
          </cell>
          <cell r="B2750">
            <v>223</v>
          </cell>
        </row>
        <row r="2751">
          <cell r="A2751" t="str">
            <v>1RE1PSLP1603ZA</v>
          </cell>
          <cell r="B2751">
            <v>30</v>
          </cell>
        </row>
        <row r="2752">
          <cell r="A2752" t="str">
            <v>1RE1PSLP1604ZA</v>
          </cell>
          <cell r="B2752">
            <v>30</v>
          </cell>
        </row>
        <row r="2753">
          <cell r="A2753" t="str">
            <v>1RE1PSLP1606ZA</v>
          </cell>
          <cell r="B2753">
            <v>108</v>
          </cell>
        </row>
        <row r="2754">
          <cell r="A2754" t="str">
            <v>1RE1PSLP1607ZA</v>
          </cell>
          <cell r="B2754">
            <v>111</v>
          </cell>
        </row>
        <row r="2755">
          <cell r="A2755" t="str">
            <v>1RE1PSLP1608ZA</v>
          </cell>
          <cell r="B2755">
            <v>10</v>
          </cell>
        </row>
        <row r="2756">
          <cell r="A2756" t="str">
            <v>1RE1PSLP1609ZA</v>
          </cell>
          <cell r="B2756">
            <v>16</v>
          </cell>
        </row>
        <row r="2757">
          <cell r="A2757" t="str">
            <v>1RE1PSLP1610ZA</v>
          </cell>
          <cell r="B2757">
            <v>45</v>
          </cell>
        </row>
        <row r="2758">
          <cell r="A2758" t="str">
            <v>1RE1PSLP1611ZA</v>
          </cell>
          <cell r="B2758">
            <v>49</v>
          </cell>
        </row>
        <row r="2759">
          <cell r="A2759" t="str">
            <v>1RE1PSLP1612YA</v>
          </cell>
          <cell r="B2759">
            <v>703</v>
          </cell>
        </row>
        <row r="2760">
          <cell r="A2760" t="str">
            <v>1RE1PSLP1612ZA</v>
          </cell>
          <cell r="B2760">
            <v>703</v>
          </cell>
        </row>
        <row r="2761">
          <cell r="A2761" t="str">
            <v>1RE1PSLP1615ZA</v>
          </cell>
          <cell r="B2761">
            <v>13</v>
          </cell>
        </row>
        <row r="2762">
          <cell r="A2762" t="str">
            <v>1RE1PSLP1616ZA</v>
          </cell>
          <cell r="B2762">
            <v>8</v>
          </cell>
        </row>
        <row r="2763">
          <cell r="A2763" t="str">
            <v>1RE1PSLP1617ZA</v>
          </cell>
          <cell r="B2763">
            <v>13</v>
          </cell>
        </row>
        <row r="2764">
          <cell r="A2764" t="str">
            <v>1RE1PSLP1618ZA</v>
          </cell>
          <cell r="B2764">
            <v>13</v>
          </cell>
        </row>
        <row r="2765">
          <cell r="A2765" t="str">
            <v>1RE1PSLP1619ZA</v>
          </cell>
          <cell r="B2765">
            <v>13</v>
          </cell>
        </row>
        <row r="2766">
          <cell r="A2766" t="str">
            <v>1RE1PSLP1620ZA</v>
          </cell>
          <cell r="B2766">
            <v>7</v>
          </cell>
        </row>
        <row r="2767">
          <cell r="A2767" t="str">
            <v>1RE1PSLP1625ZA</v>
          </cell>
          <cell r="B2767">
            <v>484</v>
          </cell>
        </row>
        <row r="2768">
          <cell r="A2768" t="str">
            <v>1RE1PSLP1629ZA</v>
          </cell>
          <cell r="B2768">
            <v>84</v>
          </cell>
        </row>
        <row r="2769">
          <cell r="A2769" t="str">
            <v>1RE1PSLP1630ZA</v>
          </cell>
          <cell r="B2769">
            <v>48</v>
          </cell>
        </row>
        <row r="2770">
          <cell r="A2770" t="str">
            <v>1RE1PSLP1632ZA</v>
          </cell>
          <cell r="B2770">
            <v>370</v>
          </cell>
        </row>
        <row r="2771">
          <cell r="A2771" t="str">
            <v>1RE1PSLP1633ZA</v>
          </cell>
          <cell r="B2771">
            <v>27</v>
          </cell>
        </row>
        <row r="2772">
          <cell r="A2772" t="str">
            <v>1RE1PSLP1634ZA</v>
          </cell>
          <cell r="B2772">
            <v>1</v>
          </cell>
        </row>
        <row r="2773">
          <cell r="A2773" t="str">
            <v>1RE1PSLP1635ZA</v>
          </cell>
          <cell r="B2773">
            <v>1</v>
          </cell>
        </row>
        <row r="2774">
          <cell r="A2774" t="str">
            <v>1RE1PSLP1636ZA</v>
          </cell>
          <cell r="B2774">
            <v>447</v>
          </cell>
        </row>
        <row r="2775">
          <cell r="A2775" t="str">
            <v>1RE1PSLP1637ZA</v>
          </cell>
          <cell r="B2775">
            <v>628</v>
          </cell>
        </row>
        <row r="2776">
          <cell r="A2776" t="str">
            <v>1RE1PSLP1638ZA</v>
          </cell>
          <cell r="B2776">
            <v>13</v>
          </cell>
        </row>
        <row r="2777">
          <cell r="A2777" t="str">
            <v>1RE1PSLP1641ZA</v>
          </cell>
          <cell r="B2777">
            <v>53</v>
          </cell>
        </row>
        <row r="2778">
          <cell r="A2778" t="str">
            <v>1RE1PSLP1643ZA</v>
          </cell>
          <cell r="B2778">
            <v>108</v>
          </cell>
        </row>
        <row r="2779">
          <cell r="A2779" t="str">
            <v>1RE1PSLP1643ZAS1</v>
          </cell>
          <cell r="B2779">
            <v>108</v>
          </cell>
        </row>
        <row r="2780">
          <cell r="A2780" t="str">
            <v>1RE1PSLP1644ZA</v>
          </cell>
          <cell r="B2780">
            <v>111</v>
          </cell>
        </row>
        <row r="2781">
          <cell r="A2781" t="str">
            <v>1RE1PSLP1644ZAS1</v>
          </cell>
          <cell r="B2781">
            <v>111</v>
          </cell>
        </row>
        <row r="2782">
          <cell r="A2782" t="str">
            <v>1RE1PSLP1645ZA</v>
          </cell>
          <cell r="B2782">
            <v>456</v>
          </cell>
        </row>
        <row r="2783">
          <cell r="A2783" t="str">
            <v>1RE1PSLP1646ZA</v>
          </cell>
          <cell r="B2783">
            <v>108</v>
          </cell>
        </row>
        <row r="2784">
          <cell r="A2784" t="str">
            <v>1RE1PSLP1647ZA</v>
          </cell>
          <cell r="B2784">
            <v>111</v>
          </cell>
        </row>
        <row r="2785">
          <cell r="A2785" t="str">
            <v>1RE1PSLP1649ZA</v>
          </cell>
          <cell r="B2785">
            <v>29</v>
          </cell>
        </row>
        <row r="2786">
          <cell r="A2786" t="str">
            <v>1RE1PSLP1656ZA</v>
          </cell>
          <cell r="B2786">
            <v>13</v>
          </cell>
        </row>
        <row r="2787">
          <cell r="A2787" t="str">
            <v>1RE1PSLP1661ZA</v>
          </cell>
          <cell r="B2787">
            <v>48</v>
          </cell>
        </row>
        <row r="2788">
          <cell r="A2788" t="str">
            <v>1RE1PSLP1666ZA</v>
          </cell>
          <cell r="B2788">
            <v>27</v>
          </cell>
        </row>
        <row r="2789">
          <cell r="A2789" t="str">
            <v>1RE1PSLP1667ZA</v>
          </cell>
          <cell r="B2789">
            <v>30</v>
          </cell>
        </row>
        <row r="2790">
          <cell r="A2790" t="str">
            <v>1RE1PSLP1668ZA</v>
          </cell>
          <cell r="B2790">
            <v>30</v>
          </cell>
        </row>
        <row r="2791">
          <cell r="A2791" t="str">
            <v>1RE1PSLP1669ZA</v>
          </cell>
          <cell r="B2791">
            <v>56</v>
          </cell>
        </row>
        <row r="2792">
          <cell r="A2792" t="str">
            <v>1RE1PSLP1670ZA</v>
          </cell>
          <cell r="B2792">
            <v>33</v>
          </cell>
        </row>
        <row r="2793">
          <cell r="A2793" t="str">
            <v>1RE1PSLP1671ZA</v>
          </cell>
          <cell r="B2793">
            <v>43</v>
          </cell>
        </row>
        <row r="2794">
          <cell r="A2794" t="str">
            <v>1RE1PSLP1672ZA</v>
          </cell>
          <cell r="B2794">
            <v>224</v>
          </cell>
        </row>
        <row r="2795">
          <cell r="A2795" t="str">
            <v>1RE1PSLP1673ZA</v>
          </cell>
          <cell r="B2795">
            <v>264</v>
          </cell>
        </row>
        <row r="2796">
          <cell r="A2796" t="str">
            <v>1RE1PSLP1676ZA</v>
          </cell>
          <cell r="B2796">
            <v>389</v>
          </cell>
        </row>
        <row r="2797">
          <cell r="A2797" t="str">
            <v>1RE1PSLP1682ZA</v>
          </cell>
          <cell r="B2797">
            <v>590</v>
          </cell>
        </row>
        <row r="2798">
          <cell r="A2798" t="str">
            <v>1RE1PSLP1683ZA</v>
          </cell>
          <cell r="B2798">
            <v>173</v>
          </cell>
        </row>
        <row r="2799">
          <cell r="A2799" t="str">
            <v>1RE1PSLP1684ZA</v>
          </cell>
          <cell r="B2799">
            <v>812</v>
          </cell>
        </row>
        <row r="2800">
          <cell r="A2800" t="str">
            <v>1RE1PSLP1685ZA</v>
          </cell>
          <cell r="B2800">
            <v>89</v>
          </cell>
        </row>
        <row r="2801">
          <cell r="A2801" t="str">
            <v>1RE1PSLP1686ZA</v>
          </cell>
          <cell r="B2801">
            <v>370</v>
          </cell>
        </row>
        <row r="2802">
          <cell r="A2802" t="str">
            <v>1RE1PSLP1687ZA</v>
          </cell>
          <cell r="B2802">
            <v>370</v>
          </cell>
        </row>
        <row r="2803">
          <cell r="A2803" t="str">
            <v>1RE1PSLP1689ZA</v>
          </cell>
          <cell r="B2803">
            <v>224</v>
          </cell>
        </row>
        <row r="2804">
          <cell r="A2804" t="str">
            <v>1RE1PSLP1690ZA</v>
          </cell>
          <cell r="B2804">
            <v>138</v>
          </cell>
        </row>
        <row r="2805">
          <cell r="A2805" t="str">
            <v>1RE1RBPC1A09150</v>
          </cell>
          <cell r="B2805">
            <v>170</v>
          </cell>
        </row>
        <row r="2806">
          <cell r="A2806" t="str">
            <v>1RE1SA001-V4</v>
          </cell>
          <cell r="B2806">
            <v>28</v>
          </cell>
        </row>
        <row r="2807">
          <cell r="A2807" t="str">
            <v>1RE1SA250A-V4</v>
          </cell>
          <cell r="B2807">
            <v>326</v>
          </cell>
        </row>
        <row r="2808">
          <cell r="A2808" t="str">
            <v>1RE1SA250P-V4</v>
          </cell>
          <cell r="B2808">
            <v>326</v>
          </cell>
        </row>
        <row r="2809">
          <cell r="A2809" t="str">
            <v>1RE1SE200A-V4</v>
          </cell>
          <cell r="B2809">
            <v>163</v>
          </cell>
        </row>
        <row r="2810">
          <cell r="A2810" t="str">
            <v>1RE1SE200DAN</v>
          </cell>
          <cell r="B2810">
            <v>163</v>
          </cell>
        </row>
        <row r="2811">
          <cell r="A2811" t="str">
            <v>1RE1SE200DNP</v>
          </cell>
          <cell r="B2811">
            <v>163</v>
          </cell>
        </row>
        <row r="2812">
          <cell r="A2812" t="str">
            <v>1RE1SE200P-V4</v>
          </cell>
          <cell r="B2812">
            <v>163</v>
          </cell>
        </row>
        <row r="2813">
          <cell r="A2813" t="str">
            <v>1RE1SHH14YSZB-V4</v>
          </cell>
          <cell r="B2813">
            <v>110</v>
          </cell>
        </row>
        <row r="2814">
          <cell r="A2814" t="str">
            <v>1RE1SHH23-S2</v>
          </cell>
          <cell r="B2814">
            <v>113</v>
          </cell>
        </row>
        <row r="2815">
          <cell r="A2815" t="str">
            <v>1RE1SHH24</v>
          </cell>
          <cell r="B2815">
            <v>115</v>
          </cell>
        </row>
        <row r="2816">
          <cell r="A2816" t="str">
            <v>1RE1SMS19-V4</v>
          </cell>
          <cell r="B2816">
            <v>82</v>
          </cell>
        </row>
        <row r="2817">
          <cell r="A2817" t="str">
            <v>1RE1SR102A-V4</v>
          </cell>
          <cell r="B2817">
            <v>138</v>
          </cell>
        </row>
        <row r="2818">
          <cell r="A2818" t="str">
            <v>1RE1SR102E-V4</v>
          </cell>
          <cell r="B2818">
            <v>281</v>
          </cell>
        </row>
        <row r="2819">
          <cell r="A2819" t="str">
            <v>1RE1SR152</v>
          </cell>
          <cell r="B2819">
            <v>387</v>
          </cell>
        </row>
        <row r="2820">
          <cell r="A2820" t="str">
            <v>1RE1SR152R</v>
          </cell>
          <cell r="B2820">
            <v>398</v>
          </cell>
        </row>
        <row r="2821">
          <cell r="A2821" t="str">
            <v>1RE1SR202A-V4</v>
          </cell>
          <cell r="B2821">
            <v>460</v>
          </cell>
        </row>
        <row r="2822">
          <cell r="A2822" t="str">
            <v>1RE1SR202DAN</v>
          </cell>
          <cell r="B2822">
            <v>460</v>
          </cell>
        </row>
        <row r="2823">
          <cell r="A2823" t="str">
            <v>1RE1SR202DNP</v>
          </cell>
          <cell r="B2823">
            <v>460</v>
          </cell>
        </row>
        <row r="2824">
          <cell r="A2824" t="str">
            <v>1RE1SR202P-V4</v>
          </cell>
          <cell r="B2824">
            <v>456</v>
          </cell>
        </row>
        <row r="2825">
          <cell r="A2825" t="str">
            <v>1RE1SR204DNP</v>
          </cell>
          <cell r="B2825">
            <v>460</v>
          </cell>
        </row>
        <row r="2826">
          <cell r="A2826" t="str">
            <v>1RE1SR204P-V4</v>
          </cell>
          <cell r="B2826">
            <v>460</v>
          </cell>
        </row>
        <row r="2827">
          <cell r="A2827" t="str">
            <v>1RE1SRB20YSZB-V4</v>
          </cell>
          <cell r="B2827">
            <v>293</v>
          </cell>
        </row>
        <row r="2828">
          <cell r="A2828" t="str">
            <v>1RE1SRC14YSZB-V4</v>
          </cell>
          <cell r="B2828">
            <v>293</v>
          </cell>
        </row>
        <row r="2829">
          <cell r="A2829" t="str">
            <v>1RE1ST100E-V4</v>
          </cell>
          <cell r="B2829">
            <v>105</v>
          </cell>
        </row>
        <row r="2830">
          <cell r="A2830" t="str">
            <v>1RE1ST200P-V4</v>
          </cell>
          <cell r="B2830">
            <v>114</v>
          </cell>
        </row>
        <row r="2831">
          <cell r="A2831" t="str">
            <v>1RE1ST200-V4</v>
          </cell>
          <cell r="B2831">
            <v>115</v>
          </cell>
        </row>
        <row r="2832">
          <cell r="A2832" t="str">
            <v>1RE1ST210-V4</v>
          </cell>
          <cell r="B2832">
            <v>106</v>
          </cell>
        </row>
        <row r="2833">
          <cell r="A2833" t="str">
            <v>1RE1ST250-V4</v>
          </cell>
          <cell r="B2833">
            <v>115</v>
          </cell>
        </row>
        <row r="2834">
          <cell r="A2834" t="str">
            <v>1RE1ST300E-V4</v>
          </cell>
          <cell r="B2834">
            <v>86</v>
          </cell>
        </row>
        <row r="2835">
          <cell r="A2835" t="str">
            <v>1RE1ST400P-V4</v>
          </cell>
          <cell r="B2835">
            <v>114</v>
          </cell>
        </row>
        <row r="2836">
          <cell r="A2836" t="str">
            <v>1RE1ST400-V4</v>
          </cell>
          <cell r="B2836">
            <v>114</v>
          </cell>
        </row>
        <row r="2837">
          <cell r="A2837" t="str">
            <v>1RE1ST510-V4</v>
          </cell>
          <cell r="B2837">
            <v>153</v>
          </cell>
        </row>
        <row r="2838">
          <cell r="A2838" t="str">
            <v>1RE1ST600</v>
          </cell>
          <cell r="B2838">
            <v>155</v>
          </cell>
        </row>
        <row r="2839">
          <cell r="A2839" t="str">
            <v>1RE1ST600P</v>
          </cell>
          <cell r="B2839">
            <v>155</v>
          </cell>
        </row>
        <row r="2840">
          <cell r="A2840" t="str">
            <v>1RE1ST700</v>
          </cell>
          <cell r="B2840">
            <v>152</v>
          </cell>
        </row>
        <row r="2841">
          <cell r="A2841" t="str">
            <v>1RE1ST700P</v>
          </cell>
          <cell r="B2841">
            <v>152</v>
          </cell>
        </row>
        <row r="2842">
          <cell r="A2842" t="str">
            <v>1RE1STD14YSZB-V4</v>
          </cell>
          <cell r="B2842">
            <v>93</v>
          </cell>
        </row>
        <row r="2843">
          <cell r="A2843" t="str">
            <v>1RE1STM23-S2</v>
          </cell>
          <cell r="B2843">
            <v>102</v>
          </cell>
        </row>
        <row r="2844">
          <cell r="A2844" t="str">
            <v>1RE1STM24</v>
          </cell>
          <cell r="B2844">
            <v>102</v>
          </cell>
        </row>
        <row r="2845">
          <cell r="A2845" t="str">
            <v>1RE1SZ100E-V4</v>
          </cell>
          <cell r="B2845">
            <v>26</v>
          </cell>
        </row>
        <row r="2846">
          <cell r="A2846" t="str">
            <v>1RE1SZ100-V4</v>
          </cell>
          <cell r="B2846">
            <v>26</v>
          </cell>
        </row>
        <row r="2847">
          <cell r="A2847" t="str">
            <v>1RE1SZ200P-V4</v>
          </cell>
          <cell r="B2847">
            <v>163</v>
          </cell>
        </row>
        <row r="2848">
          <cell r="A2848" t="str">
            <v>1RE1SZ200-V4</v>
          </cell>
          <cell r="B2848">
            <v>164</v>
          </cell>
        </row>
        <row r="2849">
          <cell r="A2849" t="str">
            <v>1RE1SZ600</v>
          </cell>
          <cell r="B2849">
            <v>130</v>
          </cell>
        </row>
        <row r="2850">
          <cell r="A2850" t="str">
            <v>1RE1T7625M1APL4</v>
          </cell>
          <cell r="B2850">
            <v>34</v>
          </cell>
        </row>
        <row r="2851">
          <cell r="A2851" t="str">
            <v>1RE1T76301APL4</v>
          </cell>
          <cell r="B2851">
            <v>34</v>
          </cell>
        </row>
        <row r="2852">
          <cell r="A2852" t="str">
            <v>1RE1T7630M1APL4</v>
          </cell>
          <cell r="B2852">
            <v>34</v>
          </cell>
        </row>
        <row r="2853">
          <cell r="A2853" t="str">
            <v>1RE1T76361APL4</v>
          </cell>
          <cell r="B2853">
            <v>34</v>
          </cell>
        </row>
        <row r="2854">
          <cell r="A2854" t="str">
            <v>1RE1T7636M1APL4</v>
          </cell>
          <cell r="B2854">
            <v>34</v>
          </cell>
        </row>
        <row r="2855">
          <cell r="A2855" t="str">
            <v>1RE1T76401APL4</v>
          </cell>
          <cell r="B2855">
            <v>60</v>
          </cell>
        </row>
        <row r="2856">
          <cell r="A2856" t="str">
            <v>1RE1T76651APL4</v>
          </cell>
          <cell r="B2856">
            <v>14</v>
          </cell>
        </row>
        <row r="2857">
          <cell r="A2857" t="str">
            <v>1RE1T7665RU1APL4</v>
          </cell>
          <cell r="B2857">
            <v>13</v>
          </cell>
        </row>
        <row r="2858">
          <cell r="A2858" t="str">
            <v>1RE1T7665VE1AP</v>
          </cell>
          <cell r="B2858">
            <v>13</v>
          </cell>
        </row>
        <row r="2859">
          <cell r="A2859" t="str">
            <v>1RE1T7720CEV4</v>
          </cell>
          <cell r="B2859">
            <v>22</v>
          </cell>
        </row>
        <row r="2860">
          <cell r="A2860" t="str">
            <v>1RE1T7720EV4</v>
          </cell>
          <cell r="B2860">
            <v>21</v>
          </cell>
        </row>
        <row r="2861">
          <cell r="A2861" t="str">
            <v>1RE1T7720EV7</v>
          </cell>
          <cell r="B2861">
            <v>22</v>
          </cell>
        </row>
        <row r="2862">
          <cell r="A2862" t="str">
            <v>1RE1T7720M1APL4</v>
          </cell>
          <cell r="B2862">
            <v>22</v>
          </cell>
        </row>
        <row r="2863">
          <cell r="A2863" t="str">
            <v>1RE1T7720NZV4</v>
          </cell>
          <cell r="B2863">
            <v>22</v>
          </cell>
        </row>
        <row r="2864">
          <cell r="A2864" t="str">
            <v>1RE1T7720XV4</v>
          </cell>
          <cell r="B2864">
            <v>22</v>
          </cell>
        </row>
        <row r="2865">
          <cell r="A2865" t="str">
            <v>1RE1T7730ALV4</v>
          </cell>
          <cell r="B2865">
            <v>21</v>
          </cell>
        </row>
        <row r="2866">
          <cell r="A2866" t="str">
            <v>1RE1T7730CEV4</v>
          </cell>
          <cell r="B2866">
            <v>22</v>
          </cell>
        </row>
        <row r="2867">
          <cell r="A2867" t="str">
            <v>1RE1T7730CNV4</v>
          </cell>
          <cell r="B2867">
            <v>21</v>
          </cell>
        </row>
        <row r="2868">
          <cell r="A2868" t="str">
            <v>1RE1T7730CV4</v>
          </cell>
          <cell r="B2868">
            <v>22</v>
          </cell>
        </row>
        <row r="2869">
          <cell r="A2869" t="str">
            <v>1RE1T7730EV4</v>
          </cell>
          <cell r="B2869">
            <v>23</v>
          </cell>
        </row>
        <row r="2870">
          <cell r="A2870" t="str">
            <v>1RE1T7730EV7</v>
          </cell>
          <cell r="B2870">
            <v>22</v>
          </cell>
        </row>
        <row r="2871">
          <cell r="A2871" t="str">
            <v>1RE1T7730NZV4</v>
          </cell>
          <cell r="B2871">
            <v>22</v>
          </cell>
        </row>
        <row r="2872">
          <cell r="A2872" t="str">
            <v>1RE1T7730RU1APL4</v>
          </cell>
          <cell r="B2872">
            <v>22</v>
          </cell>
        </row>
        <row r="2873">
          <cell r="A2873" t="str">
            <v>1RE1T7730SPV4</v>
          </cell>
          <cell r="B2873">
            <v>23</v>
          </cell>
        </row>
        <row r="2874">
          <cell r="A2874" t="str">
            <v>1RE1T7730SPV7</v>
          </cell>
          <cell r="B2874">
            <v>22</v>
          </cell>
        </row>
        <row r="2875">
          <cell r="A2875" t="str">
            <v>1RE1T7730XR1</v>
          </cell>
          <cell r="B2875">
            <v>24</v>
          </cell>
        </row>
        <row r="2876">
          <cell r="A2876" t="str">
            <v>1RE1T7730XSX</v>
          </cell>
          <cell r="B2876">
            <v>21</v>
          </cell>
        </row>
        <row r="2877">
          <cell r="A2877" t="str">
            <v>1RE1T7730XV4</v>
          </cell>
          <cell r="B2877">
            <v>21</v>
          </cell>
        </row>
        <row r="2878">
          <cell r="A2878" t="str">
            <v>1RE1T7731M1APL4</v>
          </cell>
          <cell r="B2878">
            <v>37</v>
          </cell>
        </row>
        <row r="2879">
          <cell r="A2879" t="str">
            <v>1RE1T7731M1APR1</v>
          </cell>
          <cell r="B2879">
            <v>38</v>
          </cell>
        </row>
        <row r="2880">
          <cell r="A2880" t="str">
            <v>1RE1T7731M1APS1</v>
          </cell>
          <cell r="B2880">
            <v>37</v>
          </cell>
        </row>
        <row r="2881">
          <cell r="A2881" t="str">
            <v>1RE1T7735CEV4</v>
          </cell>
          <cell r="B2881">
            <v>25</v>
          </cell>
        </row>
        <row r="2882">
          <cell r="A2882" t="str">
            <v>1RE1T7735EV4</v>
          </cell>
          <cell r="B2882">
            <v>25</v>
          </cell>
        </row>
        <row r="2883">
          <cell r="A2883" t="str">
            <v>1RE1T7735EV7</v>
          </cell>
          <cell r="B2883">
            <v>27</v>
          </cell>
        </row>
        <row r="2884">
          <cell r="A2884" t="str">
            <v>1RE1T7735NZL4</v>
          </cell>
          <cell r="B2884">
            <v>25</v>
          </cell>
        </row>
        <row r="2885">
          <cell r="A2885" t="str">
            <v>1RE1T7735RU1APL4</v>
          </cell>
          <cell r="B2885">
            <v>25</v>
          </cell>
        </row>
        <row r="2886">
          <cell r="A2886" t="str">
            <v>1RE1T7735XBV4</v>
          </cell>
          <cell r="B2886">
            <v>25</v>
          </cell>
        </row>
        <row r="2887">
          <cell r="A2887" t="str">
            <v>1RE1T7735XSX</v>
          </cell>
          <cell r="B2887">
            <v>25</v>
          </cell>
        </row>
        <row r="2888">
          <cell r="A2888" t="str">
            <v>1RE1T7735XV4</v>
          </cell>
          <cell r="B2888">
            <v>25</v>
          </cell>
        </row>
        <row r="2889">
          <cell r="A2889" t="str">
            <v>1RE1T7736M1APL4</v>
          </cell>
          <cell r="B2889">
            <v>37</v>
          </cell>
        </row>
        <row r="2890">
          <cell r="A2890" t="str">
            <v>1RE1T7736M1APS1</v>
          </cell>
          <cell r="B2890">
            <v>37</v>
          </cell>
        </row>
        <row r="2891">
          <cell r="A2891" t="str">
            <v>1RE1T7737V4</v>
          </cell>
          <cell r="B2891">
            <v>42</v>
          </cell>
        </row>
        <row r="2892">
          <cell r="A2892" t="str">
            <v>1RE1T7740BV4</v>
          </cell>
          <cell r="B2892">
            <v>32</v>
          </cell>
        </row>
        <row r="2893">
          <cell r="A2893" t="str">
            <v>1RE1T7740CNV4</v>
          </cell>
          <cell r="B2893">
            <v>32</v>
          </cell>
        </row>
        <row r="2894">
          <cell r="A2894" t="str">
            <v>1RE1T7740EV7</v>
          </cell>
          <cell r="B2894">
            <v>32</v>
          </cell>
        </row>
        <row r="2895">
          <cell r="A2895" t="str">
            <v>1RE1T7740V4</v>
          </cell>
          <cell r="B2895">
            <v>32</v>
          </cell>
        </row>
        <row r="2896">
          <cell r="A2896" t="str">
            <v>1RE1T7740XBV4</v>
          </cell>
          <cell r="B2896">
            <v>32</v>
          </cell>
        </row>
        <row r="2897">
          <cell r="A2897" t="str">
            <v>1RE1T7740XEU</v>
          </cell>
          <cell r="B2897">
            <v>32</v>
          </cell>
        </row>
        <row r="2898">
          <cell r="A2898" t="str">
            <v>1RE1T7740XSX</v>
          </cell>
          <cell r="B2898">
            <v>32</v>
          </cell>
        </row>
        <row r="2899">
          <cell r="A2899" t="str">
            <v>1RE1T7740XV4</v>
          </cell>
          <cell r="B2899">
            <v>32</v>
          </cell>
        </row>
        <row r="2900">
          <cell r="A2900" t="str">
            <v>1RE1T7750CEV4</v>
          </cell>
          <cell r="B2900">
            <v>21</v>
          </cell>
        </row>
        <row r="2901">
          <cell r="A2901" t="str">
            <v>1RE1T7750EV4</v>
          </cell>
          <cell r="B2901">
            <v>21</v>
          </cell>
        </row>
        <row r="2902">
          <cell r="A2902" t="str">
            <v>1RE1T7750EV7</v>
          </cell>
          <cell r="B2902">
            <v>22</v>
          </cell>
        </row>
        <row r="2903">
          <cell r="A2903" t="str">
            <v>1RE1T7750M1APL4</v>
          </cell>
          <cell r="B2903">
            <v>22</v>
          </cell>
        </row>
        <row r="2904">
          <cell r="A2904" t="str">
            <v>1RE1T7750NZV4</v>
          </cell>
          <cell r="B2904">
            <v>22</v>
          </cell>
        </row>
        <row r="2905">
          <cell r="A2905" t="str">
            <v>1RE1T7750SPV4</v>
          </cell>
          <cell r="B2905">
            <v>22</v>
          </cell>
        </row>
        <row r="2906">
          <cell r="A2906" t="str">
            <v>1RE1T7750XV4</v>
          </cell>
          <cell r="B2906">
            <v>21</v>
          </cell>
        </row>
        <row r="2907">
          <cell r="A2907" t="str">
            <v>1RE1T776651APL4</v>
          </cell>
          <cell r="B2907">
            <v>13</v>
          </cell>
        </row>
        <row r="2908">
          <cell r="A2908" t="str">
            <v>1RE1T7775</v>
          </cell>
          <cell r="B2908">
            <v>54</v>
          </cell>
        </row>
        <row r="2909">
          <cell r="A2909" t="str">
            <v>1RE1TA82461V4</v>
          </cell>
          <cell r="B2909">
            <v>210</v>
          </cell>
        </row>
        <row r="2910">
          <cell r="A2910" t="str">
            <v>1RE1TA82470S2</v>
          </cell>
          <cell r="B2910">
            <v>298</v>
          </cell>
        </row>
        <row r="2911">
          <cell r="A2911" t="str">
            <v>1RE1TA82470V4</v>
          </cell>
          <cell r="B2911">
            <v>298</v>
          </cell>
        </row>
        <row r="2912">
          <cell r="A2912" t="str">
            <v>1RE1TA82470V4-S1</v>
          </cell>
          <cell r="B2912">
            <v>290</v>
          </cell>
        </row>
        <row r="2913">
          <cell r="A2913" t="str">
            <v>1RE1TA82481S2</v>
          </cell>
          <cell r="B2913">
            <v>382</v>
          </cell>
        </row>
        <row r="2914">
          <cell r="A2914" t="str">
            <v>1RE1TA82481V4</v>
          </cell>
          <cell r="B2914">
            <v>382</v>
          </cell>
        </row>
        <row r="2915">
          <cell r="A2915" t="str">
            <v>1RE1TA82481V4-S1</v>
          </cell>
          <cell r="B2915">
            <v>372</v>
          </cell>
        </row>
        <row r="2916">
          <cell r="A2916" t="str">
            <v>1RE1TA82483S1</v>
          </cell>
          <cell r="B2916">
            <v>429</v>
          </cell>
        </row>
        <row r="2917">
          <cell r="A2917" t="str">
            <v>1RE1TA82483V4</v>
          </cell>
          <cell r="B2917">
            <v>429</v>
          </cell>
        </row>
        <row r="2918">
          <cell r="A2918" t="str">
            <v>1RE1TA82491V4</v>
          </cell>
          <cell r="B2918">
            <v>25</v>
          </cell>
        </row>
        <row r="2919">
          <cell r="A2919" t="str">
            <v>1RE1TA82492V4</v>
          </cell>
          <cell r="B2919">
            <v>99</v>
          </cell>
        </row>
        <row r="2920">
          <cell r="A2920" t="str">
            <v>1RE1TA82493V4</v>
          </cell>
          <cell r="B2920">
            <v>45</v>
          </cell>
        </row>
        <row r="2921">
          <cell r="A2921" t="str">
            <v>1RE1TAW84861V4</v>
          </cell>
          <cell r="B2921">
            <v>147</v>
          </cell>
        </row>
        <row r="2922">
          <cell r="A2922" t="str">
            <v>1RE1TAW84866V4</v>
          </cell>
          <cell r="B2922">
            <v>72</v>
          </cell>
        </row>
        <row r="2923">
          <cell r="A2923" t="str">
            <v>1RE1TAW84868V4</v>
          </cell>
          <cell r="B2923">
            <v>29</v>
          </cell>
        </row>
        <row r="2924">
          <cell r="A2924" t="str">
            <v>1RE1TAW84893V4</v>
          </cell>
          <cell r="B2924">
            <v>48</v>
          </cell>
        </row>
        <row r="2925">
          <cell r="A2925" t="str">
            <v>1RE1TAW84896V4</v>
          </cell>
          <cell r="B2925">
            <v>74</v>
          </cell>
        </row>
        <row r="2926">
          <cell r="A2926" t="str">
            <v>1RE1TDA0105CN</v>
          </cell>
          <cell r="B2926">
            <v>52</v>
          </cell>
        </row>
        <row r="2927">
          <cell r="A2927" t="str">
            <v>1RE1TDA0105M1</v>
          </cell>
          <cell r="B2927">
            <v>52</v>
          </cell>
        </row>
        <row r="2928">
          <cell r="A2928" t="str">
            <v>1RE1TDA0105V4</v>
          </cell>
          <cell r="B2928">
            <v>52</v>
          </cell>
        </row>
        <row r="2929">
          <cell r="A2929" t="str">
            <v>1RE1TDA0105XJV4</v>
          </cell>
          <cell r="B2929">
            <v>52</v>
          </cell>
        </row>
        <row r="2930">
          <cell r="A2930" t="str">
            <v>1RE1TDA0105XV4</v>
          </cell>
          <cell r="B2930">
            <v>52</v>
          </cell>
        </row>
        <row r="2931">
          <cell r="A2931" t="str">
            <v>1RE1TDA0143CEV4</v>
          </cell>
          <cell r="B2931">
            <v>382</v>
          </cell>
        </row>
        <row r="2932">
          <cell r="A2932" t="str">
            <v>1RE1TDA0143M1</v>
          </cell>
          <cell r="B2932">
            <v>382</v>
          </cell>
        </row>
        <row r="2933">
          <cell r="A2933" t="str">
            <v>1RE1TDA0143V4</v>
          </cell>
          <cell r="B2933">
            <v>382</v>
          </cell>
        </row>
        <row r="2934">
          <cell r="A2934" t="str">
            <v>1RE1TDA0143XJV4</v>
          </cell>
          <cell r="B2934">
            <v>382</v>
          </cell>
        </row>
        <row r="2935">
          <cell r="A2935" t="str">
            <v>1RE1TDA0144CEV4</v>
          </cell>
          <cell r="B2935">
            <v>499</v>
          </cell>
        </row>
        <row r="2936">
          <cell r="A2936" t="str">
            <v>1RE1TDA0144M1</v>
          </cell>
          <cell r="B2936">
            <v>499</v>
          </cell>
        </row>
        <row r="2937">
          <cell r="A2937" t="str">
            <v>1RE1TDA0144V4</v>
          </cell>
          <cell r="B2937">
            <v>499</v>
          </cell>
        </row>
        <row r="2938">
          <cell r="A2938" t="str">
            <v>1RE1TDA0144XJV4</v>
          </cell>
          <cell r="B2938">
            <v>499</v>
          </cell>
        </row>
        <row r="2939">
          <cell r="A2939" t="str">
            <v>1RE1TDA0161M1</v>
          </cell>
          <cell r="B2939">
            <v>196</v>
          </cell>
        </row>
        <row r="2940">
          <cell r="A2940" t="str">
            <v>1RE1TDA0161V4</v>
          </cell>
          <cell r="B2940">
            <v>196</v>
          </cell>
        </row>
        <row r="2941">
          <cell r="A2941" t="str">
            <v>1RE1TDA0161XEU</v>
          </cell>
          <cell r="B2941">
            <v>196</v>
          </cell>
        </row>
        <row r="2942">
          <cell r="A2942" t="str">
            <v>1RE1TDA0161XJSX</v>
          </cell>
          <cell r="B2942">
            <v>196</v>
          </cell>
        </row>
        <row r="2943">
          <cell r="A2943" t="str">
            <v>1RE1TDA0161XJV4</v>
          </cell>
          <cell r="B2943">
            <v>196</v>
          </cell>
        </row>
        <row r="2944">
          <cell r="A2944" t="str">
            <v>1RE1TDA0161XV4</v>
          </cell>
          <cell r="B2944">
            <v>196</v>
          </cell>
        </row>
        <row r="2945">
          <cell r="A2945" t="str">
            <v>1RE1TDA0162GV4</v>
          </cell>
          <cell r="B2945">
            <v>111</v>
          </cell>
        </row>
        <row r="2946">
          <cell r="A2946" t="str">
            <v>1RE1TDA0164M1</v>
          </cell>
          <cell r="B2946">
            <v>74</v>
          </cell>
        </row>
        <row r="2947">
          <cell r="A2947" t="str">
            <v>1RE1TDA0164V4</v>
          </cell>
          <cell r="B2947">
            <v>74</v>
          </cell>
        </row>
        <row r="2948">
          <cell r="A2948" t="str">
            <v>1RE1TDA0164XEU</v>
          </cell>
          <cell r="B2948">
            <v>74</v>
          </cell>
        </row>
        <row r="2949">
          <cell r="A2949" t="str">
            <v>1RE1TDA0164XJSX</v>
          </cell>
          <cell r="B2949">
            <v>74</v>
          </cell>
        </row>
        <row r="2950">
          <cell r="A2950" t="str">
            <v>1RE1TDA0164XJV4</v>
          </cell>
          <cell r="B2950">
            <v>74</v>
          </cell>
        </row>
        <row r="2951">
          <cell r="A2951" t="str">
            <v>1RE1TDA0164XV4</v>
          </cell>
          <cell r="B2951">
            <v>74</v>
          </cell>
        </row>
        <row r="2952">
          <cell r="A2952" t="str">
            <v>1RE1TDA0166M1</v>
          </cell>
          <cell r="B2952">
            <v>87</v>
          </cell>
        </row>
        <row r="2953">
          <cell r="A2953" t="str">
            <v>1RE1TDA0166V4</v>
          </cell>
          <cell r="B2953">
            <v>87</v>
          </cell>
        </row>
        <row r="2954">
          <cell r="A2954" t="str">
            <v>1RE1TDA0166XJV4</v>
          </cell>
          <cell r="B2954">
            <v>87</v>
          </cell>
        </row>
        <row r="2955">
          <cell r="A2955" t="str">
            <v>1RE1TDA0166XV4</v>
          </cell>
          <cell r="B2955">
            <v>87</v>
          </cell>
        </row>
        <row r="2956">
          <cell r="A2956" t="str">
            <v>1RE1TDA0168M1</v>
          </cell>
          <cell r="B2956">
            <v>131</v>
          </cell>
        </row>
        <row r="2957">
          <cell r="A2957" t="str">
            <v>1RE1TDA0168V4</v>
          </cell>
          <cell r="B2957">
            <v>131</v>
          </cell>
        </row>
        <row r="2958">
          <cell r="A2958" t="str">
            <v>1RE1TDA0168XJV4</v>
          </cell>
          <cell r="B2958">
            <v>131</v>
          </cell>
        </row>
        <row r="2959">
          <cell r="A2959" t="str">
            <v>1RE1TDA0168XV4</v>
          </cell>
          <cell r="B2959">
            <v>131</v>
          </cell>
        </row>
        <row r="2960">
          <cell r="A2960" t="str">
            <v>1RE1TDA0170CXV4</v>
          </cell>
          <cell r="B2960">
            <v>778</v>
          </cell>
        </row>
        <row r="2961">
          <cell r="A2961" t="str">
            <v>1RE1TDA0170M1</v>
          </cell>
          <cell r="B2961">
            <v>779</v>
          </cell>
        </row>
        <row r="2962">
          <cell r="A2962" t="str">
            <v>1RE1TDA0170V4</v>
          </cell>
          <cell r="B2962">
            <v>779</v>
          </cell>
        </row>
        <row r="2963">
          <cell r="A2963" t="str">
            <v>1RE1TDA0170XEU</v>
          </cell>
          <cell r="B2963">
            <v>778</v>
          </cell>
        </row>
        <row r="2964">
          <cell r="A2964" t="str">
            <v>1RE1TDA0170XJSX</v>
          </cell>
          <cell r="B2964">
            <v>779</v>
          </cell>
        </row>
        <row r="2965">
          <cell r="A2965" t="str">
            <v>1RE1TDA0170XJV4</v>
          </cell>
          <cell r="B2965">
            <v>779</v>
          </cell>
        </row>
        <row r="2966">
          <cell r="A2966" t="str">
            <v>1RE1TDA0170XJVN</v>
          </cell>
          <cell r="B2966">
            <v>778</v>
          </cell>
        </row>
        <row r="2967">
          <cell r="A2967" t="str">
            <v>1RE1TDA0170XV4</v>
          </cell>
          <cell r="B2967">
            <v>779</v>
          </cell>
        </row>
        <row r="2968">
          <cell r="A2968" t="str">
            <v>1RE1TDA0171CXV4</v>
          </cell>
          <cell r="B2968">
            <v>399</v>
          </cell>
        </row>
        <row r="2969">
          <cell r="A2969" t="str">
            <v>1RE1TDA0171M1</v>
          </cell>
          <cell r="B2969">
            <v>400</v>
          </cell>
        </row>
        <row r="2970">
          <cell r="A2970" t="str">
            <v>1RE1TDA0171V4</v>
          </cell>
          <cell r="B2970">
            <v>400</v>
          </cell>
        </row>
        <row r="2971">
          <cell r="A2971" t="str">
            <v>1RE1TDA0171XEU</v>
          </cell>
          <cell r="B2971">
            <v>399</v>
          </cell>
        </row>
        <row r="2972">
          <cell r="A2972" t="str">
            <v>1RE1TDA0171XJSX</v>
          </cell>
          <cell r="B2972">
            <v>400</v>
          </cell>
        </row>
        <row r="2973">
          <cell r="A2973" t="str">
            <v>1RE1TDA0171XJV4</v>
          </cell>
          <cell r="B2973">
            <v>400</v>
          </cell>
        </row>
        <row r="2974">
          <cell r="A2974" t="str">
            <v>1RE1TDA0171XV4</v>
          </cell>
          <cell r="B2974">
            <v>400</v>
          </cell>
        </row>
        <row r="2975">
          <cell r="A2975" t="str">
            <v>1RE1TDA0172CXV4</v>
          </cell>
          <cell r="B2975">
            <v>625</v>
          </cell>
        </row>
        <row r="2976">
          <cell r="A2976" t="str">
            <v>1RE1TDA0172M1</v>
          </cell>
          <cell r="B2976">
            <v>626</v>
          </cell>
        </row>
        <row r="2977">
          <cell r="A2977" t="str">
            <v>1RE1TDA0172V4</v>
          </cell>
          <cell r="B2977">
            <v>626</v>
          </cell>
        </row>
        <row r="2978">
          <cell r="A2978" t="str">
            <v>1RE1TDA0172XEU</v>
          </cell>
          <cell r="B2978">
            <v>626</v>
          </cell>
        </row>
        <row r="2979">
          <cell r="A2979" t="str">
            <v>1RE1TDA0172XJSX</v>
          </cell>
          <cell r="B2979">
            <v>626</v>
          </cell>
        </row>
        <row r="2980">
          <cell r="A2980" t="str">
            <v>1RE1TDA0172XJV4</v>
          </cell>
          <cell r="B2980">
            <v>626</v>
          </cell>
        </row>
        <row r="2981">
          <cell r="A2981" t="str">
            <v>1RE1TDA0172XJVN</v>
          </cell>
          <cell r="B2981">
            <v>626</v>
          </cell>
        </row>
        <row r="2982">
          <cell r="A2982" t="str">
            <v>1RE1TDA0172XV4</v>
          </cell>
          <cell r="B2982">
            <v>626</v>
          </cell>
        </row>
        <row r="2983">
          <cell r="A2983" t="str">
            <v>1RE1TDA0173CXV4</v>
          </cell>
          <cell r="B2983">
            <v>577</v>
          </cell>
        </row>
        <row r="2984">
          <cell r="A2984" t="str">
            <v>1RE1TDA0173M1</v>
          </cell>
          <cell r="B2984">
            <v>582</v>
          </cell>
        </row>
        <row r="2985">
          <cell r="A2985" t="str">
            <v>1RE1TDA0173V4</v>
          </cell>
          <cell r="B2985">
            <v>578</v>
          </cell>
        </row>
        <row r="2986">
          <cell r="A2986" t="str">
            <v>1RE1TDA0173XEU</v>
          </cell>
          <cell r="B2986">
            <v>577</v>
          </cell>
        </row>
        <row r="2987">
          <cell r="A2987" t="str">
            <v>1RE1TDA0173XJSX</v>
          </cell>
          <cell r="B2987">
            <v>583</v>
          </cell>
        </row>
        <row r="2988">
          <cell r="A2988" t="str">
            <v>1RE1TDA0173XJV4</v>
          </cell>
          <cell r="B2988">
            <v>578</v>
          </cell>
        </row>
        <row r="2989">
          <cell r="A2989" t="str">
            <v>1RE1TDA0173XV4</v>
          </cell>
          <cell r="B2989">
            <v>578</v>
          </cell>
        </row>
        <row r="2990">
          <cell r="A2990" t="str">
            <v>1RE1TDA0174V4</v>
          </cell>
          <cell r="B2990">
            <v>197</v>
          </cell>
        </row>
        <row r="2991">
          <cell r="A2991" t="str">
            <v>1RE1TDA0174XEU</v>
          </cell>
          <cell r="B2991">
            <v>197</v>
          </cell>
        </row>
        <row r="2992">
          <cell r="A2992" t="str">
            <v>1RE1TDA0174XJSX</v>
          </cell>
          <cell r="B2992">
            <v>197</v>
          </cell>
        </row>
        <row r="2993">
          <cell r="A2993" t="str">
            <v>1RE1TDA0174XJV4</v>
          </cell>
          <cell r="B2993">
            <v>197</v>
          </cell>
        </row>
        <row r="2994">
          <cell r="A2994" t="str">
            <v>1RE1TDA0174XV4</v>
          </cell>
          <cell r="B2994">
            <v>197</v>
          </cell>
        </row>
        <row r="2995">
          <cell r="A2995" t="str">
            <v>1RE1TDA0175V4</v>
          </cell>
          <cell r="B2995">
            <v>280</v>
          </cell>
        </row>
        <row r="2996">
          <cell r="A2996" t="str">
            <v>1RE1TDA0175XEU</v>
          </cell>
          <cell r="B2996">
            <v>280</v>
          </cell>
        </row>
        <row r="2997">
          <cell r="A2997" t="str">
            <v>1RE1TDA0175XJSX</v>
          </cell>
          <cell r="B2997">
            <v>280</v>
          </cell>
        </row>
        <row r="2998">
          <cell r="A2998" t="str">
            <v>1RE1TDA0175XJV4</v>
          </cell>
          <cell r="B2998">
            <v>280</v>
          </cell>
        </row>
        <row r="2999">
          <cell r="A2999" t="str">
            <v>1RE1TDA0175XV4</v>
          </cell>
          <cell r="B2999">
            <v>280</v>
          </cell>
        </row>
        <row r="3000">
          <cell r="A3000" t="str">
            <v>1RE1TDA0177CXV4</v>
          </cell>
          <cell r="B3000">
            <v>239</v>
          </cell>
        </row>
        <row r="3001">
          <cell r="A3001" t="str">
            <v>1RE1TDA0177V4</v>
          </cell>
          <cell r="B3001">
            <v>240</v>
          </cell>
        </row>
        <row r="3002">
          <cell r="A3002" t="str">
            <v>1RE1TDA0177XEU</v>
          </cell>
          <cell r="B3002">
            <v>239</v>
          </cell>
        </row>
        <row r="3003">
          <cell r="A3003" t="str">
            <v>1RE1TDA0177XJSX</v>
          </cell>
          <cell r="B3003">
            <v>240</v>
          </cell>
        </row>
        <row r="3004">
          <cell r="A3004" t="str">
            <v>1RE1TDA0177XJV4</v>
          </cell>
          <cell r="B3004">
            <v>239</v>
          </cell>
        </row>
        <row r="3005">
          <cell r="A3005" t="str">
            <v>1RE1TDA0177XV4</v>
          </cell>
          <cell r="B3005">
            <v>240</v>
          </cell>
        </row>
        <row r="3006">
          <cell r="A3006" t="str">
            <v>1RE1TDA0180AGV4</v>
          </cell>
          <cell r="B3006">
            <v>440</v>
          </cell>
        </row>
        <row r="3007">
          <cell r="A3007" t="str">
            <v>1RE1TDA0180ALV4</v>
          </cell>
          <cell r="B3007">
            <v>448</v>
          </cell>
        </row>
        <row r="3008">
          <cell r="A3008" t="str">
            <v>1RE1TDA0180CV4</v>
          </cell>
          <cell r="B3008">
            <v>438</v>
          </cell>
        </row>
        <row r="3009">
          <cell r="A3009" t="str">
            <v>1RE1TDA0180CXV4</v>
          </cell>
          <cell r="B3009">
            <v>440</v>
          </cell>
        </row>
        <row r="3010">
          <cell r="A3010" t="str">
            <v>1RE1TDA0180EV4</v>
          </cell>
          <cell r="B3010">
            <v>440</v>
          </cell>
        </row>
        <row r="3011">
          <cell r="A3011" t="str">
            <v>1RE1TDA0180M1</v>
          </cell>
          <cell r="B3011">
            <v>440</v>
          </cell>
        </row>
        <row r="3012">
          <cell r="A3012" t="str">
            <v>1RE1TDA0180M2</v>
          </cell>
          <cell r="B3012">
            <v>440</v>
          </cell>
        </row>
        <row r="3013">
          <cell r="A3013" t="str">
            <v>1RE1TDA0180NEV4</v>
          </cell>
          <cell r="B3013">
            <v>440</v>
          </cell>
        </row>
        <row r="3014">
          <cell r="A3014" t="str">
            <v>1RE1TDA0180V4</v>
          </cell>
          <cell r="B3014">
            <v>438</v>
          </cell>
        </row>
        <row r="3015">
          <cell r="A3015" t="str">
            <v>1RE1TDA0180XEU</v>
          </cell>
          <cell r="B3015">
            <v>440</v>
          </cell>
        </row>
        <row r="3016">
          <cell r="A3016" t="str">
            <v>1RE1TDA0180XSX</v>
          </cell>
          <cell r="B3016">
            <v>440</v>
          </cell>
        </row>
        <row r="3017">
          <cell r="A3017" t="str">
            <v>1RE1TDA0180XV4</v>
          </cell>
          <cell r="B3017">
            <v>440</v>
          </cell>
        </row>
        <row r="3018">
          <cell r="A3018" t="str">
            <v>1RE1TDA0181AGV4</v>
          </cell>
          <cell r="B3018">
            <v>878</v>
          </cell>
        </row>
        <row r="3019">
          <cell r="A3019" t="str">
            <v>1RE1TDA0181ALV4</v>
          </cell>
          <cell r="B3019">
            <v>911</v>
          </cell>
        </row>
        <row r="3020">
          <cell r="A3020" t="str">
            <v>1RE1TDA0181CV4</v>
          </cell>
          <cell r="B3020">
            <v>894</v>
          </cell>
        </row>
        <row r="3021">
          <cell r="A3021" t="str">
            <v>1RE1TDA0181CXV4</v>
          </cell>
          <cell r="B3021">
            <v>894</v>
          </cell>
        </row>
        <row r="3022">
          <cell r="A3022" t="str">
            <v>1RE1TDA0181EV4</v>
          </cell>
          <cell r="B3022">
            <v>878</v>
          </cell>
        </row>
        <row r="3023">
          <cell r="A3023" t="str">
            <v>1RE1TDA0181NEV4</v>
          </cell>
          <cell r="B3023">
            <v>878</v>
          </cell>
        </row>
        <row r="3024">
          <cell r="A3024" t="str">
            <v>1RE1TDA0181V4</v>
          </cell>
          <cell r="B3024">
            <v>894</v>
          </cell>
        </row>
        <row r="3025">
          <cell r="A3025" t="str">
            <v>1RE1TDA0181XSX</v>
          </cell>
          <cell r="B3025">
            <v>878</v>
          </cell>
        </row>
        <row r="3026">
          <cell r="A3026" t="str">
            <v>1RE1TDA0181XV4</v>
          </cell>
          <cell r="B3026">
            <v>878</v>
          </cell>
        </row>
        <row r="3027">
          <cell r="A3027" t="str">
            <v>1RE1TDA0182CV4</v>
          </cell>
          <cell r="B3027">
            <v>628</v>
          </cell>
        </row>
        <row r="3028">
          <cell r="A3028" t="str">
            <v>1RE1TDA0182HKV4</v>
          </cell>
          <cell r="B3028">
            <v>628</v>
          </cell>
        </row>
        <row r="3029">
          <cell r="A3029" t="str">
            <v>1RE1TDA0183NEV4</v>
          </cell>
          <cell r="B3029">
            <v>287</v>
          </cell>
        </row>
        <row r="3030">
          <cell r="A3030" t="str">
            <v>1RE1TDA0184CNV4</v>
          </cell>
          <cell r="B3030">
            <v>502</v>
          </cell>
        </row>
        <row r="3031">
          <cell r="A3031" t="str">
            <v>1RE1TDA0184XJV4</v>
          </cell>
          <cell r="B3031">
            <v>502</v>
          </cell>
        </row>
        <row r="3032">
          <cell r="A3032" t="str">
            <v>1RE1TDA0184XV4</v>
          </cell>
          <cell r="B3032">
            <v>502</v>
          </cell>
        </row>
        <row r="3033">
          <cell r="A3033" t="str">
            <v>1RE1TDA0187V4</v>
          </cell>
          <cell r="B3033">
            <v>384</v>
          </cell>
        </row>
        <row r="3034">
          <cell r="A3034" t="str">
            <v>1RE1TDA0187XV4</v>
          </cell>
          <cell r="B3034">
            <v>384</v>
          </cell>
        </row>
        <row r="3035">
          <cell r="A3035" t="str">
            <v>1RE1TDA0188CEV4</v>
          </cell>
          <cell r="B3035">
            <v>386</v>
          </cell>
        </row>
        <row r="3036">
          <cell r="A3036" t="str">
            <v>1RE1TDA0188CXV4</v>
          </cell>
          <cell r="B3036">
            <v>386</v>
          </cell>
        </row>
        <row r="3037">
          <cell r="A3037" t="str">
            <v>1RE1TDA0188M1</v>
          </cell>
          <cell r="B3037">
            <v>386</v>
          </cell>
        </row>
        <row r="3038">
          <cell r="A3038" t="str">
            <v>1RE1TDA0188XJV4</v>
          </cell>
          <cell r="B3038">
            <v>386</v>
          </cell>
        </row>
        <row r="3039">
          <cell r="A3039" t="str">
            <v>1RE1TDA0189XJV4</v>
          </cell>
          <cell r="B3039">
            <v>235</v>
          </cell>
        </row>
        <row r="3040">
          <cell r="A3040" t="str">
            <v>1RE1TDA0189XV4</v>
          </cell>
          <cell r="B3040">
            <v>235</v>
          </cell>
        </row>
        <row r="3041">
          <cell r="A3041" t="str">
            <v>1RE1TDA0191CNV4</v>
          </cell>
          <cell r="B3041">
            <v>168</v>
          </cell>
        </row>
        <row r="3042">
          <cell r="A3042" t="str">
            <v>1RE1TDA0191V4</v>
          </cell>
          <cell r="B3042">
            <v>168</v>
          </cell>
        </row>
        <row r="3043">
          <cell r="A3043" t="str">
            <v>1RE1TDA0191XEU</v>
          </cell>
          <cell r="B3043">
            <v>166</v>
          </cell>
        </row>
        <row r="3044">
          <cell r="A3044" t="str">
            <v>1RE1TDA0191XJV4</v>
          </cell>
          <cell r="B3044">
            <v>168</v>
          </cell>
        </row>
        <row r="3045">
          <cell r="A3045" t="str">
            <v>1RE1TDA0191XJV4SX</v>
          </cell>
          <cell r="B3045">
            <v>167</v>
          </cell>
        </row>
        <row r="3046">
          <cell r="A3046" t="str">
            <v>1RE1TDA0191XJVN</v>
          </cell>
          <cell r="B3046">
            <v>166</v>
          </cell>
        </row>
        <row r="3047">
          <cell r="A3047" t="str">
            <v>1RE1TDA0191XV4</v>
          </cell>
          <cell r="B3047">
            <v>168</v>
          </cell>
        </row>
        <row r="3048">
          <cell r="A3048" t="str">
            <v>1RE1TDA0192XEU</v>
          </cell>
          <cell r="B3048">
            <v>104</v>
          </cell>
        </row>
        <row r="3049">
          <cell r="A3049" t="str">
            <v>1RE1TDA0192XJ</v>
          </cell>
          <cell r="B3049">
            <v>105</v>
          </cell>
        </row>
        <row r="3050">
          <cell r="A3050" t="str">
            <v>1RE1TDA0192XJSX</v>
          </cell>
          <cell r="B3050">
            <v>104</v>
          </cell>
        </row>
        <row r="3051">
          <cell r="A3051" t="str">
            <v>1RE1TDA0192XV4</v>
          </cell>
          <cell r="B3051">
            <v>105</v>
          </cell>
        </row>
        <row r="3052">
          <cell r="A3052" t="str">
            <v>1RE1TDA0193CNV4</v>
          </cell>
          <cell r="B3052">
            <v>189</v>
          </cell>
        </row>
        <row r="3053">
          <cell r="A3053" t="str">
            <v>1RE1TDA0193V4</v>
          </cell>
          <cell r="B3053">
            <v>189</v>
          </cell>
        </row>
        <row r="3054">
          <cell r="A3054" t="str">
            <v>1RE1TDA0193XEU</v>
          </cell>
          <cell r="B3054">
            <v>189</v>
          </cell>
        </row>
        <row r="3055">
          <cell r="A3055" t="str">
            <v>1RE1TDA0193XJSX</v>
          </cell>
          <cell r="B3055">
            <v>189</v>
          </cell>
        </row>
        <row r="3056">
          <cell r="A3056" t="str">
            <v>1RE1TDA0193XJV4</v>
          </cell>
          <cell r="B3056">
            <v>189</v>
          </cell>
        </row>
        <row r="3057">
          <cell r="A3057" t="str">
            <v>1RE1TDA0193XV4</v>
          </cell>
          <cell r="B3057">
            <v>189</v>
          </cell>
        </row>
        <row r="3058">
          <cell r="A3058" t="str">
            <v>1RE1TDA0194</v>
          </cell>
          <cell r="B3058">
            <v>165</v>
          </cell>
        </row>
        <row r="3059">
          <cell r="A3059" t="str">
            <v>1RE1TDA0194CN</v>
          </cell>
          <cell r="B3059">
            <v>167</v>
          </cell>
        </row>
        <row r="3060">
          <cell r="A3060" t="str">
            <v>1RE1TDA0194XEU</v>
          </cell>
          <cell r="B3060">
            <v>165</v>
          </cell>
        </row>
        <row r="3061">
          <cell r="A3061" t="str">
            <v>1RE1TDA0194XJ</v>
          </cell>
          <cell r="B3061">
            <v>189</v>
          </cell>
        </row>
        <row r="3062">
          <cell r="A3062" t="str">
            <v>1RE1TDA0194XV4</v>
          </cell>
          <cell r="B3062">
            <v>167</v>
          </cell>
        </row>
        <row r="3063">
          <cell r="A3063" t="str">
            <v>1RE1TDA0196CN</v>
          </cell>
          <cell r="B3063">
            <v>30</v>
          </cell>
        </row>
        <row r="3064">
          <cell r="A3064" t="str">
            <v>1RE1TDA0196V4</v>
          </cell>
          <cell r="B3064">
            <v>30</v>
          </cell>
        </row>
        <row r="3065">
          <cell r="A3065" t="str">
            <v>1RE1TDA0196XEU</v>
          </cell>
          <cell r="B3065">
            <v>30</v>
          </cell>
        </row>
        <row r="3066">
          <cell r="A3066" t="str">
            <v>1RE1TDA0196XJV4</v>
          </cell>
          <cell r="B3066">
            <v>30</v>
          </cell>
        </row>
        <row r="3067">
          <cell r="A3067" t="str">
            <v>1RE1TDA0196XV4</v>
          </cell>
          <cell r="B3067">
            <v>30</v>
          </cell>
        </row>
        <row r="3068">
          <cell r="A3068" t="str">
            <v>1RE1TDA0284CEV4</v>
          </cell>
          <cell r="B3068">
            <v>262</v>
          </cell>
        </row>
        <row r="3069">
          <cell r="A3069" t="str">
            <v>1RE1TDA0284XJSX</v>
          </cell>
          <cell r="B3069">
            <v>262</v>
          </cell>
        </row>
        <row r="3070">
          <cell r="A3070" t="str">
            <v>1RE1TDA0284XJV4</v>
          </cell>
          <cell r="B3070">
            <v>262</v>
          </cell>
        </row>
        <row r="3071">
          <cell r="A3071" t="str">
            <v>1RE1TDA0288CEV4</v>
          </cell>
          <cell r="B3071">
            <v>372</v>
          </cell>
        </row>
        <row r="3072">
          <cell r="A3072" t="str">
            <v>1RE1TDA0288XJSX</v>
          </cell>
          <cell r="B3072">
            <v>372</v>
          </cell>
        </row>
        <row r="3073">
          <cell r="A3073" t="str">
            <v>1RE1TDA0288XJV4</v>
          </cell>
          <cell r="B3073">
            <v>372</v>
          </cell>
        </row>
        <row r="3074">
          <cell r="A3074" t="str">
            <v>1RE1TDA0290CEV4</v>
          </cell>
          <cell r="B3074">
            <v>483</v>
          </cell>
        </row>
        <row r="3075">
          <cell r="A3075" t="str">
            <v>1RE1TDA0290CJSX</v>
          </cell>
          <cell r="B3075">
            <v>483</v>
          </cell>
        </row>
        <row r="3076">
          <cell r="A3076" t="str">
            <v>1RE1TDA0290CJV4</v>
          </cell>
          <cell r="B3076">
            <v>483</v>
          </cell>
        </row>
        <row r="3077">
          <cell r="A3077" t="str">
            <v>1RE1TDA0290CN</v>
          </cell>
          <cell r="B3077">
            <v>483</v>
          </cell>
        </row>
        <row r="3078">
          <cell r="A3078" t="str">
            <v>1RE1TDA0290MS</v>
          </cell>
          <cell r="B3078">
            <v>483</v>
          </cell>
        </row>
        <row r="3079">
          <cell r="A3079" t="str">
            <v>1RE1TDA0290V4</v>
          </cell>
          <cell r="B3079">
            <v>482</v>
          </cell>
        </row>
        <row r="3080">
          <cell r="A3080" t="str">
            <v>1RE1TDA0290XV4</v>
          </cell>
          <cell r="B3080">
            <v>482</v>
          </cell>
        </row>
        <row r="3081">
          <cell r="A3081" t="str">
            <v>1RE1TDA0410CNV4</v>
          </cell>
          <cell r="B3081">
            <v>205</v>
          </cell>
        </row>
        <row r="3082">
          <cell r="A3082" t="str">
            <v>1RE1TDA0410V4</v>
          </cell>
          <cell r="B3082">
            <v>205</v>
          </cell>
        </row>
        <row r="3083">
          <cell r="A3083" t="str">
            <v>1RE1TDA0410XEU</v>
          </cell>
          <cell r="B3083">
            <v>405</v>
          </cell>
        </row>
        <row r="3084">
          <cell r="A3084" t="str">
            <v>1RE1TDA0410XJSX</v>
          </cell>
          <cell r="B3084">
            <v>206</v>
          </cell>
        </row>
        <row r="3085">
          <cell r="A3085" t="str">
            <v>1RE1TDA0410XJV4</v>
          </cell>
          <cell r="B3085">
            <v>202</v>
          </cell>
        </row>
        <row r="3086">
          <cell r="A3086" t="str">
            <v>1RE1TDA0410XV4</v>
          </cell>
          <cell r="B3086">
            <v>206</v>
          </cell>
        </row>
        <row r="3087">
          <cell r="A3087" t="str">
            <v>1RE1TDA0470CNV4</v>
          </cell>
          <cell r="B3087">
            <v>259</v>
          </cell>
        </row>
        <row r="3088">
          <cell r="A3088" t="str">
            <v>1RE1TDA0470V4</v>
          </cell>
          <cell r="B3088">
            <v>275</v>
          </cell>
        </row>
        <row r="3089">
          <cell r="A3089" t="str">
            <v>1RE1TDA0470XEU</v>
          </cell>
          <cell r="B3089">
            <v>257</v>
          </cell>
        </row>
        <row r="3090">
          <cell r="A3090" t="str">
            <v>1RE1TDA0470XJV4</v>
          </cell>
          <cell r="B3090">
            <v>257</v>
          </cell>
        </row>
        <row r="3091">
          <cell r="A3091" t="str">
            <v>1RE1TDA0470XV4</v>
          </cell>
          <cell r="B3091">
            <v>259</v>
          </cell>
        </row>
        <row r="3092">
          <cell r="A3092" t="str">
            <v>1RE1TDA0484V4</v>
          </cell>
          <cell r="B3092">
            <v>242</v>
          </cell>
        </row>
        <row r="3093">
          <cell r="A3093" t="str">
            <v>1RE1TDA0484XEU</v>
          </cell>
          <cell r="B3093">
            <v>243</v>
          </cell>
        </row>
        <row r="3094">
          <cell r="A3094" t="str">
            <v>1RE1TDA0484XJSX</v>
          </cell>
          <cell r="B3094">
            <v>244</v>
          </cell>
        </row>
        <row r="3095">
          <cell r="A3095" t="str">
            <v>1RE1TDA0484XJV4</v>
          </cell>
          <cell r="B3095">
            <v>242</v>
          </cell>
        </row>
        <row r="3096">
          <cell r="A3096" t="str">
            <v>1RE1TDA0484XV4</v>
          </cell>
          <cell r="B3096">
            <v>244</v>
          </cell>
        </row>
        <row r="3097">
          <cell r="A3097" t="str">
            <v>1RE1TDA0490CNV4</v>
          </cell>
          <cell r="B3097">
            <v>256</v>
          </cell>
        </row>
        <row r="3098">
          <cell r="A3098" t="str">
            <v>1RE1TDA0490V4</v>
          </cell>
          <cell r="B3098">
            <v>256</v>
          </cell>
        </row>
        <row r="3099">
          <cell r="A3099" t="str">
            <v>1RE1TDA0490XEU</v>
          </cell>
          <cell r="B3099">
            <v>256</v>
          </cell>
        </row>
        <row r="3100">
          <cell r="A3100" t="str">
            <v>1RE1TDA0490XJSX</v>
          </cell>
          <cell r="B3100">
            <v>256</v>
          </cell>
        </row>
        <row r="3101">
          <cell r="A3101" t="str">
            <v>1RE1TDA0490XJV4</v>
          </cell>
          <cell r="B3101">
            <v>256</v>
          </cell>
        </row>
        <row r="3102">
          <cell r="A3102" t="str">
            <v>1RE1TDA0490XV4</v>
          </cell>
          <cell r="B3102">
            <v>258</v>
          </cell>
        </row>
        <row r="3103">
          <cell r="A3103" t="str">
            <v>1RE1TDA1176</v>
          </cell>
          <cell r="B3103">
            <v>359</v>
          </cell>
        </row>
        <row r="3104">
          <cell r="A3104" t="str">
            <v>1RE1TDA1176CN</v>
          </cell>
          <cell r="B3104">
            <v>358</v>
          </cell>
        </row>
        <row r="3105">
          <cell r="A3105" t="str">
            <v>1RE1TDA1176ML</v>
          </cell>
          <cell r="B3105">
            <v>375</v>
          </cell>
        </row>
        <row r="3106">
          <cell r="A3106" t="str">
            <v>1RE1TDA1176XS1</v>
          </cell>
          <cell r="B3106">
            <v>439</v>
          </cell>
        </row>
        <row r="3107">
          <cell r="A3107" t="str">
            <v>1RE1TDA1178</v>
          </cell>
          <cell r="B3107">
            <v>452</v>
          </cell>
        </row>
        <row r="3108">
          <cell r="A3108" t="str">
            <v>1RE1TDA1178CN</v>
          </cell>
          <cell r="B3108">
            <v>452</v>
          </cell>
        </row>
        <row r="3109">
          <cell r="A3109" t="str">
            <v>1RE1TDA1178ML</v>
          </cell>
          <cell r="B3109">
            <v>473</v>
          </cell>
        </row>
        <row r="3110">
          <cell r="A3110" t="str">
            <v>1RE1TDA1178XS1</v>
          </cell>
          <cell r="B3110">
            <v>587</v>
          </cell>
        </row>
        <row r="3111">
          <cell r="A3111" t="str">
            <v>1RE1TDA1180AG</v>
          </cell>
          <cell r="B3111">
            <v>290</v>
          </cell>
        </row>
        <row r="3112">
          <cell r="A3112" t="str">
            <v>1RE1TDA1180BR</v>
          </cell>
          <cell r="B3112">
            <v>290</v>
          </cell>
        </row>
        <row r="3113">
          <cell r="A3113" t="str">
            <v>1RE1TDA1180CN</v>
          </cell>
          <cell r="B3113">
            <v>290</v>
          </cell>
        </row>
        <row r="3114">
          <cell r="A3114" t="str">
            <v>1RE1TDA1180SX</v>
          </cell>
          <cell r="B3114">
            <v>290</v>
          </cell>
        </row>
        <row r="3115">
          <cell r="A3115" t="str">
            <v>1RE1TDA1180X</v>
          </cell>
          <cell r="B3115">
            <v>291</v>
          </cell>
        </row>
        <row r="3116">
          <cell r="A3116" t="str">
            <v>1RE1TDA1180XSX</v>
          </cell>
          <cell r="B3116">
            <v>290</v>
          </cell>
        </row>
        <row r="3117">
          <cell r="A3117" t="str">
            <v>1RE1TDA1186AG</v>
          </cell>
          <cell r="B3117">
            <v>461</v>
          </cell>
        </row>
        <row r="3118">
          <cell r="A3118" t="str">
            <v>1RE1TDA1186BR</v>
          </cell>
          <cell r="B3118">
            <v>461</v>
          </cell>
        </row>
        <row r="3119">
          <cell r="A3119" t="str">
            <v>1RE1TDA1186CN</v>
          </cell>
          <cell r="B3119">
            <v>461</v>
          </cell>
        </row>
        <row r="3120">
          <cell r="A3120" t="str">
            <v>1RE1TDA1186X</v>
          </cell>
          <cell r="B3120">
            <v>461</v>
          </cell>
        </row>
        <row r="3121">
          <cell r="A3121" t="str">
            <v>1RE1TDA1186XSX</v>
          </cell>
          <cell r="B3121">
            <v>461</v>
          </cell>
        </row>
        <row r="3122">
          <cell r="A3122" t="str">
            <v>1RE1TDA3105M1</v>
          </cell>
          <cell r="B3122">
            <v>29</v>
          </cell>
        </row>
        <row r="3123">
          <cell r="A3123" t="str">
            <v>1RE1TDA3105XJV4</v>
          </cell>
          <cell r="B3123">
            <v>29</v>
          </cell>
        </row>
        <row r="3124">
          <cell r="A3124" t="str">
            <v>1RE1TDA3105XV4</v>
          </cell>
          <cell r="B3124">
            <v>29</v>
          </cell>
        </row>
        <row r="3125">
          <cell r="A3125" t="str">
            <v>1RE1TDA3161M1</v>
          </cell>
          <cell r="B3125">
            <v>147</v>
          </cell>
        </row>
        <row r="3126">
          <cell r="A3126" t="str">
            <v>1RE1TDA3161NEV4</v>
          </cell>
          <cell r="B3126">
            <v>148</v>
          </cell>
        </row>
        <row r="3127">
          <cell r="A3127" t="str">
            <v>1RE1TDA3161XJV4</v>
          </cell>
          <cell r="B3127">
            <v>147</v>
          </cell>
        </row>
        <row r="3128">
          <cell r="A3128" t="str">
            <v>1RE1TDA3162GV4</v>
          </cell>
          <cell r="B3128">
            <v>58</v>
          </cell>
        </row>
        <row r="3129">
          <cell r="A3129" t="str">
            <v>1RE1TDA3166XJV4</v>
          </cell>
          <cell r="B3129">
            <v>72</v>
          </cell>
        </row>
        <row r="3130">
          <cell r="A3130" t="str">
            <v>1RE1TDA3168M1</v>
          </cell>
          <cell r="B3130">
            <v>29</v>
          </cell>
        </row>
        <row r="3131">
          <cell r="A3131" t="str">
            <v>1RE1TDA3168XJV4</v>
          </cell>
          <cell r="B3131">
            <v>29</v>
          </cell>
        </row>
        <row r="3132">
          <cell r="A3132" t="str">
            <v>1RE1TDA3168XV4</v>
          </cell>
          <cell r="B3132">
            <v>29</v>
          </cell>
        </row>
        <row r="3133">
          <cell r="A3133" t="str">
            <v>1RE1TDA3182HKV4</v>
          </cell>
          <cell r="B3133">
            <v>180</v>
          </cell>
        </row>
        <row r="3134">
          <cell r="A3134" t="str">
            <v>1RE1TDA3191XJV4</v>
          </cell>
          <cell r="B3134">
            <v>123</v>
          </cell>
        </row>
        <row r="3135">
          <cell r="A3135" t="str">
            <v>1RE1TDA3192XJV4</v>
          </cell>
          <cell r="B3135">
            <v>60</v>
          </cell>
        </row>
        <row r="3136">
          <cell r="A3136" t="str">
            <v>1RE1TDA3193M1</v>
          </cell>
          <cell r="B3136">
            <v>48</v>
          </cell>
        </row>
        <row r="3137">
          <cell r="A3137" t="str">
            <v>1RE1TDA3193XJV4</v>
          </cell>
          <cell r="B3137">
            <v>48</v>
          </cell>
        </row>
        <row r="3138">
          <cell r="A3138" t="str">
            <v>1RE1TDA3193XV4</v>
          </cell>
          <cell r="B3138">
            <v>48</v>
          </cell>
        </row>
        <row r="3139">
          <cell r="A3139" t="str">
            <v>1RE1TDA3194M1</v>
          </cell>
          <cell r="B3139">
            <v>89</v>
          </cell>
        </row>
        <row r="3140">
          <cell r="A3140" t="str">
            <v>1RE1TDA3194XJ</v>
          </cell>
          <cell r="B3140">
            <v>88</v>
          </cell>
        </row>
        <row r="3141">
          <cell r="A3141" t="str">
            <v>1RE1TDA3194XV4</v>
          </cell>
          <cell r="B3141">
            <v>89</v>
          </cell>
        </row>
        <row r="3142">
          <cell r="A3142" t="str">
            <v>1RE1TDA3196M1</v>
          </cell>
          <cell r="B3142">
            <v>74</v>
          </cell>
        </row>
        <row r="3143">
          <cell r="A3143" t="str">
            <v>1RE1TDA3196XJV4</v>
          </cell>
          <cell r="B3143">
            <v>74</v>
          </cell>
        </row>
        <row r="3144">
          <cell r="A3144" t="str">
            <v>1RE1TDA3196XV4</v>
          </cell>
          <cell r="B3144">
            <v>74</v>
          </cell>
        </row>
        <row r="3145">
          <cell r="A3145" t="str">
            <v>1RE1TDA3280CEV4</v>
          </cell>
          <cell r="B3145">
            <v>27</v>
          </cell>
        </row>
        <row r="3146">
          <cell r="A3146" t="str">
            <v>1RE1TDA3280M1</v>
          </cell>
          <cell r="B3146">
            <v>27</v>
          </cell>
        </row>
        <row r="3147">
          <cell r="A3147" t="str">
            <v>1RE1TDA3280XJV4</v>
          </cell>
          <cell r="B3147">
            <v>27</v>
          </cell>
        </row>
        <row r="3148">
          <cell r="A3148" t="str">
            <v>1RE1TDA3283CEV4</v>
          </cell>
          <cell r="B3148">
            <v>23</v>
          </cell>
        </row>
        <row r="3149">
          <cell r="A3149" t="str">
            <v>1RE1TDA3450M1</v>
          </cell>
          <cell r="B3149">
            <v>235</v>
          </cell>
        </row>
        <row r="3150">
          <cell r="A3150" t="str">
            <v>1RE1TDA3450XJ</v>
          </cell>
          <cell r="B3150">
            <v>234</v>
          </cell>
        </row>
        <row r="3151">
          <cell r="A3151" t="str">
            <v>1RE1TDA3450XV4</v>
          </cell>
          <cell r="B3151">
            <v>235</v>
          </cell>
        </row>
        <row r="3152">
          <cell r="A3152" t="str">
            <v>1RE1TDA3451M1</v>
          </cell>
          <cell r="B3152">
            <v>50</v>
          </cell>
        </row>
        <row r="3153">
          <cell r="A3153" t="str">
            <v>1RE1TDA3451XJ</v>
          </cell>
          <cell r="B3153">
            <v>50</v>
          </cell>
        </row>
        <row r="3154">
          <cell r="A3154" t="str">
            <v>1RE1TDA3451XV4</v>
          </cell>
          <cell r="B3154">
            <v>50</v>
          </cell>
        </row>
        <row r="3155">
          <cell r="A3155" t="str">
            <v>1RE1TDA3470M1</v>
          </cell>
          <cell r="B3155">
            <v>277</v>
          </cell>
        </row>
        <row r="3156">
          <cell r="A3156" t="str">
            <v>1RE1TDA3470XJ</v>
          </cell>
          <cell r="B3156">
            <v>276</v>
          </cell>
        </row>
        <row r="3157">
          <cell r="A3157" t="str">
            <v>1RE1TDA3470XV4</v>
          </cell>
          <cell r="B3157">
            <v>277</v>
          </cell>
        </row>
        <row r="3158">
          <cell r="A3158" t="str">
            <v>1RE1TDA3480M1</v>
          </cell>
          <cell r="B3158">
            <v>262</v>
          </cell>
        </row>
        <row r="3159">
          <cell r="A3159" t="str">
            <v>1RE1TDA3480XJV4</v>
          </cell>
          <cell r="B3159">
            <v>261</v>
          </cell>
        </row>
        <row r="3160">
          <cell r="A3160" t="str">
            <v>1RE1TDA3480XV4</v>
          </cell>
          <cell r="B3160">
            <v>262</v>
          </cell>
        </row>
        <row r="3161">
          <cell r="A3161" t="str">
            <v>1RE1TDA5105V4</v>
          </cell>
          <cell r="B3161">
            <v>69</v>
          </cell>
        </row>
        <row r="3162">
          <cell r="A3162" t="str">
            <v>1RE1TDA5161V4</v>
          </cell>
          <cell r="B3162">
            <v>147</v>
          </cell>
        </row>
        <row r="3163">
          <cell r="A3163" t="str">
            <v>1RE1TDA5166V4</v>
          </cell>
          <cell r="B3163">
            <v>72</v>
          </cell>
        </row>
        <row r="3164">
          <cell r="A3164" t="str">
            <v>1RE1TDA5168V4</v>
          </cell>
          <cell r="B3164">
            <v>29</v>
          </cell>
        </row>
        <row r="3165">
          <cell r="A3165" t="str">
            <v>1RE1TDA5170V4</v>
          </cell>
          <cell r="B3165">
            <v>176</v>
          </cell>
        </row>
        <row r="3166">
          <cell r="A3166" t="str">
            <v>1RE1TDA5174V4</v>
          </cell>
          <cell r="B3166">
            <v>366</v>
          </cell>
        </row>
        <row r="3167">
          <cell r="A3167" t="str">
            <v>1RE1TDA5192V4</v>
          </cell>
          <cell r="B3167">
            <v>60</v>
          </cell>
        </row>
        <row r="3168">
          <cell r="A3168" t="str">
            <v>1RE1TDA5193V4</v>
          </cell>
          <cell r="B3168">
            <v>48</v>
          </cell>
        </row>
        <row r="3169">
          <cell r="A3169" t="str">
            <v>1RE1TDA5194</v>
          </cell>
          <cell r="B3169">
            <v>88</v>
          </cell>
        </row>
        <row r="3170">
          <cell r="A3170" t="str">
            <v>1RE1TDA5196V4</v>
          </cell>
          <cell r="B3170">
            <v>48</v>
          </cell>
        </row>
        <row r="3171">
          <cell r="A3171" t="str">
            <v>1RE1TDA5450</v>
          </cell>
          <cell r="B3171">
            <v>234</v>
          </cell>
        </row>
        <row r="3172">
          <cell r="A3172" t="str">
            <v>1RE1TDA5451</v>
          </cell>
          <cell r="B3172">
            <v>50</v>
          </cell>
        </row>
        <row r="3173">
          <cell r="A3173" t="str">
            <v>1RE1TDA5470</v>
          </cell>
          <cell r="B3173">
            <v>276</v>
          </cell>
        </row>
        <row r="3174">
          <cell r="A3174" t="str">
            <v>1RE1TDA5480V4</v>
          </cell>
          <cell r="B3174">
            <v>261</v>
          </cell>
        </row>
        <row r="3175">
          <cell r="A3175" t="str">
            <v>1RE1TDA6105CNV4</v>
          </cell>
          <cell r="B3175">
            <v>23</v>
          </cell>
        </row>
        <row r="3176">
          <cell r="A3176" t="str">
            <v>1RE1TDA6105XJV4</v>
          </cell>
          <cell r="B3176">
            <v>23</v>
          </cell>
        </row>
        <row r="3177">
          <cell r="A3177" t="str">
            <v>1RE1TDA6105XV4</v>
          </cell>
          <cell r="B3177">
            <v>23</v>
          </cell>
        </row>
        <row r="3178">
          <cell r="A3178" t="str">
            <v>1RE1TDA6110CNV4</v>
          </cell>
          <cell r="B3178">
            <v>400</v>
          </cell>
        </row>
        <row r="3179">
          <cell r="A3179" t="str">
            <v>1RE1TDA6110V4</v>
          </cell>
          <cell r="B3179">
            <v>400</v>
          </cell>
        </row>
        <row r="3180">
          <cell r="A3180" t="str">
            <v>1RE1TDA6110XEU</v>
          </cell>
          <cell r="B3180">
            <v>400</v>
          </cell>
        </row>
        <row r="3181">
          <cell r="A3181" t="str">
            <v>1RE1TDA6110XJSX</v>
          </cell>
          <cell r="B3181">
            <v>400</v>
          </cell>
        </row>
        <row r="3182">
          <cell r="A3182" t="str">
            <v>1RE1TDA6110XJV4</v>
          </cell>
          <cell r="B3182">
            <v>400</v>
          </cell>
        </row>
        <row r="3183">
          <cell r="A3183" t="str">
            <v>1RE1TDA6110XJVN</v>
          </cell>
          <cell r="B3183">
            <v>400</v>
          </cell>
        </row>
        <row r="3184">
          <cell r="A3184" t="str">
            <v>1RE1TDA6110XV4</v>
          </cell>
          <cell r="B3184">
            <v>400</v>
          </cell>
        </row>
        <row r="3185">
          <cell r="A3185" t="str">
            <v>1RE1TDA6111CNV4</v>
          </cell>
          <cell r="B3185">
            <v>32</v>
          </cell>
        </row>
        <row r="3186">
          <cell r="A3186" t="str">
            <v>1RE1TDA6111V4</v>
          </cell>
          <cell r="B3186">
            <v>32</v>
          </cell>
        </row>
        <row r="3187">
          <cell r="A3187" t="str">
            <v>1RE1TDA6111XEU</v>
          </cell>
          <cell r="B3187">
            <v>32</v>
          </cell>
        </row>
        <row r="3188">
          <cell r="A3188" t="str">
            <v>1RE1TDA6111XJSX</v>
          </cell>
          <cell r="B3188">
            <v>32</v>
          </cell>
        </row>
        <row r="3189">
          <cell r="A3189" t="str">
            <v>1RE1TDA6111XJV4</v>
          </cell>
          <cell r="B3189">
            <v>32</v>
          </cell>
        </row>
        <row r="3190">
          <cell r="A3190" t="str">
            <v>1RE1TDA6111XJVN</v>
          </cell>
          <cell r="B3190">
            <v>32</v>
          </cell>
        </row>
        <row r="3191">
          <cell r="A3191" t="str">
            <v>1RE1TDA6111XV4</v>
          </cell>
          <cell r="B3191">
            <v>32</v>
          </cell>
        </row>
        <row r="3192">
          <cell r="A3192" t="str">
            <v>1RE1TDA6174V4</v>
          </cell>
          <cell r="B3192">
            <v>226</v>
          </cell>
        </row>
        <row r="3193">
          <cell r="A3193" t="str">
            <v>1RE1TDA6174XEU</v>
          </cell>
          <cell r="B3193">
            <v>225</v>
          </cell>
        </row>
        <row r="3194">
          <cell r="A3194" t="str">
            <v>1RE1TDA6174XJSX</v>
          </cell>
          <cell r="B3194">
            <v>225</v>
          </cell>
        </row>
        <row r="3195">
          <cell r="A3195" t="str">
            <v>1RE1TDA6174XJV4</v>
          </cell>
          <cell r="B3195">
            <v>225</v>
          </cell>
        </row>
        <row r="3196">
          <cell r="A3196" t="str">
            <v>1RE1TDA6174XV4</v>
          </cell>
          <cell r="B3196">
            <v>226</v>
          </cell>
        </row>
        <row r="3197">
          <cell r="A3197" t="str">
            <v>1RE1TDA6178</v>
          </cell>
          <cell r="B3197">
            <v>485</v>
          </cell>
        </row>
        <row r="3198">
          <cell r="A3198" t="str">
            <v>1RE1TDA6178XJ</v>
          </cell>
          <cell r="B3198">
            <v>484</v>
          </cell>
        </row>
        <row r="3199">
          <cell r="A3199" t="str">
            <v>1RE1TDA6181AGV4</v>
          </cell>
          <cell r="B3199">
            <v>734</v>
          </cell>
        </row>
        <row r="3200">
          <cell r="A3200" t="str">
            <v>1RE1TDA6181ALV4</v>
          </cell>
          <cell r="B3200">
            <v>751</v>
          </cell>
        </row>
        <row r="3201">
          <cell r="A3201" t="str">
            <v>1RE1TDA6181CAV4</v>
          </cell>
          <cell r="B3201">
            <v>750</v>
          </cell>
        </row>
        <row r="3202">
          <cell r="A3202" t="str">
            <v>1RE1TDA6181CV4</v>
          </cell>
          <cell r="B3202">
            <v>749</v>
          </cell>
        </row>
        <row r="3203">
          <cell r="A3203" t="str">
            <v>1RE1TDA6181CXV4</v>
          </cell>
          <cell r="B3203">
            <v>749</v>
          </cell>
        </row>
        <row r="3204">
          <cell r="A3204" t="str">
            <v>1RE1TDA6181EV4</v>
          </cell>
          <cell r="B3204">
            <v>734</v>
          </cell>
        </row>
        <row r="3205">
          <cell r="A3205" t="str">
            <v>1RE1TDA6181NEV4</v>
          </cell>
          <cell r="B3205">
            <v>734</v>
          </cell>
        </row>
        <row r="3206">
          <cell r="A3206" t="str">
            <v>1RE1TDA6181V4</v>
          </cell>
          <cell r="B3206">
            <v>750</v>
          </cell>
        </row>
        <row r="3207">
          <cell r="A3207" t="str">
            <v>1RE1TDA6181XSX</v>
          </cell>
          <cell r="B3207">
            <v>734</v>
          </cell>
        </row>
        <row r="3208">
          <cell r="A3208" t="str">
            <v>1RE1TDA6181XV4</v>
          </cell>
          <cell r="B3208">
            <v>734</v>
          </cell>
        </row>
        <row r="3209">
          <cell r="A3209" t="str">
            <v>1RE1TDE0110CN</v>
          </cell>
          <cell r="B3209">
            <v>127</v>
          </cell>
        </row>
        <row r="3210">
          <cell r="A3210" t="str">
            <v>1RE1TDE0110M1</v>
          </cell>
          <cell r="B3210">
            <v>128</v>
          </cell>
        </row>
        <row r="3211">
          <cell r="A3211" t="str">
            <v>1RE1TDE0110V4</v>
          </cell>
          <cell r="B3211">
            <v>127</v>
          </cell>
        </row>
        <row r="3212">
          <cell r="A3212" t="str">
            <v>1RE1TDE0110XEU</v>
          </cell>
          <cell r="B3212">
            <v>127</v>
          </cell>
        </row>
        <row r="3213">
          <cell r="A3213" t="str">
            <v>1RE1TDE0110XJ</v>
          </cell>
          <cell r="B3213">
            <v>127</v>
          </cell>
        </row>
        <row r="3214">
          <cell r="A3214" t="str">
            <v>1RE1TDE0110XJSX</v>
          </cell>
          <cell r="B3214">
            <v>127</v>
          </cell>
        </row>
        <row r="3215">
          <cell r="A3215" t="str">
            <v>1RE1TDE0110XV4</v>
          </cell>
          <cell r="B3215">
            <v>128</v>
          </cell>
        </row>
        <row r="3216">
          <cell r="A3216" t="str">
            <v>1RE1TDE0111CN</v>
          </cell>
          <cell r="B3216">
            <v>127</v>
          </cell>
        </row>
        <row r="3217">
          <cell r="A3217" t="str">
            <v>1RE1TDE0111M1</v>
          </cell>
          <cell r="B3217">
            <v>129</v>
          </cell>
        </row>
        <row r="3218">
          <cell r="A3218" t="str">
            <v>1RE1TDE0111V4</v>
          </cell>
          <cell r="B3218">
            <v>127</v>
          </cell>
        </row>
        <row r="3219">
          <cell r="A3219" t="str">
            <v>1RE1TDE0111XEU</v>
          </cell>
          <cell r="B3219">
            <v>127</v>
          </cell>
        </row>
        <row r="3220">
          <cell r="A3220" t="str">
            <v>1RE1TDE0111XJ</v>
          </cell>
          <cell r="B3220">
            <v>127</v>
          </cell>
        </row>
        <row r="3221">
          <cell r="A3221" t="str">
            <v>1RE1TDE0111XJSX</v>
          </cell>
          <cell r="B3221">
            <v>127</v>
          </cell>
        </row>
        <row r="3222">
          <cell r="A3222" t="str">
            <v>1RE1TDE0111XV4</v>
          </cell>
          <cell r="B3222">
            <v>127</v>
          </cell>
        </row>
        <row r="3223">
          <cell r="A3223" t="str">
            <v>1RE1TE82460CNV4</v>
          </cell>
          <cell r="B3223">
            <v>121</v>
          </cell>
        </row>
        <row r="3224">
          <cell r="A3224" t="str">
            <v>1RE1TE82460NEV4</v>
          </cell>
          <cell r="B3224">
            <v>121</v>
          </cell>
        </row>
        <row r="3225">
          <cell r="A3225" t="str">
            <v>1RE1TE82460NEV7</v>
          </cell>
          <cell r="B3225">
            <v>121</v>
          </cell>
        </row>
        <row r="3226">
          <cell r="A3226" t="str">
            <v>1RE1TE82460XEU</v>
          </cell>
          <cell r="B3226">
            <v>121</v>
          </cell>
        </row>
        <row r="3227">
          <cell r="A3227" t="str">
            <v>1RE1TE82460XSX</v>
          </cell>
          <cell r="B3227">
            <v>121</v>
          </cell>
        </row>
        <row r="3228">
          <cell r="A3228" t="str">
            <v>1RE1TE82460XV4</v>
          </cell>
          <cell r="B3228">
            <v>121</v>
          </cell>
        </row>
        <row r="3229">
          <cell r="A3229" t="str">
            <v>1RE1TE82461NEV4</v>
          </cell>
          <cell r="B3229">
            <v>210</v>
          </cell>
        </row>
        <row r="3230">
          <cell r="A3230" t="str">
            <v>1RE1TE82461NEV7</v>
          </cell>
          <cell r="B3230">
            <v>210</v>
          </cell>
        </row>
        <row r="3231">
          <cell r="A3231" t="str">
            <v>1RE1TE82461XEU</v>
          </cell>
          <cell r="B3231">
            <v>210</v>
          </cell>
        </row>
        <row r="3232">
          <cell r="A3232" t="str">
            <v>1RE1TE82461XSX</v>
          </cell>
          <cell r="B3232">
            <v>210</v>
          </cell>
        </row>
        <row r="3233">
          <cell r="A3233" t="str">
            <v>1RE1TE82461XV4</v>
          </cell>
          <cell r="B3233">
            <v>210</v>
          </cell>
        </row>
        <row r="3234">
          <cell r="A3234" t="str">
            <v>1RE1TE82470XS1</v>
          </cell>
          <cell r="B3234">
            <v>298</v>
          </cell>
        </row>
        <row r="3235">
          <cell r="A3235" t="str">
            <v>1RE1TE82470XV4</v>
          </cell>
          <cell r="B3235">
            <v>290</v>
          </cell>
        </row>
        <row r="3236">
          <cell r="A3236" t="str">
            <v>1RE1TE82480AGV4</v>
          </cell>
          <cell r="B3236">
            <v>355</v>
          </cell>
        </row>
        <row r="3237">
          <cell r="A3237" t="str">
            <v>1RE1TE82480BRS1</v>
          </cell>
          <cell r="B3237">
            <v>357</v>
          </cell>
        </row>
        <row r="3238">
          <cell r="A3238" t="str">
            <v>1RE1TE82480BRV4</v>
          </cell>
          <cell r="B3238">
            <v>357</v>
          </cell>
        </row>
        <row r="3239">
          <cell r="A3239" t="str">
            <v>1RE1TE82480CNV4</v>
          </cell>
          <cell r="B3239">
            <v>371</v>
          </cell>
        </row>
        <row r="3240">
          <cell r="A3240" t="str">
            <v>1RE1TE82480HKV4</v>
          </cell>
          <cell r="B3240">
            <v>357</v>
          </cell>
        </row>
        <row r="3241">
          <cell r="A3241" t="str">
            <v>1RE1TE82480NZV4</v>
          </cell>
          <cell r="B3241">
            <v>349</v>
          </cell>
        </row>
        <row r="3242">
          <cell r="A3242" t="str">
            <v>1RE1TE82480SAV4</v>
          </cell>
          <cell r="B3242">
            <v>359</v>
          </cell>
        </row>
        <row r="3243">
          <cell r="A3243" t="str">
            <v>1RE1TE82481XS2</v>
          </cell>
          <cell r="B3243">
            <v>382</v>
          </cell>
        </row>
        <row r="3244">
          <cell r="A3244" t="str">
            <v>1RE1TE82481XV4</v>
          </cell>
          <cell r="B3244">
            <v>382</v>
          </cell>
        </row>
        <row r="3245">
          <cell r="A3245" t="str">
            <v>1RE1TE82481XV4-S1</v>
          </cell>
          <cell r="B3245">
            <v>372</v>
          </cell>
        </row>
        <row r="3246">
          <cell r="A3246" t="str">
            <v>1RE1TE82483AGV4</v>
          </cell>
          <cell r="B3246">
            <v>429</v>
          </cell>
        </row>
        <row r="3247">
          <cell r="A3247" t="str">
            <v>1RE1TE82483BRV4</v>
          </cell>
          <cell r="B3247">
            <v>432</v>
          </cell>
        </row>
        <row r="3248">
          <cell r="A3248" t="str">
            <v>1RE1TE82483CNV4</v>
          </cell>
          <cell r="B3248">
            <v>453</v>
          </cell>
        </row>
        <row r="3249">
          <cell r="A3249" t="str">
            <v>1RE1TE82483HKV4</v>
          </cell>
          <cell r="B3249">
            <v>432</v>
          </cell>
        </row>
        <row r="3250">
          <cell r="A3250" t="str">
            <v>1RE1TE82483NZV4</v>
          </cell>
          <cell r="B3250">
            <v>424</v>
          </cell>
        </row>
        <row r="3251">
          <cell r="A3251" t="str">
            <v>1RE1TE82483SAV4</v>
          </cell>
          <cell r="B3251">
            <v>435</v>
          </cell>
        </row>
        <row r="3252">
          <cell r="A3252" t="str">
            <v>1RE1TE82491NEV4</v>
          </cell>
          <cell r="B3252">
            <v>25</v>
          </cell>
        </row>
        <row r="3253">
          <cell r="A3253" t="str">
            <v>1RE1TE82491NEV7</v>
          </cell>
          <cell r="B3253">
            <v>25</v>
          </cell>
        </row>
        <row r="3254">
          <cell r="A3254" t="str">
            <v>1RE1TE82491XEU</v>
          </cell>
          <cell r="B3254">
            <v>25</v>
          </cell>
        </row>
        <row r="3255">
          <cell r="A3255" t="str">
            <v>1RE1TE82491XSX</v>
          </cell>
          <cell r="B3255">
            <v>25</v>
          </cell>
        </row>
        <row r="3256">
          <cell r="A3256" t="str">
            <v>1RE1TE82491XV4</v>
          </cell>
          <cell r="B3256">
            <v>25</v>
          </cell>
        </row>
        <row r="3257">
          <cell r="A3257" t="str">
            <v>1RE1TE82492NEV4</v>
          </cell>
          <cell r="B3257">
            <v>99</v>
          </cell>
        </row>
        <row r="3258">
          <cell r="A3258" t="str">
            <v>1RE1TE82492NEV7</v>
          </cell>
          <cell r="B3258">
            <v>99</v>
          </cell>
        </row>
        <row r="3259">
          <cell r="A3259" t="str">
            <v>1RE1TE82492XEU</v>
          </cell>
          <cell r="B3259">
            <v>99</v>
          </cell>
        </row>
        <row r="3260">
          <cell r="A3260" t="str">
            <v>1RE1TE82492XSX</v>
          </cell>
          <cell r="B3260">
            <v>99</v>
          </cell>
        </row>
        <row r="3261">
          <cell r="A3261" t="str">
            <v>1RE1TE82492XV4</v>
          </cell>
          <cell r="B3261">
            <v>99</v>
          </cell>
        </row>
        <row r="3262">
          <cell r="A3262" t="str">
            <v>1RE1TE82493CNV4</v>
          </cell>
          <cell r="B3262">
            <v>45</v>
          </cell>
        </row>
        <row r="3263">
          <cell r="A3263" t="str">
            <v>1RE1TE82493XV4</v>
          </cell>
          <cell r="B3263">
            <v>79</v>
          </cell>
        </row>
        <row r="3264">
          <cell r="A3264" t="str">
            <v>1RE1TE82494NEV4</v>
          </cell>
          <cell r="B3264">
            <v>44</v>
          </cell>
        </row>
        <row r="3265">
          <cell r="A3265" t="str">
            <v>1RE1TE82494NEV7</v>
          </cell>
          <cell r="B3265">
            <v>44</v>
          </cell>
        </row>
        <row r="3266">
          <cell r="A3266" t="str">
            <v>1RE1TE82494XEU</v>
          </cell>
          <cell r="B3266">
            <v>44</v>
          </cell>
        </row>
        <row r="3267">
          <cell r="A3267" t="str">
            <v>1RE1TE82494XSX</v>
          </cell>
          <cell r="B3267">
            <v>44</v>
          </cell>
        </row>
        <row r="3268">
          <cell r="A3268" t="str">
            <v>1RE1TE82494XV4</v>
          </cell>
          <cell r="B3268">
            <v>44</v>
          </cell>
        </row>
        <row r="3269">
          <cell r="A3269" t="str">
            <v>1RE1TES32BRS1</v>
          </cell>
          <cell r="B3269">
            <v>815</v>
          </cell>
        </row>
        <row r="3270">
          <cell r="A3270" t="str">
            <v>1RE1TES32BRV4</v>
          </cell>
          <cell r="B3270">
            <v>815</v>
          </cell>
        </row>
        <row r="3271">
          <cell r="A3271" t="str">
            <v>1RE1TES824ALV4</v>
          </cell>
          <cell r="B3271">
            <v>789</v>
          </cell>
        </row>
        <row r="3272">
          <cell r="A3272" t="str">
            <v>1RE1TES824CNV4</v>
          </cell>
          <cell r="B3272">
            <v>836</v>
          </cell>
        </row>
        <row r="3273">
          <cell r="A3273" t="str">
            <v>1RE1TES824CNV4T1</v>
          </cell>
          <cell r="B3273">
            <v>850</v>
          </cell>
        </row>
        <row r="3274">
          <cell r="A3274" t="str">
            <v>1RE1TES824HKV4</v>
          </cell>
          <cell r="B3274">
            <v>815</v>
          </cell>
        </row>
        <row r="3275">
          <cell r="A3275" t="str">
            <v>1RE1TES824NZV4</v>
          </cell>
          <cell r="B3275">
            <v>818</v>
          </cell>
        </row>
        <row r="3276">
          <cell r="A3276" t="str">
            <v>1RE1TES824SAV4</v>
          </cell>
          <cell r="B3276">
            <v>818</v>
          </cell>
        </row>
        <row r="3277">
          <cell r="A3277" t="str">
            <v>1RE1TP8NA7715AA</v>
          </cell>
          <cell r="B3277">
            <v>407</v>
          </cell>
        </row>
        <row r="3278">
          <cell r="A3278" t="str">
            <v>1RE1TP8NA7715AB</v>
          </cell>
          <cell r="B3278">
            <v>371</v>
          </cell>
        </row>
        <row r="3279">
          <cell r="A3279" t="str">
            <v>1RE1TP8NA7715AC</v>
          </cell>
          <cell r="B3279">
            <v>335</v>
          </cell>
        </row>
        <row r="3280">
          <cell r="A3280" t="str">
            <v>1RE1TP8NA7745AA</v>
          </cell>
          <cell r="B3280">
            <v>5</v>
          </cell>
        </row>
        <row r="3281">
          <cell r="A3281" t="str">
            <v>1RE1TP8NA7746AA</v>
          </cell>
          <cell r="B3281">
            <v>4</v>
          </cell>
        </row>
        <row r="3282">
          <cell r="A3282" t="str">
            <v>1RE1TP8NA7872AA</v>
          </cell>
          <cell r="B3282">
            <v>429</v>
          </cell>
        </row>
        <row r="3283">
          <cell r="A3283" t="str">
            <v>1RE1TP8NA7872AA-1</v>
          </cell>
          <cell r="B3283">
            <v>429</v>
          </cell>
        </row>
        <row r="3284">
          <cell r="A3284" t="str">
            <v>1RE1TP8NA7872AB</v>
          </cell>
          <cell r="B3284">
            <v>391</v>
          </cell>
        </row>
        <row r="3285">
          <cell r="A3285" t="str">
            <v>1RE1TP8NA7872AB-1</v>
          </cell>
          <cell r="B3285">
            <v>391</v>
          </cell>
        </row>
        <row r="3286">
          <cell r="A3286" t="str">
            <v>1RE1TP8NA7872AC</v>
          </cell>
          <cell r="B3286">
            <v>353</v>
          </cell>
        </row>
        <row r="3287">
          <cell r="A3287" t="str">
            <v>1RE1TP8NA7872AC-1</v>
          </cell>
          <cell r="B3287">
            <v>353</v>
          </cell>
        </row>
        <row r="3288">
          <cell r="A3288" t="str">
            <v>1RE1TP8NA7955AA-1</v>
          </cell>
          <cell r="B3288">
            <v>7</v>
          </cell>
        </row>
        <row r="3289">
          <cell r="A3289" t="str">
            <v>1RE1TP8NA7977AA-1</v>
          </cell>
          <cell r="B3289">
            <v>6</v>
          </cell>
        </row>
        <row r="3290">
          <cell r="A3290" t="str">
            <v>1RE1TP8NH1250BM</v>
          </cell>
          <cell r="B3290">
            <v>616</v>
          </cell>
        </row>
        <row r="3291">
          <cell r="A3291" t="str">
            <v>1RE1TP8NH1250BN</v>
          </cell>
          <cell r="B3291">
            <v>590</v>
          </cell>
        </row>
        <row r="3292">
          <cell r="A3292" t="str">
            <v>1RE1TP8NH1250BP</v>
          </cell>
          <cell r="B3292">
            <v>567</v>
          </cell>
        </row>
        <row r="3293">
          <cell r="A3293" t="str">
            <v>1RE1TP8NH1250EM</v>
          </cell>
          <cell r="B3293">
            <v>701</v>
          </cell>
        </row>
        <row r="3294">
          <cell r="A3294" t="str">
            <v>1RE1TP8NH1250EN</v>
          </cell>
          <cell r="B3294">
            <v>675</v>
          </cell>
        </row>
        <row r="3295">
          <cell r="A3295" t="str">
            <v>1RE1TP8NH1250EP</v>
          </cell>
          <cell r="B3295">
            <v>652</v>
          </cell>
        </row>
        <row r="3296">
          <cell r="A3296" t="str">
            <v>1RE1TP8NH1258BX</v>
          </cell>
          <cell r="B3296">
            <v>586</v>
          </cell>
        </row>
        <row r="3297">
          <cell r="A3297" t="str">
            <v>1RE1TP8NH1258EX</v>
          </cell>
          <cell r="B3297">
            <v>662</v>
          </cell>
        </row>
        <row r="3298">
          <cell r="A3298" t="str">
            <v>1RE1TP8NH1266EA-1</v>
          </cell>
          <cell r="B3298">
            <v>707</v>
          </cell>
        </row>
        <row r="3299">
          <cell r="A3299" t="str">
            <v>1RE1TP8NH1266EC-1</v>
          </cell>
          <cell r="B3299">
            <v>654</v>
          </cell>
        </row>
        <row r="3300">
          <cell r="A3300" t="str">
            <v>1RE1TP8NH1266ED-1</v>
          </cell>
          <cell r="B3300">
            <v>639</v>
          </cell>
        </row>
        <row r="3301">
          <cell r="A3301" t="str">
            <v>1RE1TP8NH1266EE-1</v>
          </cell>
          <cell r="B3301">
            <v>615</v>
          </cell>
        </row>
        <row r="3302">
          <cell r="A3302" t="str">
            <v>1RE1TP8NH1266EF-1</v>
          </cell>
          <cell r="B3302">
            <v>600</v>
          </cell>
        </row>
        <row r="3303">
          <cell r="A3303" t="str">
            <v>1RE1TVA296V4</v>
          </cell>
          <cell r="B3303">
            <v>96</v>
          </cell>
        </row>
        <row r="3304">
          <cell r="A3304" t="str">
            <v>1RE1TVM296ALV4</v>
          </cell>
          <cell r="B3304">
            <v>96</v>
          </cell>
        </row>
        <row r="3305">
          <cell r="A3305" t="str">
            <v>1RE1TVM296CNV4</v>
          </cell>
          <cell r="B3305">
            <v>98</v>
          </cell>
        </row>
        <row r="3306">
          <cell r="A3306" t="str">
            <v>1RE1TVM296CV4</v>
          </cell>
          <cell r="B3306">
            <v>96</v>
          </cell>
        </row>
        <row r="3307">
          <cell r="A3307" t="str">
            <v>1RE1TVM296NEV4</v>
          </cell>
          <cell r="B3307">
            <v>96</v>
          </cell>
        </row>
        <row r="3308">
          <cell r="A3308" t="str">
            <v>1RE1TVM296NZV4</v>
          </cell>
          <cell r="B3308">
            <v>96</v>
          </cell>
        </row>
        <row r="3309">
          <cell r="A3309" t="str">
            <v>1RE1TVM296XV4</v>
          </cell>
          <cell r="B3309">
            <v>96</v>
          </cell>
        </row>
        <row r="3310">
          <cell r="A3310" t="str">
            <v>1RE1VBD780V4</v>
          </cell>
          <cell r="B3310">
            <v>76</v>
          </cell>
        </row>
        <row r="3311">
          <cell r="A3311" t="str">
            <v>1RE1VBD962AV4</v>
          </cell>
          <cell r="B3311">
            <v>604</v>
          </cell>
        </row>
        <row r="3312">
          <cell r="A3312" t="str">
            <v>1RE1VDVPTV4</v>
          </cell>
          <cell r="B3312">
            <v>603</v>
          </cell>
        </row>
        <row r="3313">
          <cell r="A3313" t="str">
            <v>1RE1WT115R1ZA</v>
          </cell>
          <cell r="B3313">
            <v>7</v>
          </cell>
        </row>
        <row r="3314">
          <cell r="A3314" t="str">
            <v>1RE1XA1004WA/AS</v>
          </cell>
          <cell r="B3314">
            <v>23</v>
          </cell>
        </row>
        <row r="3315">
          <cell r="A3315" t="str">
            <v>1RE1XA1005UA/AS</v>
          </cell>
          <cell r="B3315">
            <v>30</v>
          </cell>
        </row>
        <row r="3316">
          <cell r="A3316" t="str">
            <v>1RE1XA1005UA/AS-R1</v>
          </cell>
          <cell r="B3316">
            <v>31</v>
          </cell>
        </row>
        <row r="3317">
          <cell r="A3317" t="str">
            <v>1RE1XA1005UA/AS-S2</v>
          </cell>
          <cell r="B3317">
            <v>30</v>
          </cell>
        </row>
        <row r="3318">
          <cell r="A3318" t="str">
            <v>1RE1XA1005WA/AS</v>
          </cell>
          <cell r="B3318">
            <v>30</v>
          </cell>
        </row>
        <row r="3319">
          <cell r="A3319" t="str">
            <v>1RE1XA1005WA/AS-S1</v>
          </cell>
          <cell r="B3319">
            <v>0</v>
          </cell>
        </row>
        <row r="3320">
          <cell r="A3320" t="str">
            <v>1RE1XA1021ZA/AS</v>
          </cell>
          <cell r="B3320">
            <v>30</v>
          </cell>
        </row>
        <row r="3321">
          <cell r="A3321" t="str">
            <v>1RE2607B3J80P1</v>
          </cell>
          <cell r="B3321">
            <v>300</v>
          </cell>
        </row>
        <row r="3322">
          <cell r="A3322" t="str">
            <v>1RE2A605Q-3G8A</v>
          </cell>
          <cell r="B3322">
            <v>132</v>
          </cell>
        </row>
        <row r="3323">
          <cell r="A3323" t="str">
            <v>1RE2A605Q3G8AAP</v>
          </cell>
          <cell r="B3323">
            <v>132</v>
          </cell>
        </row>
        <row r="3324">
          <cell r="A3324" t="str">
            <v>1RE2A605Q3G8AAP-P1</v>
          </cell>
          <cell r="B3324">
            <v>132</v>
          </cell>
        </row>
        <row r="3325">
          <cell r="A3325" t="str">
            <v>1RE2A605Q3G8AAP-P2</v>
          </cell>
          <cell r="B3325">
            <v>132</v>
          </cell>
        </row>
        <row r="3326">
          <cell r="A3326" t="str">
            <v>1RE2A605Q3G8ABP</v>
          </cell>
          <cell r="B3326">
            <v>132</v>
          </cell>
        </row>
        <row r="3327">
          <cell r="A3327" t="str">
            <v>1RE2A605Q3G8ABP-P1</v>
          </cell>
          <cell r="B3327">
            <v>132</v>
          </cell>
        </row>
        <row r="3328">
          <cell r="A3328" t="str">
            <v>1RE2A605Q3G8ABP-P2</v>
          </cell>
          <cell r="B3328">
            <v>132</v>
          </cell>
        </row>
        <row r="3329">
          <cell r="A3329" t="str">
            <v>1RE2A605Q-3G8A-P1</v>
          </cell>
          <cell r="B3329">
            <v>132</v>
          </cell>
        </row>
        <row r="3330">
          <cell r="A3330" t="str">
            <v>1RE2A605Q-3G8A-P2</v>
          </cell>
          <cell r="B3330">
            <v>132</v>
          </cell>
        </row>
        <row r="3331">
          <cell r="A3331" t="str">
            <v>1RE2A605Q-3G9A</v>
          </cell>
          <cell r="B3331">
            <v>132</v>
          </cell>
        </row>
        <row r="3332">
          <cell r="A3332" t="str">
            <v>1RE2A605Q-3G9A-P1</v>
          </cell>
          <cell r="B3332">
            <v>132</v>
          </cell>
        </row>
        <row r="3333">
          <cell r="A3333" t="str">
            <v>1RE2A605Q-3G9A-P2</v>
          </cell>
          <cell r="B3333">
            <v>132</v>
          </cell>
        </row>
        <row r="3334">
          <cell r="A3334" t="str">
            <v>1RE2A607B3J80P1</v>
          </cell>
          <cell r="B3334">
            <v>180</v>
          </cell>
        </row>
        <row r="3335">
          <cell r="A3335" t="str">
            <v>1RE2A607B3J8AP2</v>
          </cell>
          <cell r="B3335">
            <v>300</v>
          </cell>
        </row>
        <row r="3336">
          <cell r="A3336" t="str">
            <v>1RE2A607B3J8AP2FES</v>
          </cell>
          <cell r="B3336">
            <v>300</v>
          </cell>
        </row>
        <row r="3337">
          <cell r="A3337" t="str">
            <v>1RE2A607B3J8AP2P1</v>
          </cell>
          <cell r="B3337">
            <v>300</v>
          </cell>
        </row>
        <row r="3338">
          <cell r="A3338" t="str">
            <v>1RE2A607B3J8AP2-P1</v>
          </cell>
          <cell r="B3338">
            <v>360</v>
          </cell>
        </row>
        <row r="3339">
          <cell r="A3339" t="str">
            <v>1RE2A607B3J8AP2-P2</v>
          </cell>
          <cell r="B3339">
            <v>300</v>
          </cell>
        </row>
        <row r="3340">
          <cell r="A3340" t="str">
            <v>1RE2A608B-3J8A</v>
          </cell>
          <cell r="B3340">
            <v>1</v>
          </cell>
        </row>
        <row r="3341">
          <cell r="A3341" t="str">
            <v>1RE2A608B-3J8AP1</v>
          </cell>
          <cell r="B3341">
            <v>1</v>
          </cell>
        </row>
        <row r="3342">
          <cell r="A3342" t="str">
            <v>1RE2A608B-3J8A-P1</v>
          </cell>
          <cell r="B3342">
            <v>3</v>
          </cell>
        </row>
        <row r="3343">
          <cell r="A3343" t="str">
            <v>1RE2A608B-3J8A-P2</v>
          </cell>
          <cell r="B3343">
            <v>1</v>
          </cell>
        </row>
        <row r="3344">
          <cell r="A3344" t="str">
            <v>1RE2AM800</v>
          </cell>
          <cell r="B3344">
            <v>925</v>
          </cell>
        </row>
        <row r="3345">
          <cell r="A3345" t="str">
            <v>1RE2ARBP01A01074</v>
          </cell>
          <cell r="B3345">
            <v>28</v>
          </cell>
        </row>
        <row r="3346">
          <cell r="A3346" t="str">
            <v>1RE2ARBP01A01084</v>
          </cell>
          <cell r="B3346">
            <v>25</v>
          </cell>
        </row>
        <row r="3347">
          <cell r="A3347" t="str">
            <v>1RE2ARBP01A01230</v>
          </cell>
          <cell r="B3347">
            <v>28</v>
          </cell>
        </row>
        <row r="3348">
          <cell r="A3348" t="str">
            <v>1RE2ARBP0DA02174</v>
          </cell>
          <cell r="B3348">
            <v>36</v>
          </cell>
        </row>
        <row r="3349">
          <cell r="A3349" t="str">
            <v>1RE2ARBP0DA02177</v>
          </cell>
          <cell r="B3349">
            <v>36</v>
          </cell>
        </row>
        <row r="3350">
          <cell r="A3350" t="str">
            <v>1RE2ARBP0DA02186</v>
          </cell>
          <cell r="B3350">
            <v>38</v>
          </cell>
        </row>
        <row r="3351">
          <cell r="A3351" t="str">
            <v>1RE2ARBP0DA02188</v>
          </cell>
          <cell r="B3351">
            <v>38</v>
          </cell>
        </row>
        <row r="3352">
          <cell r="A3352" t="str">
            <v>1RE2ARBP0DA02189</v>
          </cell>
          <cell r="B3352">
            <v>38</v>
          </cell>
        </row>
        <row r="3353">
          <cell r="A3353" t="str">
            <v>1RE2ARBP0DA02281</v>
          </cell>
          <cell r="B3353">
            <v>36</v>
          </cell>
        </row>
        <row r="3354">
          <cell r="A3354" t="str">
            <v>1RE2ARBP0DA02283</v>
          </cell>
          <cell r="B3354">
            <v>36</v>
          </cell>
        </row>
        <row r="3355">
          <cell r="A3355" t="str">
            <v>1RE2ARBP0DA02292</v>
          </cell>
          <cell r="B3355">
            <v>33</v>
          </cell>
        </row>
        <row r="3356">
          <cell r="A3356" t="str">
            <v>1RE2ARBP0DA02294</v>
          </cell>
          <cell r="B3356">
            <v>33</v>
          </cell>
        </row>
        <row r="3357">
          <cell r="A3357" t="str">
            <v>1RE2ARBP0DA02303</v>
          </cell>
          <cell r="B3357">
            <v>37</v>
          </cell>
        </row>
        <row r="3358">
          <cell r="A3358" t="str">
            <v>1RE2ARBP0DA02304</v>
          </cell>
          <cell r="B3358">
            <v>37</v>
          </cell>
        </row>
        <row r="3359">
          <cell r="A3359" t="str">
            <v>1RE2ARBP0DA02720</v>
          </cell>
          <cell r="B3359">
            <v>39</v>
          </cell>
        </row>
        <row r="3360">
          <cell r="A3360" t="str">
            <v>1RE2ARBP0DA02850</v>
          </cell>
          <cell r="B3360">
            <v>36</v>
          </cell>
        </row>
        <row r="3361">
          <cell r="A3361" t="str">
            <v>1RE2AU202</v>
          </cell>
          <cell r="B3361">
            <v>739</v>
          </cell>
        </row>
        <row r="3362">
          <cell r="A3362" t="str">
            <v>1RE2AU202P</v>
          </cell>
          <cell r="B3362">
            <v>739</v>
          </cell>
        </row>
        <row r="3363">
          <cell r="A3363" t="str">
            <v>1RE2C380AV4</v>
          </cell>
          <cell r="B3363">
            <v>245</v>
          </cell>
        </row>
        <row r="3364">
          <cell r="A3364" t="str">
            <v>1RE2C901KEV4</v>
          </cell>
          <cell r="B3364">
            <v>70</v>
          </cell>
        </row>
        <row r="3365">
          <cell r="A3365" t="str">
            <v>1RE2CC411APYSZB-V4</v>
          </cell>
          <cell r="B3365">
            <v>326</v>
          </cell>
        </row>
        <row r="3366">
          <cell r="A3366" t="str">
            <v>1RE2CC411AYSZB-V4</v>
          </cell>
          <cell r="B3366">
            <v>326</v>
          </cell>
        </row>
        <row r="3367">
          <cell r="A3367" t="str">
            <v>1RE2CC411B</v>
          </cell>
          <cell r="B3367">
            <v>469</v>
          </cell>
        </row>
        <row r="3368">
          <cell r="A3368" t="str">
            <v>1RE2CC411BP</v>
          </cell>
          <cell r="B3368">
            <v>469</v>
          </cell>
        </row>
        <row r="3369">
          <cell r="A3369" t="str">
            <v>1RE2CC412APYSZB-V4</v>
          </cell>
          <cell r="B3369">
            <v>501</v>
          </cell>
        </row>
        <row r="3370">
          <cell r="A3370" t="str">
            <v>1RE2CC412AYSZB-V4</v>
          </cell>
          <cell r="B3370">
            <v>501</v>
          </cell>
        </row>
        <row r="3371">
          <cell r="A3371" t="str">
            <v>1RE2CC412BP</v>
          </cell>
          <cell r="B3371">
            <v>655</v>
          </cell>
        </row>
        <row r="3372">
          <cell r="A3372" t="str">
            <v>1RE2CH457</v>
          </cell>
          <cell r="B3372">
            <v>107</v>
          </cell>
        </row>
        <row r="3373">
          <cell r="A3373" t="str">
            <v>1RE2CH457P</v>
          </cell>
          <cell r="B3373">
            <v>107</v>
          </cell>
        </row>
        <row r="3374">
          <cell r="A3374" t="str">
            <v>1RE2CM210-V4</v>
          </cell>
          <cell r="B3374">
            <v>12</v>
          </cell>
        </row>
        <row r="3375">
          <cell r="A3375" t="str">
            <v>1RE2CR200-V4</v>
          </cell>
          <cell r="B3375">
            <v>257</v>
          </cell>
        </row>
        <row r="3376">
          <cell r="A3376" t="str">
            <v>1RE2CR480</v>
          </cell>
          <cell r="B3376">
            <v>59</v>
          </cell>
        </row>
        <row r="3377">
          <cell r="A3377" t="str">
            <v>1RE2CR480P</v>
          </cell>
          <cell r="B3377">
            <v>59</v>
          </cell>
        </row>
        <row r="3378">
          <cell r="A3378" t="str">
            <v>1RE2CT200-V4</v>
          </cell>
          <cell r="B3378">
            <v>117</v>
          </cell>
        </row>
        <row r="3379">
          <cell r="A3379" t="str">
            <v>1RE2CX200-V4</v>
          </cell>
          <cell r="B3379">
            <v>717</v>
          </cell>
        </row>
        <row r="3380">
          <cell r="A3380" t="str">
            <v>1RE2CZ200-V4</v>
          </cell>
          <cell r="B3380">
            <v>439</v>
          </cell>
        </row>
        <row r="3381">
          <cell r="A3381" t="str">
            <v>1RE2D765V4</v>
          </cell>
          <cell r="B3381">
            <v>238</v>
          </cell>
        </row>
        <row r="3382">
          <cell r="A3382" t="str">
            <v>1RE2D834V4</v>
          </cell>
          <cell r="B3382">
            <v>602</v>
          </cell>
        </row>
        <row r="3383">
          <cell r="A3383" t="str">
            <v>1RE2F081A</v>
          </cell>
          <cell r="B3383">
            <v>157</v>
          </cell>
        </row>
        <row r="3384">
          <cell r="A3384" t="str">
            <v>1RE2F084A</v>
          </cell>
          <cell r="B3384">
            <v>276</v>
          </cell>
        </row>
        <row r="3385">
          <cell r="A3385" t="str">
            <v>1RE2F205BV4</v>
          </cell>
          <cell r="B3385">
            <v>448</v>
          </cell>
        </row>
        <row r="3386">
          <cell r="A3386" t="str">
            <v>1RE2F206BV4</v>
          </cell>
          <cell r="B3386">
            <v>448</v>
          </cell>
        </row>
        <row r="3387">
          <cell r="A3387" t="str">
            <v>1RE2F2201V4</v>
          </cell>
          <cell r="B3387">
            <v>80</v>
          </cell>
        </row>
        <row r="3388">
          <cell r="A3388" t="str">
            <v>1RE2F220V4</v>
          </cell>
          <cell r="B3388">
            <v>141</v>
          </cell>
        </row>
        <row r="3389">
          <cell r="A3389" t="str">
            <v>1RE2F221V4</v>
          </cell>
          <cell r="B3389">
            <v>97</v>
          </cell>
        </row>
        <row r="3390">
          <cell r="A3390" t="str">
            <v>1RE2F2221V4</v>
          </cell>
          <cell r="B3390">
            <v>192</v>
          </cell>
        </row>
        <row r="3391">
          <cell r="A3391" t="str">
            <v>1RE2F222V4</v>
          </cell>
          <cell r="B3391">
            <v>212</v>
          </cell>
        </row>
        <row r="3392">
          <cell r="A3392" t="str">
            <v>1RE2F2231</v>
          </cell>
          <cell r="B3392">
            <v>28</v>
          </cell>
        </row>
        <row r="3393">
          <cell r="A3393" t="str">
            <v>1RE2F223F</v>
          </cell>
          <cell r="B3393">
            <v>567</v>
          </cell>
        </row>
        <row r="3394">
          <cell r="A3394" t="str">
            <v>1RE2F223K</v>
          </cell>
          <cell r="B3394">
            <v>567</v>
          </cell>
        </row>
        <row r="3395">
          <cell r="A3395" t="str">
            <v>1RE2F223NAV4</v>
          </cell>
          <cell r="B3395">
            <v>567</v>
          </cell>
        </row>
        <row r="3396">
          <cell r="A3396" t="str">
            <v>1RE2F230V4</v>
          </cell>
          <cell r="B3396">
            <v>333</v>
          </cell>
        </row>
        <row r="3397">
          <cell r="A3397" t="str">
            <v>1RE2F231V4</v>
          </cell>
          <cell r="B3397">
            <v>196</v>
          </cell>
        </row>
        <row r="3398">
          <cell r="A3398" t="str">
            <v>1RE2F232V4</v>
          </cell>
          <cell r="B3398">
            <v>130</v>
          </cell>
        </row>
        <row r="3399">
          <cell r="A3399" t="str">
            <v>1RE2F233</v>
          </cell>
          <cell r="B3399">
            <v>614</v>
          </cell>
        </row>
        <row r="3400">
          <cell r="A3400" t="str">
            <v>1RE2F233K</v>
          </cell>
          <cell r="B3400">
            <v>614</v>
          </cell>
        </row>
        <row r="3401">
          <cell r="A3401" t="str">
            <v>1RE2F260V4</v>
          </cell>
          <cell r="B3401">
            <v>176</v>
          </cell>
        </row>
        <row r="3402">
          <cell r="A3402" t="str">
            <v>1RE2F261V4</v>
          </cell>
          <cell r="B3402">
            <v>161</v>
          </cell>
        </row>
        <row r="3403">
          <cell r="A3403" t="str">
            <v>1RE2F262V4</v>
          </cell>
          <cell r="B3403">
            <v>241</v>
          </cell>
        </row>
        <row r="3404">
          <cell r="A3404" t="str">
            <v>1RE2F263V4</v>
          </cell>
          <cell r="B3404">
            <v>93</v>
          </cell>
        </row>
        <row r="3405">
          <cell r="A3405" t="str">
            <v>1RE2F264</v>
          </cell>
          <cell r="B3405">
            <v>24</v>
          </cell>
        </row>
        <row r="3406">
          <cell r="A3406" t="str">
            <v>1RE2F611KPAS</v>
          </cell>
          <cell r="B3406">
            <v>342</v>
          </cell>
        </row>
        <row r="3407">
          <cell r="A3407" t="str">
            <v>1RE2F611KPAWV4</v>
          </cell>
          <cell r="B3407">
            <v>342</v>
          </cell>
        </row>
        <row r="3408">
          <cell r="A3408" t="str">
            <v>1RE2H6575-3K20FES1</v>
          </cell>
          <cell r="B3408">
            <v>360</v>
          </cell>
        </row>
        <row r="3409">
          <cell r="A3409" t="str">
            <v>1RE2H685Q-3K20</v>
          </cell>
          <cell r="B3409">
            <v>308</v>
          </cell>
        </row>
        <row r="3410">
          <cell r="A3410" t="str">
            <v>1RE2H685Q3K20BP</v>
          </cell>
          <cell r="B3410">
            <v>308</v>
          </cell>
        </row>
        <row r="3411">
          <cell r="A3411" t="str">
            <v>1RE2H685Q3K20BP-P1</v>
          </cell>
          <cell r="B3411">
            <v>308</v>
          </cell>
        </row>
        <row r="3412">
          <cell r="A3412" t="str">
            <v>1RE2H685Q3K20BPP1T</v>
          </cell>
          <cell r="B3412">
            <v>308</v>
          </cell>
        </row>
        <row r="3413">
          <cell r="A3413" t="str">
            <v>1RE2H685Q-3K20FES1</v>
          </cell>
          <cell r="B3413">
            <v>312</v>
          </cell>
        </row>
        <row r="3414">
          <cell r="A3414" t="str">
            <v>1RE2H685Q-3K20FES2</v>
          </cell>
          <cell r="B3414">
            <v>308</v>
          </cell>
        </row>
        <row r="3415">
          <cell r="A3415" t="str">
            <v>1RE2H685Q-3K20-P1</v>
          </cell>
          <cell r="B3415">
            <v>308</v>
          </cell>
        </row>
        <row r="3416">
          <cell r="A3416" t="str">
            <v>1RE2H685Q-3K20P2</v>
          </cell>
          <cell r="B3416">
            <v>308</v>
          </cell>
        </row>
        <row r="3417">
          <cell r="A3417" t="str">
            <v>1RE2H685Q-3K20-P2</v>
          </cell>
          <cell r="B3417">
            <v>310</v>
          </cell>
        </row>
        <row r="3418">
          <cell r="A3418" t="str">
            <v>1RE2H685Q-3K20PP1</v>
          </cell>
          <cell r="B3418">
            <v>308</v>
          </cell>
        </row>
        <row r="3419">
          <cell r="A3419" t="str">
            <v>1RE2H685Q-3K20PP2</v>
          </cell>
          <cell r="B3419">
            <v>306</v>
          </cell>
        </row>
        <row r="3420">
          <cell r="A3420" t="str">
            <v>1RE2H685Q-ST001-1</v>
          </cell>
          <cell r="B3420">
            <v>315</v>
          </cell>
        </row>
        <row r="3421">
          <cell r="A3421" t="str">
            <v>1RE2HT82460R1</v>
          </cell>
          <cell r="B3421">
            <v>207</v>
          </cell>
        </row>
        <row r="3422">
          <cell r="A3422" t="str">
            <v>1RE2HT82460S3</v>
          </cell>
          <cell r="B3422">
            <v>181</v>
          </cell>
        </row>
        <row r="3423">
          <cell r="A3423" t="str">
            <v>1RE2HT82460SXR1</v>
          </cell>
          <cell r="B3423">
            <v>207</v>
          </cell>
        </row>
        <row r="3424">
          <cell r="A3424" t="str">
            <v>1RE2HT82460SXS3</v>
          </cell>
          <cell r="B3424">
            <v>181</v>
          </cell>
        </row>
        <row r="3425">
          <cell r="A3425" t="str">
            <v>1RE2HT82460X</v>
          </cell>
          <cell r="B3425">
            <v>181</v>
          </cell>
        </row>
        <row r="3426">
          <cell r="A3426" t="str">
            <v>1RE2HT82460XR1</v>
          </cell>
          <cell r="B3426">
            <v>207</v>
          </cell>
        </row>
        <row r="3427">
          <cell r="A3427" t="str">
            <v>1RE2HT82460XS1</v>
          </cell>
          <cell r="B3427">
            <v>207</v>
          </cell>
        </row>
        <row r="3428">
          <cell r="A3428" t="str">
            <v>1RE2HT82460XS3</v>
          </cell>
          <cell r="B3428">
            <v>181</v>
          </cell>
        </row>
        <row r="3429">
          <cell r="A3429" t="str">
            <v>1RE2HT82470MLR1</v>
          </cell>
          <cell r="B3429">
            <v>278</v>
          </cell>
        </row>
        <row r="3430">
          <cell r="A3430" t="str">
            <v>1RE2HT82470MLS3</v>
          </cell>
          <cell r="B3430">
            <v>251</v>
          </cell>
        </row>
        <row r="3431">
          <cell r="A3431" t="str">
            <v>1RE2HT82470R1</v>
          </cell>
          <cell r="B3431">
            <v>278</v>
          </cell>
        </row>
        <row r="3432">
          <cell r="A3432" t="str">
            <v>1RE2HT82470S3</v>
          </cell>
          <cell r="B3432">
            <v>235</v>
          </cell>
        </row>
        <row r="3433">
          <cell r="A3433" t="str">
            <v>1RE2HT82470SXR1</v>
          </cell>
          <cell r="B3433">
            <v>278</v>
          </cell>
        </row>
        <row r="3434">
          <cell r="A3434" t="str">
            <v>1RE2HT82470SXS3</v>
          </cell>
          <cell r="B3434">
            <v>235</v>
          </cell>
        </row>
        <row r="3435">
          <cell r="A3435" t="str">
            <v>1RE2HT82470X</v>
          </cell>
          <cell r="B3435">
            <v>235</v>
          </cell>
        </row>
        <row r="3436">
          <cell r="A3436" t="str">
            <v>1RE2HT82470XR1</v>
          </cell>
          <cell r="B3436">
            <v>278</v>
          </cell>
        </row>
        <row r="3437">
          <cell r="A3437" t="str">
            <v>1RE2HT82470XS1</v>
          </cell>
          <cell r="B3437">
            <v>278</v>
          </cell>
        </row>
        <row r="3438">
          <cell r="A3438" t="str">
            <v>1RE2HT82470XS3</v>
          </cell>
          <cell r="B3438">
            <v>235</v>
          </cell>
        </row>
        <row r="3439">
          <cell r="A3439" t="str">
            <v>1RE2HT82480AGR1</v>
          </cell>
          <cell r="B3439">
            <v>236</v>
          </cell>
        </row>
        <row r="3440">
          <cell r="A3440" t="str">
            <v>1RE2HT82480AGS3</v>
          </cell>
          <cell r="B3440">
            <v>242</v>
          </cell>
        </row>
        <row r="3441">
          <cell r="A3441" t="str">
            <v>1RE2HT82480AL</v>
          </cell>
          <cell r="B3441">
            <v>254</v>
          </cell>
        </row>
        <row r="3442">
          <cell r="A3442" t="str">
            <v>1RE2HT82480ALR1</v>
          </cell>
          <cell r="B3442">
            <v>236</v>
          </cell>
        </row>
        <row r="3443">
          <cell r="A3443" t="str">
            <v>1RE2HT82480ALS3</v>
          </cell>
          <cell r="B3443">
            <v>254</v>
          </cell>
        </row>
        <row r="3444">
          <cell r="A3444" t="str">
            <v>1RE2HT82480BRR1</v>
          </cell>
          <cell r="B3444">
            <v>236</v>
          </cell>
        </row>
        <row r="3445">
          <cell r="A3445" t="str">
            <v>1RE2HT82480BRS3</v>
          </cell>
          <cell r="B3445">
            <v>230</v>
          </cell>
        </row>
        <row r="3446">
          <cell r="A3446" t="str">
            <v>1RE2HT82480NZR1</v>
          </cell>
          <cell r="B3446">
            <v>236</v>
          </cell>
        </row>
        <row r="3447">
          <cell r="A3447" t="str">
            <v>1RE2HT82480NZS3</v>
          </cell>
          <cell r="B3447">
            <v>242</v>
          </cell>
        </row>
        <row r="3448">
          <cell r="A3448" t="str">
            <v>1RE2HT82480R1</v>
          </cell>
          <cell r="B3448">
            <v>236</v>
          </cell>
        </row>
        <row r="3449">
          <cell r="A3449" t="str">
            <v>1RE2HT82480S3</v>
          </cell>
          <cell r="B3449">
            <v>242</v>
          </cell>
        </row>
        <row r="3450">
          <cell r="A3450" t="str">
            <v>1RE2HT82480SAR1</v>
          </cell>
          <cell r="B3450">
            <v>236</v>
          </cell>
        </row>
        <row r="3451">
          <cell r="A3451" t="str">
            <v>1RE2HT82480SAS3</v>
          </cell>
          <cell r="B3451">
            <v>242</v>
          </cell>
        </row>
        <row r="3452">
          <cell r="A3452" t="str">
            <v>1RE2HT82480SXR1</v>
          </cell>
          <cell r="B3452">
            <v>236</v>
          </cell>
        </row>
        <row r="3453">
          <cell r="A3453" t="str">
            <v>1RE2HT82480SXS3</v>
          </cell>
          <cell r="B3453">
            <v>242</v>
          </cell>
        </row>
        <row r="3454">
          <cell r="A3454" t="str">
            <v>1RE2HT82480TWR1</v>
          </cell>
          <cell r="B3454">
            <v>236</v>
          </cell>
        </row>
        <row r="3455">
          <cell r="A3455" t="str">
            <v>1RE2HT82480TWS3</v>
          </cell>
          <cell r="B3455">
            <v>242</v>
          </cell>
        </row>
        <row r="3456">
          <cell r="A3456" t="str">
            <v>1RE2HT82480X</v>
          </cell>
          <cell r="B3456">
            <v>242</v>
          </cell>
        </row>
        <row r="3457">
          <cell r="A3457" t="str">
            <v>1RE2HT82480XR1</v>
          </cell>
          <cell r="B3457">
            <v>236</v>
          </cell>
        </row>
        <row r="3458">
          <cell r="A3458" t="str">
            <v>1RE2HT82480XS1</v>
          </cell>
          <cell r="B3458">
            <v>236</v>
          </cell>
        </row>
        <row r="3459">
          <cell r="A3459" t="str">
            <v>1RE2HT82480XS3</v>
          </cell>
          <cell r="B3459">
            <v>242</v>
          </cell>
        </row>
        <row r="3460">
          <cell r="A3460" t="str">
            <v>1RE2J603L3J8AP2FES</v>
          </cell>
          <cell r="B3460">
            <v>101</v>
          </cell>
        </row>
        <row r="3461">
          <cell r="A3461" t="str">
            <v>1RE2J605Q3J80P1</v>
          </cell>
          <cell r="B3461">
            <v>12</v>
          </cell>
        </row>
        <row r="3462">
          <cell r="A3462" t="str">
            <v>1RE2J605Q3J80P1PP</v>
          </cell>
          <cell r="B3462">
            <v>12</v>
          </cell>
        </row>
        <row r="3463">
          <cell r="A3463" t="str">
            <v>1RE2J605Q3J8AP2FES</v>
          </cell>
          <cell r="B3463">
            <v>60</v>
          </cell>
        </row>
        <row r="3464">
          <cell r="A3464" t="str">
            <v>1RE2LP2017EXZA</v>
          </cell>
          <cell r="B3464">
            <v>246</v>
          </cell>
        </row>
        <row r="3465">
          <cell r="A3465" t="str">
            <v>1RE2LP2288ZA</v>
          </cell>
          <cell r="B3465">
            <v>460</v>
          </cell>
        </row>
        <row r="3466">
          <cell r="A3466" t="str">
            <v>1RE2LP2528ZA</v>
          </cell>
          <cell r="B3466">
            <v>660</v>
          </cell>
        </row>
        <row r="3467">
          <cell r="A3467" t="str">
            <v>1RE2LP2530ZA</v>
          </cell>
          <cell r="B3467">
            <v>253</v>
          </cell>
        </row>
        <row r="3468">
          <cell r="A3468" t="str">
            <v>1RE2LP2533ZA</v>
          </cell>
          <cell r="B3468">
            <v>252</v>
          </cell>
        </row>
        <row r="3469">
          <cell r="A3469" t="str">
            <v>1RE2LP2534ZA</v>
          </cell>
          <cell r="B3469">
            <v>228</v>
          </cell>
        </row>
        <row r="3470">
          <cell r="A3470" t="str">
            <v>1RE2LP2536ZA</v>
          </cell>
          <cell r="B3470">
            <v>207</v>
          </cell>
        </row>
        <row r="3471">
          <cell r="A3471" t="str">
            <v>1RE2LP2538ZA</v>
          </cell>
          <cell r="B3471">
            <v>459</v>
          </cell>
        </row>
        <row r="3472">
          <cell r="A3472" t="str">
            <v>1RE2LP2539ZA</v>
          </cell>
          <cell r="B3472">
            <v>10</v>
          </cell>
        </row>
        <row r="3473">
          <cell r="A3473" t="str">
            <v>1RE2LP2550ZA</v>
          </cell>
          <cell r="B3473">
            <v>228</v>
          </cell>
        </row>
        <row r="3474">
          <cell r="A3474" t="str">
            <v>1RE2LP2551ZA</v>
          </cell>
          <cell r="B3474">
            <v>228</v>
          </cell>
        </row>
        <row r="3475">
          <cell r="A3475" t="str">
            <v>1RE2LP2552ZA</v>
          </cell>
          <cell r="B3475">
            <v>228</v>
          </cell>
        </row>
        <row r="3476">
          <cell r="A3476" t="str">
            <v>1RE2LP2553ZA</v>
          </cell>
          <cell r="B3476">
            <v>228</v>
          </cell>
        </row>
        <row r="3477">
          <cell r="A3477" t="str">
            <v>1RE2LP2555ZA</v>
          </cell>
          <cell r="B3477">
            <v>207</v>
          </cell>
        </row>
        <row r="3478">
          <cell r="A3478" t="str">
            <v>1RE2LP2556ZA</v>
          </cell>
          <cell r="B3478">
            <v>118</v>
          </cell>
        </row>
        <row r="3479">
          <cell r="A3479" t="str">
            <v>1RE2LP2557ZA</v>
          </cell>
          <cell r="B3479">
            <v>530</v>
          </cell>
        </row>
        <row r="3480">
          <cell r="A3480" t="str">
            <v>1RE2LP2558ZA</v>
          </cell>
          <cell r="B3480">
            <v>540</v>
          </cell>
        </row>
        <row r="3481">
          <cell r="A3481" t="str">
            <v>1RE2LP2559ZA</v>
          </cell>
          <cell r="B3481">
            <v>664</v>
          </cell>
        </row>
        <row r="3482">
          <cell r="A3482" t="str">
            <v>1RE2LP2562ZA</v>
          </cell>
          <cell r="B3482">
            <v>660</v>
          </cell>
        </row>
        <row r="3483">
          <cell r="A3483" t="str">
            <v>1RE2LP2567ZA</v>
          </cell>
          <cell r="B3483">
            <v>530</v>
          </cell>
        </row>
        <row r="3484">
          <cell r="A3484" t="str">
            <v>1RE2LP2568ZA</v>
          </cell>
          <cell r="B3484">
            <v>664</v>
          </cell>
        </row>
        <row r="3485">
          <cell r="A3485" t="str">
            <v>1RE2LP2569ZA</v>
          </cell>
          <cell r="B3485">
            <v>687</v>
          </cell>
        </row>
        <row r="3486">
          <cell r="A3486" t="str">
            <v>1RE2LP2573ZA</v>
          </cell>
          <cell r="B3486">
            <v>335</v>
          </cell>
        </row>
        <row r="3487">
          <cell r="A3487" t="str">
            <v>1RE2LP2573ZAR1</v>
          </cell>
          <cell r="B3487">
            <v>335</v>
          </cell>
        </row>
        <row r="3488">
          <cell r="A3488" t="str">
            <v>1RE2LP2573ZAS1</v>
          </cell>
          <cell r="B3488">
            <v>333</v>
          </cell>
        </row>
        <row r="3489">
          <cell r="A3489" t="str">
            <v>1RE2LP2573ZAS1SPV4</v>
          </cell>
          <cell r="B3489">
            <v>333</v>
          </cell>
        </row>
        <row r="3490">
          <cell r="A3490" t="str">
            <v>1RE2LP2573ZAS2</v>
          </cell>
          <cell r="B3490">
            <v>334</v>
          </cell>
        </row>
        <row r="3491">
          <cell r="A3491" t="str">
            <v>1RE2LP2574ZA</v>
          </cell>
          <cell r="B3491">
            <v>335</v>
          </cell>
        </row>
        <row r="3492">
          <cell r="A3492" t="str">
            <v>1RE2LP2574ZAR1</v>
          </cell>
          <cell r="B3492">
            <v>333</v>
          </cell>
        </row>
        <row r="3493">
          <cell r="A3493" t="str">
            <v>1RE2LP2574ZAS1</v>
          </cell>
          <cell r="B3493">
            <v>331</v>
          </cell>
        </row>
        <row r="3494">
          <cell r="A3494" t="str">
            <v>1RE2LP2574ZAS2</v>
          </cell>
          <cell r="B3494">
            <v>332</v>
          </cell>
        </row>
        <row r="3495">
          <cell r="A3495" t="str">
            <v>1RE2LP2575ZA</v>
          </cell>
          <cell r="B3495">
            <v>337</v>
          </cell>
        </row>
        <row r="3496">
          <cell r="A3496" t="str">
            <v>1RE2LP2575ZAR1</v>
          </cell>
          <cell r="B3496">
            <v>335</v>
          </cell>
        </row>
        <row r="3497">
          <cell r="A3497" t="str">
            <v>1RE2LP2575ZAS1</v>
          </cell>
          <cell r="B3497">
            <v>333</v>
          </cell>
        </row>
        <row r="3498">
          <cell r="A3498" t="str">
            <v>1RE2LP2575ZAS2</v>
          </cell>
          <cell r="B3498">
            <v>334</v>
          </cell>
        </row>
        <row r="3499">
          <cell r="A3499" t="str">
            <v>1RE2LP2577ZA</v>
          </cell>
          <cell r="B3499">
            <v>495</v>
          </cell>
        </row>
        <row r="3500">
          <cell r="A3500" t="str">
            <v>1RE2LP2577ZAR1</v>
          </cell>
          <cell r="B3500">
            <v>495</v>
          </cell>
        </row>
        <row r="3501">
          <cell r="A3501" t="str">
            <v>1RE2LP2577ZAR2</v>
          </cell>
          <cell r="B3501">
            <v>474</v>
          </cell>
        </row>
        <row r="3502">
          <cell r="A3502" t="str">
            <v>1RE2LP2578ZA</v>
          </cell>
          <cell r="B3502">
            <v>639</v>
          </cell>
        </row>
        <row r="3503">
          <cell r="A3503" t="str">
            <v>1RE2LP2578ZAR1</v>
          </cell>
          <cell r="B3503">
            <v>639</v>
          </cell>
        </row>
        <row r="3504">
          <cell r="A3504" t="str">
            <v>1RE2LP2578ZAR2</v>
          </cell>
          <cell r="B3504">
            <v>602</v>
          </cell>
        </row>
        <row r="3505">
          <cell r="A3505" t="str">
            <v>1RE2LP2579ZA</v>
          </cell>
          <cell r="B3505">
            <v>644</v>
          </cell>
        </row>
        <row r="3506">
          <cell r="A3506" t="str">
            <v>1RE2LP2579ZAS1</v>
          </cell>
          <cell r="B3506">
            <v>640</v>
          </cell>
        </row>
        <row r="3507">
          <cell r="A3507" t="str">
            <v>1RE2LP2580ZAS1</v>
          </cell>
          <cell r="B3507">
            <v>640</v>
          </cell>
        </row>
        <row r="3508">
          <cell r="A3508" t="str">
            <v>1RE2LP2581ZA</v>
          </cell>
          <cell r="B3508">
            <v>644</v>
          </cell>
        </row>
        <row r="3509">
          <cell r="A3509" t="str">
            <v>1RE2LP2581ZAR2</v>
          </cell>
          <cell r="B3509">
            <v>608</v>
          </cell>
        </row>
        <row r="3510">
          <cell r="A3510" t="str">
            <v>1RE2LP2582ZA</v>
          </cell>
          <cell r="B3510">
            <v>643</v>
          </cell>
        </row>
        <row r="3511">
          <cell r="A3511" t="str">
            <v>1RE2LP2582ZAR2</v>
          </cell>
          <cell r="B3511">
            <v>608</v>
          </cell>
        </row>
        <row r="3512">
          <cell r="A3512" t="str">
            <v>1RE2LP2583ZA</v>
          </cell>
          <cell r="B3512">
            <v>494</v>
          </cell>
        </row>
        <row r="3513">
          <cell r="A3513" t="str">
            <v>1RE2LP2584ZA</v>
          </cell>
          <cell r="B3513">
            <v>638</v>
          </cell>
        </row>
        <row r="3514">
          <cell r="A3514" t="str">
            <v>1RE2LP2584ZAR2</v>
          </cell>
          <cell r="B3514">
            <v>602</v>
          </cell>
        </row>
        <row r="3515">
          <cell r="A3515" t="str">
            <v>1RE2LP2585ZAS1</v>
          </cell>
          <cell r="B3515">
            <v>572</v>
          </cell>
        </row>
        <row r="3516">
          <cell r="A3516" t="str">
            <v>1RE2LP2587ZA</v>
          </cell>
          <cell r="B3516">
            <v>643</v>
          </cell>
        </row>
        <row r="3517">
          <cell r="A3517" t="str">
            <v>1RE2LP2589ZA</v>
          </cell>
          <cell r="B3517">
            <v>638</v>
          </cell>
        </row>
        <row r="3518">
          <cell r="A3518" t="str">
            <v>1RE2LP2594ZA</v>
          </cell>
          <cell r="B3518">
            <v>644</v>
          </cell>
        </row>
        <row r="3519">
          <cell r="A3519" t="str">
            <v>1RE2LP2595ZA</v>
          </cell>
          <cell r="B3519">
            <v>643</v>
          </cell>
        </row>
        <row r="3520">
          <cell r="A3520" t="str">
            <v>1RE2LP2598ZAS1</v>
          </cell>
          <cell r="B3520">
            <v>516</v>
          </cell>
        </row>
        <row r="3521">
          <cell r="A3521" t="str">
            <v>1RE2LP2600ZA</v>
          </cell>
          <cell r="B3521">
            <v>335</v>
          </cell>
        </row>
        <row r="3522">
          <cell r="A3522" t="str">
            <v>1RE2LP2601ZA</v>
          </cell>
          <cell r="B3522">
            <v>335</v>
          </cell>
        </row>
        <row r="3523">
          <cell r="A3523" t="str">
            <v>1RE2LPA407AL1-R1</v>
          </cell>
          <cell r="B3523">
            <v>243</v>
          </cell>
        </row>
        <row r="3524">
          <cell r="A3524" t="str">
            <v>1RE2LPA407CE1-R1</v>
          </cell>
          <cell r="B3524">
            <v>243</v>
          </cell>
        </row>
        <row r="3525">
          <cell r="A3525" t="str">
            <v>1RE2LPA407CE1-S1</v>
          </cell>
          <cell r="B3525">
            <v>241</v>
          </cell>
        </row>
        <row r="3526">
          <cell r="A3526" t="str">
            <v>1RE2LPA407CE1ZA</v>
          </cell>
          <cell r="B3526">
            <v>242</v>
          </cell>
        </row>
        <row r="3527">
          <cell r="A3527" t="str">
            <v>1RE2LPA407M1-G3</v>
          </cell>
          <cell r="B3527">
            <v>244</v>
          </cell>
        </row>
        <row r="3528">
          <cell r="A3528" t="str">
            <v>1RE2LPA407M1-R1</v>
          </cell>
          <cell r="B3528">
            <v>243</v>
          </cell>
        </row>
        <row r="3529">
          <cell r="A3529" t="str">
            <v>1RE2LPA407M1-S1</v>
          </cell>
          <cell r="B3529">
            <v>242</v>
          </cell>
        </row>
        <row r="3530">
          <cell r="A3530" t="str">
            <v>1RE2LPAT7730NE1ZA</v>
          </cell>
          <cell r="B3530">
            <v>287</v>
          </cell>
        </row>
        <row r="3531">
          <cell r="A3531" t="str">
            <v>1RE2LPAT7730RU1ZA</v>
          </cell>
          <cell r="B3531">
            <v>286</v>
          </cell>
        </row>
        <row r="3532">
          <cell r="A3532" t="str">
            <v>1RE2LPAT7730UE1ZA</v>
          </cell>
          <cell r="B3532">
            <v>285</v>
          </cell>
        </row>
        <row r="3533">
          <cell r="A3533" t="str">
            <v>1RE2LPAT7730X1ZA</v>
          </cell>
          <cell r="B3533">
            <v>285</v>
          </cell>
        </row>
        <row r="3534">
          <cell r="A3534" t="str">
            <v>1RE2LPBYODBAR1G1</v>
          </cell>
          <cell r="B3534">
            <v>19</v>
          </cell>
        </row>
        <row r="3535">
          <cell r="A3535" t="str">
            <v>1RE2LPDT333NE1ZA</v>
          </cell>
          <cell r="B3535">
            <v>239</v>
          </cell>
        </row>
        <row r="3536">
          <cell r="A3536" t="str">
            <v>1RE2LPDT346NE1ZA</v>
          </cell>
          <cell r="B3536">
            <v>255</v>
          </cell>
        </row>
        <row r="3537">
          <cell r="A3537" t="str">
            <v>1RE2LPDT5211ZA</v>
          </cell>
          <cell r="B3537">
            <v>176</v>
          </cell>
        </row>
        <row r="3538">
          <cell r="A3538" t="str">
            <v>1RE2LPDT5211ZAR1</v>
          </cell>
          <cell r="B3538">
            <v>171</v>
          </cell>
        </row>
        <row r="3539">
          <cell r="A3539" t="str">
            <v>1RE2LPDT5211ZAS1</v>
          </cell>
          <cell r="B3539">
            <v>163</v>
          </cell>
        </row>
        <row r="3540">
          <cell r="A3540" t="str">
            <v>1RE2LPDT5211ZAS2</v>
          </cell>
          <cell r="B3540">
            <v>174</v>
          </cell>
        </row>
        <row r="3541">
          <cell r="A3541" t="str">
            <v>1RE2LPDT5211ZAS3</v>
          </cell>
          <cell r="B3541">
            <v>176</v>
          </cell>
        </row>
        <row r="3542">
          <cell r="A3542" t="str">
            <v>1RE2LPDT5211ZB</v>
          </cell>
          <cell r="B3542">
            <v>165</v>
          </cell>
        </row>
        <row r="3543">
          <cell r="A3543" t="str">
            <v>1RE2LPDT5431ZA</v>
          </cell>
          <cell r="B3543">
            <v>175</v>
          </cell>
        </row>
        <row r="3544">
          <cell r="A3544" t="str">
            <v>1RE2LPDT5431ZAR1</v>
          </cell>
          <cell r="B3544">
            <v>171</v>
          </cell>
        </row>
        <row r="3545">
          <cell r="A3545" t="str">
            <v>1RE2LPDT5431ZAS1</v>
          </cell>
          <cell r="B3545">
            <v>164</v>
          </cell>
        </row>
        <row r="3546">
          <cell r="A3546" t="str">
            <v>1RE2LPDT5431ZAS2</v>
          </cell>
          <cell r="B3546">
            <v>173</v>
          </cell>
        </row>
        <row r="3547">
          <cell r="A3547" t="str">
            <v>1RE2LPDT5431ZAS3</v>
          </cell>
          <cell r="B3547">
            <v>175</v>
          </cell>
        </row>
        <row r="3548">
          <cell r="A3548" t="str">
            <v>1RE2LPDT5431ZB</v>
          </cell>
          <cell r="B3548">
            <v>165</v>
          </cell>
        </row>
        <row r="3549">
          <cell r="A3549" t="str">
            <v>1RE2LPDT5901ZA</v>
          </cell>
          <cell r="B3549">
            <v>99</v>
          </cell>
        </row>
        <row r="3550">
          <cell r="A3550" t="str">
            <v>1RE2LPDT5901ZAR1</v>
          </cell>
          <cell r="B3550">
            <v>98</v>
          </cell>
        </row>
        <row r="3551">
          <cell r="A3551" t="str">
            <v>1RE2LPDT5901ZAS1</v>
          </cell>
          <cell r="B3551">
            <v>97</v>
          </cell>
        </row>
        <row r="3552">
          <cell r="A3552" t="str">
            <v>1RE2LPDT5901ZAS2</v>
          </cell>
          <cell r="B3552">
            <v>99</v>
          </cell>
        </row>
        <row r="3553">
          <cell r="A3553" t="str">
            <v>1RE2LPDT635CE1-G1</v>
          </cell>
          <cell r="B3553">
            <v>433</v>
          </cell>
        </row>
        <row r="3554">
          <cell r="A3554" t="str">
            <v>1RE2LPDT635NE1-R1</v>
          </cell>
          <cell r="B3554">
            <v>440</v>
          </cell>
        </row>
        <row r="3555">
          <cell r="A3555" t="str">
            <v>1RE2LPDT635NE1-S1</v>
          </cell>
          <cell r="B3555">
            <v>440</v>
          </cell>
        </row>
        <row r="3556">
          <cell r="A3556" t="str">
            <v>1RE2LPDT635NE1ZA</v>
          </cell>
          <cell r="B3556">
            <v>436</v>
          </cell>
        </row>
        <row r="3557">
          <cell r="A3557" t="str">
            <v>1RE2LPDT680CE1-G1</v>
          </cell>
          <cell r="B3557">
            <v>409</v>
          </cell>
        </row>
        <row r="3558">
          <cell r="A3558" t="str">
            <v>1RE2LPDT680NE1-R1</v>
          </cell>
          <cell r="B3558">
            <v>597</v>
          </cell>
        </row>
        <row r="3559">
          <cell r="A3559" t="str">
            <v>1RE2LPDT680NE1-S1</v>
          </cell>
          <cell r="B3559">
            <v>597</v>
          </cell>
        </row>
        <row r="3560">
          <cell r="A3560" t="str">
            <v>1RE2LPDT680NE1ZA</v>
          </cell>
          <cell r="B3560">
            <v>593</v>
          </cell>
        </row>
        <row r="3561">
          <cell r="A3561" t="str">
            <v>1RE2LPDTU100C1ZA</v>
          </cell>
          <cell r="B3561">
            <v>164</v>
          </cell>
        </row>
        <row r="3562">
          <cell r="A3562" t="str">
            <v>1RE2LPFG510RCMZC</v>
          </cell>
          <cell r="B3562">
            <v>168</v>
          </cell>
        </row>
        <row r="3563">
          <cell r="A3563" t="str">
            <v>1RE2LPFG510RDMZC</v>
          </cell>
          <cell r="B3563">
            <v>168</v>
          </cell>
        </row>
        <row r="3564">
          <cell r="A3564" t="str">
            <v>1RE2LPFG520RCMVA</v>
          </cell>
          <cell r="B3564">
            <v>134</v>
          </cell>
        </row>
        <row r="3565">
          <cell r="A3565" t="str">
            <v>1RE2LPFG520RCMWA</v>
          </cell>
          <cell r="B3565">
            <v>134</v>
          </cell>
        </row>
        <row r="3566">
          <cell r="A3566" t="str">
            <v>1RE2LPFG520RCMYA</v>
          </cell>
          <cell r="B3566">
            <v>134</v>
          </cell>
        </row>
        <row r="3567">
          <cell r="A3567" t="str">
            <v>1RE2LPFG520RCMZA</v>
          </cell>
          <cell r="B3567">
            <v>131</v>
          </cell>
        </row>
        <row r="3568">
          <cell r="A3568" t="str">
            <v>1RE2LPFG520REMVA</v>
          </cell>
          <cell r="B3568">
            <v>134</v>
          </cell>
        </row>
        <row r="3569">
          <cell r="A3569" t="str">
            <v>1RE2LPFG520REMWA</v>
          </cell>
          <cell r="B3569">
            <v>134</v>
          </cell>
        </row>
        <row r="3570">
          <cell r="A3570" t="str">
            <v>1RE2LPFG520REMWAT1</v>
          </cell>
          <cell r="B3570">
            <v>134</v>
          </cell>
        </row>
        <row r="3571">
          <cell r="A3571" t="str">
            <v>1RE2LPFG520REMYA</v>
          </cell>
          <cell r="B3571">
            <v>134</v>
          </cell>
        </row>
        <row r="3572">
          <cell r="A3572" t="str">
            <v>1RE2LPFG520REMZA</v>
          </cell>
          <cell r="B3572">
            <v>131</v>
          </cell>
        </row>
        <row r="3573">
          <cell r="A3573" t="str">
            <v>1RE2LPFG810RAMUA</v>
          </cell>
          <cell r="B3573">
            <v>302</v>
          </cell>
        </row>
        <row r="3574">
          <cell r="A3574" t="str">
            <v>1RE2LPFG810RAMVA</v>
          </cell>
          <cell r="B3574">
            <v>302</v>
          </cell>
        </row>
        <row r="3575">
          <cell r="A3575" t="str">
            <v>1RE2LPFG810RAMWA</v>
          </cell>
          <cell r="B3575">
            <v>302</v>
          </cell>
        </row>
        <row r="3576">
          <cell r="A3576" t="str">
            <v>1RE2LPFG810RAMXA</v>
          </cell>
          <cell r="B3576">
            <v>319</v>
          </cell>
        </row>
        <row r="3577">
          <cell r="A3577" t="str">
            <v>1RE2LPFG810RAMYA</v>
          </cell>
          <cell r="B3577">
            <v>319</v>
          </cell>
        </row>
        <row r="3578">
          <cell r="A3578" t="str">
            <v>1RE2LPFG810RAMZAK4</v>
          </cell>
          <cell r="B3578">
            <v>319</v>
          </cell>
        </row>
        <row r="3579">
          <cell r="A3579" t="str">
            <v>1RE2LPFG810RDMUA</v>
          </cell>
          <cell r="B3579">
            <v>257</v>
          </cell>
        </row>
        <row r="3580">
          <cell r="A3580" t="str">
            <v>1RE2LPFG810RDMVA</v>
          </cell>
          <cell r="B3580">
            <v>257</v>
          </cell>
        </row>
        <row r="3581">
          <cell r="A3581" t="str">
            <v>1RE2LPFG810RDMWA</v>
          </cell>
          <cell r="B3581">
            <v>257</v>
          </cell>
        </row>
        <row r="3582">
          <cell r="A3582" t="str">
            <v>1RE2LPFG810RDMXA</v>
          </cell>
          <cell r="B3582">
            <v>268</v>
          </cell>
        </row>
        <row r="3583">
          <cell r="A3583" t="str">
            <v>1RE2LPFG810RDMYA</v>
          </cell>
          <cell r="B3583">
            <v>268</v>
          </cell>
        </row>
        <row r="3584">
          <cell r="A3584" t="str">
            <v>1RE2LPFG810RDMZAK4</v>
          </cell>
          <cell r="B3584">
            <v>268</v>
          </cell>
        </row>
        <row r="3585">
          <cell r="A3585" t="str">
            <v>1RE2LPFG810REMUA</v>
          </cell>
          <cell r="B3585">
            <v>255</v>
          </cell>
        </row>
        <row r="3586">
          <cell r="A3586" t="str">
            <v>1RE2LPFG810REMVA</v>
          </cell>
          <cell r="B3586">
            <v>255</v>
          </cell>
        </row>
        <row r="3587">
          <cell r="A3587" t="str">
            <v>1RE2LPFG810REMWA</v>
          </cell>
          <cell r="B3587">
            <v>255</v>
          </cell>
        </row>
        <row r="3588">
          <cell r="A3588" t="str">
            <v>1RE2LPFG810REMXA</v>
          </cell>
          <cell r="B3588">
            <v>266</v>
          </cell>
        </row>
        <row r="3589">
          <cell r="A3589" t="str">
            <v>1RE2LPFG810REMYA</v>
          </cell>
          <cell r="B3589">
            <v>266</v>
          </cell>
        </row>
        <row r="3590">
          <cell r="A3590" t="str">
            <v>1RE2LPFG810REMZAK4</v>
          </cell>
          <cell r="B3590">
            <v>266</v>
          </cell>
        </row>
        <row r="3591">
          <cell r="A3591" t="str">
            <v>1RE2LPGENBA1G1</v>
          </cell>
          <cell r="B3591">
            <v>182</v>
          </cell>
        </row>
        <row r="3592">
          <cell r="A3592" t="str">
            <v>1RE2LPGST100CER-S1</v>
          </cell>
          <cell r="B3592">
            <v>201</v>
          </cell>
        </row>
        <row r="3593">
          <cell r="A3593" t="str">
            <v>1RE2LPHDV1001YA</v>
          </cell>
          <cell r="B3593">
            <v>227</v>
          </cell>
        </row>
        <row r="3594">
          <cell r="A3594" t="str">
            <v>1RE2LPHDV1001ZA</v>
          </cell>
          <cell r="B3594">
            <v>245</v>
          </cell>
        </row>
        <row r="3595">
          <cell r="A3595" t="str">
            <v>1RE2LPHDV1001ZAS1</v>
          </cell>
          <cell r="B3595">
            <v>259</v>
          </cell>
        </row>
        <row r="3596">
          <cell r="A3596" t="str">
            <v>1RE2LPHDV1001ZAS2</v>
          </cell>
          <cell r="B3596">
            <v>262</v>
          </cell>
        </row>
        <row r="3597">
          <cell r="A3597" t="str">
            <v>1RE2LPHDV1001ZAS3</v>
          </cell>
          <cell r="B3597">
            <v>227</v>
          </cell>
        </row>
        <row r="3598">
          <cell r="A3598" t="str">
            <v>1RE2LPHDV100B1ZAS1</v>
          </cell>
          <cell r="B3598">
            <v>245</v>
          </cell>
        </row>
        <row r="3599">
          <cell r="A3599" t="str">
            <v>1RE2LPHDV100B1ZAS2</v>
          </cell>
          <cell r="B3599">
            <v>241</v>
          </cell>
        </row>
        <row r="3600">
          <cell r="A3600" t="str">
            <v>1RE2LPHDV100CN1YA</v>
          </cell>
          <cell r="B3600">
            <v>227</v>
          </cell>
        </row>
        <row r="3601">
          <cell r="A3601" t="str">
            <v>1RE2LPHDV100RU1YA</v>
          </cell>
          <cell r="B3601">
            <v>227</v>
          </cell>
        </row>
        <row r="3602">
          <cell r="A3602" t="str">
            <v>1RE2LPHDV1301YA</v>
          </cell>
          <cell r="B3602">
            <v>338</v>
          </cell>
        </row>
        <row r="3603">
          <cell r="A3603" t="str">
            <v>1RE2LPHDV1301ZA</v>
          </cell>
          <cell r="B3603">
            <v>355</v>
          </cell>
        </row>
        <row r="3604">
          <cell r="A3604" t="str">
            <v>1RE2LPHDV1301ZAS1</v>
          </cell>
          <cell r="B3604">
            <v>368</v>
          </cell>
        </row>
        <row r="3605">
          <cell r="A3605" t="str">
            <v>1RE2LPHDV1301ZAS2</v>
          </cell>
          <cell r="B3605">
            <v>371</v>
          </cell>
        </row>
        <row r="3606">
          <cell r="A3606" t="str">
            <v>1RE2LPHDV1301ZAS3</v>
          </cell>
          <cell r="B3606">
            <v>342</v>
          </cell>
        </row>
        <row r="3607">
          <cell r="A3607" t="str">
            <v>1RE2LPHDV130A011YA</v>
          </cell>
          <cell r="B3607">
            <v>338</v>
          </cell>
        </row>
        <row r="3608">
          <cell r="A3608" t="str">
            <v>1RE2LPHDV130B1ZAS1</v>
          </cell>
          <cell r="B3608">
            <v>358</v>
          </cell>
        </row>
        <row r="3609">
          <cell r="A3609" t="str">
            <v>1RE2LPHDV130B1ZAS2</v>
          </cell>
          <cell r="B3609">
            <v>357</v>
          </cell>
        </row>
        <row r="3610">
          <cell r="A3610" t="str">
            <v>1RE2LPHDV130C1YA</v>
          </cell>
          <cell r="B3610">
            <v>338</v>
          </cell>
        </row>
        <row r="3611">
          <cell r="A3611" t="str">
            <v>1RE2LPHDV130CN1YA</v>
          </cell>
          <cell r="B3611">
            <v>338</v>
          </cell>
        </row>
        <row r="3612">
          <cell r="A3612" t="str">
            <v>1RE2LPHDV130M1YA</v>
          </cell>
          <cell r="B3612">
            <v>338</v>
          </cell>
        </row>
        <row r="3613">
          <cell r="A3613" t="str">
            <v>1RE2LPHDV130N1ZA</v>
          </cell>
          <cell r="B3613">
            <v>338</v>
          </cell>
        </row>
        <row r="3614">
          <cell r="A3614" t="str">
            <v>1RE2LPHDV130RU1YA</v>
          </cell>
          <cell r="B3614">
            <v>338</v>
          </cell>
        </row>
        <row r="3615">
          <cell r="A3615" t="str">
            <v>1RE2LPHDV130SC1ZA</v>
          </cell>
          <cell r="B3615">
            <v>361</v>
          </cell>
        </row>
        <row r="3616">
          <cell r="A3616" t="str">
            <v>1RE2LPHDV130SCB1R1</v>
          </cell>
          <cell r="B3616">
            <v>361</v>
          </cell>
        </row>
        <row r="3617">
          <cell r="A3617" t="str">
            <v>1RE2LPHDV130X1YA</v>
          </cell>
          <cell r="B3617">
            <v>338</v>
          </cell>
        </row>
        <row r="3618">
          <cell r="A3618" t="str">
            <v>1RE2LPHDV201ZA</v>
          </cell>
          <cell r="B3618">
            <v>120</v>
          </cell>
        </row>
        <row r="3619">
          <cell r="A3619" t="str">
            <v>1RE2LPHDV201ZA-S1</v>
          </cell>
          <cell r="B3619">
            <v>10</v>
          </cell>
        </row>
        <row r="3620">
          <cell r="A3620" t="str">
            <v>1RE2LPHDV201ZA-S3</v>
          </cell>
          <cell r="B3620">
            <v>109</v>
          </cell>
        </row>
        <row r="3621">
          <cell r="A3621" t="str">
            <v>1RE2LPHDV201ZA-S5</v>
          </cell>
          <cell r="B3621">
            <v>114</v>
          </cell>
        </row>
        <row r="3622">
          <cell r="A3622" t="str">
            <v>1RE2LPHDV20N1ZA</v>
          </cell>
          <cell r="B3622">
            <v>120</v>
          </cell>
        </row>
        <row r="3623">
          <cell r="A3623" t="str">
            <v>1RE2LPHDV20N1ZAS1</v>
          </cell>
          <cell r="B3623">
            <v>120</v>
          </cell>
        </row>
        <row r="3624">
          <cell r="A3624" t="str">
            <v>1RE2LPHDV2301YA</v>
          </cell>
          <cell r="B3624">
            <v>454</v>
          </cell>
        </row>
        <row r="3625">
          <cell r="A3625" t="str">
            <v>1RE2LPHDV2301ZA</v>
          </cell>
          <cell r="B3625">
            <v>472</v>
          </cell>
        </row>
        <row r="3626">
          <cell r="A3626" t="str">
            <v>1RE2LPHDV2301ZA-S1</v>
          </cell>
          <cell r="B3626">
            <v>451</v>
          </cell>
        </row>
        <row r="3627">
          <cell r="A3627" t="str">
            <v>1RE2LPHDV2301ZA-S3</v>
          </cell>
          <cell r="B3627">
            <v>445</v>
          </cell>
        </row>
        <row r="3628">
          <cell r="A3628" t="str">
            <v>1RE2LPHDV2301ZA-S5</v>
          </cell>
          <cell r="B3628">
            <v>457</v>
          </cell>
        </row>
        <row r="3629">
          <cell r="A3629" t="str">
            <v>1RE2LPHDV2301ZA-S6</v>
          </cell>
          <cell r="B3629">
            <v>473</v>
          </cell>
        </row>
        <row r="3630">
          <cell r="A3630" t="str">
            <v>1RE2LPHDV2301ZA-T1</v>
          </cell>
          <cell r="B3630">
            <v>470</v>
          </cell>
        </row>
        <row r="3631">
          <cell r="A3631" t="str">
            <v>1RE2LPHDV2301ZA-T2</v>
          </cell>
          <cell r="B3631">
            <v>457</v>
          </cell>
        </row>
        <row r="3632">
          <cell r="A3632" t="str">
            <v>1RE2LPHDV2302ZA-S1</v>
          </cell>
          <cell r="B3632">
            <v>38</v>
          </cell>
        </row>
        <row r="3633">
          <cell r="A3633" t="str">
            <v>1RE2LPHDV230A021ZA</v>
          </cell>
          <cell r="B3633">
            <v>472</v>
          </cell>
        </row>
        <row r="3634">
          <cell r="A3634" t="str">
            <v>1RE2LPHDV230C1YA</v>
          </cell>
          <cell r="B3634">
            <v>454</v>
          </cell>
        </row>
        <row r="3635">
          <cell r="A3635" t="str">
            <v>1RE2LPHDV230C1ZA</v>
          </cell>
          <cell r="B3635">
            <v>472</v>
          </cell>
        </row>
        <row r="3636">
          <cell r="A3636" t="str">
            <v>1RE2LPHDV230M1YA</v>
          </cell>
          <cell r="B3636">
            <v>454</v>
          </cell>
        </row>
        <row r="3637">
          <cell r="A3637" t="str">
            <v>1RE2LPHDV230M1ZA</v>
          </cell>
          <cell r="B3637">
            <v>472</v>
          </cell>
        </row>
        <row r="3638">
          <cell r="A3638" t="str">
            <v>1RE2LPHDV230N1YA</v>
          </cell>
          <cell r="B3638">
            <v>454</v>
          </cell>
        </row>
        <row r="3639">
          <cell r="A3639" t="str">
            <v>1RE2LPHDV230N1ZA</v>
          </cell>
          <cell r="B3639">
            <v>472</v>
          </cell>
        </row>
        <row r="3640">
          <cell r="A3640" t="str">
            <v>1RE2LPHDV230N1ZAS1</v>
          </cell>
          <cell r="B3640">
            <v>472</v>
          </cell>
        </row>
        <row r="3641">
          <cell r="A3641" t="str">
            <v>1RE2LPHDV230RU1YA</v>
          </cell>
          <cell r="B3641">
            <v>454</v>
          </cell>
        </row>
        <row r="3642">
          <cell r="A3642" t="str">
            <v>1RE2LPHDV230RU1ZA</v>
          </cell>
          <cell r="B3642">
            <v>472</v>
          </cell>
        </row>
        <row r="3643">
          <cell r="A3643" t="str">
            <v>1RE2LPHDV230X1YA</v>
          </cell>
          <cell r="B3643">
            <v>454</v>
          </cell>
        </row>
        <row r="3644">
          <cell r="A3644" t="str">
            <v>1RE2LPHDV230X1ZA</v>
          </cell>
          <cell r="B3644">
            <v>472</v>
          </cell>
        </row>
        <row r="3645">
          <cell r="A3645" t="str">
            <v>1RE2LPHDV3301YA</v>
          </cell>
          <cell r="B3645">
            <v>441</v>
          </cell>
        </row>
        <row r="3646">
          <cell r="A3646" t="str">
            <v>1RE2LPHDV3301ZA</v>
          </cell>
          <cell r="B3646">
            <v>457</v>
          </cell>
        </row>
        <row r="3647">
          <cell r="A3647" t="str">
            <v>1RE2LPHDV3301ZA-S1</v>
          </cell>
          <cell r="B3647">
            <v>464</v>
          </cell>
        </row>
        <row r="3648">
          <cell r="A3648" t="str">
            <v>1RE2LPHDV3301ZA-S2</v>
          </cell>
          <cell r="B3648">
            <v>422</v>
          </cell>
        </row>
        <row r="3649">
          <cell r="A3649" t="str">
            <v>1RE2LPHDV3301ZA-S3</v>
          </cell>
          <cell r="B3649">
            <v>422</v>
          </cell>
        </row>
        <row r="3650">
          <cell r="A3650" t="str">
            <v>1RE2LPHDV3301ZA-S5</v>
          </cell>
          <cell r="B3650">
            <v>457</v>
          </cell>
        </row>
        <row r="3651">
          <cell r="A3651" t="str">
            <v>1RE2LPHDV3301ZA-T1</v>
          </cell>
          <cell r="B3651">
            <v>447</v>
          </cell>
        </row>
        <row r="3652">
          <cell r="A3652" t="str">
            <v>1RE2LPHDV3301ZA-T2</v>
          </cell>
          <cell r="B3652">
            <v>443</v>
          </cell>
        </row>
        <row r="3653">
          <cell r="A3653" t="str">
            <v>1RE2LPHDV330A021ZA</v>
          </cell>
          <cell r="B3653">
            <v>457</v>
          </cell>
        </row>
        <row r="3654">
          <cell r="A3654" t="str">
            <v>1RE2LPHDV330C1YA</v>
          </cell>
          <cell r="B3654">
            <v>442</v>
          </cell>
        </row>
        <row r="3655">
          <cell r="A3655" t="str">
            <v>1RE2LPHDV330C1ZA</v>
          </cell>
          <cell r="B3655">
            <v>457</v>
          </cell>
        </row>
        <row r="3656">
          <cell r="A3656" t="str">
            <v>1RE2LPHDV330M1ZA</v>
          </cell>
          <cell r="B3656">
            <v>457</v>
          </cell>
        </row>
        <row r="3657">
          <cell r="A3657" t="str">
            <v>1RE2LPHDV330N1ZA</v>
          </cell>
          <cell r="B3657">
            <v>457</v>
          </cell>
        </row>
        <row r="3658">
          <cell r="A3658" t="str">
            <v>1RE2LPHDV330N1ZAS1</v>
          </cell>
          <cell r="B3658">
            <v>457</v>
          </cell>
        </row>
        <row r="3659">
          <cell r="A3659" t="str">
            <v>1RE2LPHDV330RU1YA</v>
          </cell>
          <cell r="B3659">
            <v>443</v>
          </cell>
        </row>
        <row r="3660">
          <cell r="A3660" t="str">
            <v>1RE2LPHDV330RU1ZA</v>
          </cell>
          <cell r="B3660">
            <v>457</v>
          </cell>
        </row>
        <row r="3661">
          <cell r="A3661" t="str">
            <v>1RE2LPHDV330X1YA</v>
          </cell>
          <cell r="B3661">
            <v>443</v>
          </cell>
        </row>
        <row r="3662">
          <cell r="A3662" t="str">
            <v>1RE2LPHDV330X1ZA</v>
          </cell>
          <cell r="B3662">
            <v>457</v>
          </cell>
        </row>
        <row r="3663">
          <cell r="A3663" t="str">
            <v>1RE2LPHDV3401ZA</v>
          </cell>
          <cell r="B3663">
            <v>444</v>
          </cell>
        </row>
        <row r="3664">
          <cell r="A3664" t="str">
            <v>1RE2LPHDV340M1ZA</v>
          </cell>
          <cell r="B3664">
            <v>444</v>
          </cell>
        </row>
        <row r="3665">
          <cell r="A3665" t="str">
            <v>1RE2LPHDV340X1ZA</v>
          </cell>
          <cell r="B3665">
            <v>444</v>
          </cell>
        </row>
        <row r="3666">
          <cell r="A3666" t="str">
            <v>1RE2LPHDV4301ZA</v>
          </cell>
          <cell r="B3666">
            <v>538</v>
          </cell>
        </row>
        <row r="3667">
          <cell r="A3667" t="str">
            <v>1RE2LPHDV4301ZAG1</v>
          </cell>
          <cell r="B3667">
            <v>256</v>
          </cell>
        </row>
        <row r="3668">
          <cell r="A3668" t="str">
            <v>1RE2LPHDV4301ZAG2</v>
          </cell>
          <cell r="B3668">
            <v>534</v>
          </cell>
        </row>
        <row r="3669">
          <cell r="A3669" t="str">
            <v>1RE2LPHDV4301ZA-R1</v>
          </cell>
          <cell r="B3669">
            <v>538</v>
          </cell>
        </row>
        <row r="3670">
          <cell r="A3670" t="str">
            <v>1RE2LPHDV4301ZA-S1</v>
          </cell>
          <cell r="B3670">
            <v>512</v>
          </cell>
        </row>
        <row r="3671">
          <cell r="A3671" t="str">
            <v>1RE2LPHDV4301ZA-S2</v>
          </cell>
          <cell r="B3671">
            <v>447</v>
          </cell>
        </row>
        <row r="3672">
          <cell r="A3672" t="str">
            <v>1RE2LPHDV4301ZA-S3</v>
          </cell>
          <cell r="B3672">
            <v>500</v>
          </cell>
        </row>
        <row r="3673">
          <cell r="A3673" t="str">
            <v>1RE2LPHDV4302ZA</v>
          </cell>
          <cell r="B3673">
            <v>59</v>
          </cell>
        </row>
        <row r="3674">
          <cell r="A3674" t="str">
            <v>1RE2LPHDV4302ZA-R1</v>
          </cell>
          <cell r="B3674">
            <v>60</v>
          </cell>
        </row>
        <row r="3675">
          <cell r="A3675" t="str">
            <v>1RE2LPHDV4302ZA-S1</v>
          </cell>
          <cell r="B3675">
            <v>72</v>
          </cell>
        </row>
        <row r="3676">
          <cell r="A3676" t="str">
            <v>1RE2LPHDV4302ZA-S2</v>
          </cell>
          <cell r="B3676">
            <v>69</v>
          </cell>
        </row>
        <row r="3677">
          <cell r="A3677" t="str">
            <v>1RE2LPHDV4302ZA-S3</v>
          </cell>
          <cell r="B3677">
            <v>59</v>
          </cell>
        </row>
        <row r="3678">
          <cell r="A3678" t="str">
            <v>1RE2LPHDV430C1ZA</v>
          </cell>
          <cell r="B3678">
            <v>538</v>
          </cell>
        </row>
        <row r="3679">
          <cell r="A3679" t="str">
            <v>1RE2LPHDV430C2ZA</v>
          </cell>
          <cell r="B3679">
            <v>60</v>
          </cell>
        </row>
        <row r="3680">
          <cell r="A3680" t="str">
            <v>1RE2LPHDV430M1ZA</v>
          </cell>
          <cell r="B3680">
            <v>500</v>
          </cell>
        </row>
        <row r="3681">
          <cell r="A3681" t="str">
            <v>1RE2LPHDV430M2ZA</v>
          </cell>
          <cell r="B3681">
            <v>60</v>
          </cell>
        </row>
        <row r="3682">
          <cell r="A3682" t="str">
            <v>1RE2LPHDV430N1ZA</v>
          </cell>
          <cell r="B3682">
            <v>538</v>
          </cell>
        </row>
        <row r="3683">
          <cell r="A3683" t="str">
            <v>1RE2LPHDV430N1ZAS1</v>
          </cell>
          <cell r="B3683">
            <v>538</v>
          </cell>
        </row>
        <row r="3684">
          <cell r="A3684" t="str">
            <v>1RE2LPHDV430N2ZA</v>
          </cell>
          <cell r="B3684">
            <v>60</v>
          </cell>
        </row>
        <row r="3685">
          <cell r="A3685" t="str">
            <v>1RE2LPHDV430N2ZAS1</v>
          </cell>
          <cell r="B3685">
            <v>60</v>
          </cell>
        </row>
        <row r="3686">
          <cell r="A3686" t="str">
            <v>1RE2LPHDV430RU1ZA</v>
          </cell>
          <cell r="B3686">
            <v>538</v>
          </cell>
        </row>
        <row r="3687">
          <cell r="A3687" t="str">
            <v>1RE2LPHDV430RU2ZA</v>
          </cell>
          <cell r="B3687">
            <v>60</v>
          </cell>
        </row>
        <row r="3688">
          <cell r="A3688" t="str">
            <v>1RE2LPHDV430X1ZA</v>
          </cell>
          <cell r="B3688">
            <v>538</v>
          </cell>
        </row>
        <row r="3689">
          <cell r="A3689" t="str">
            <v>1RE2LPHDV430X2ZA</v>
          </cell>
          <cell r="B3689">
            <v>60</v>
          </cell>
        </row>
        <row r="3690">
          <cell r="A3690" t="str">
            <v>1RE2LPHDV8001ZAG1</v>
          </cell>
          <cell r="B3690">
            <v>374</v>
          </cell>
        </row>
        <row r="3691">
          <cell r="A3691" t="str">
            <v>1RE2LPHDV8001ZAS1</v>
          </cell>
          <cell r="B3691">
            <v>319</v>
          </cell>
        </row>
        <row r="3692">
          <cell r="A3692" t="str">
            <v>1RE2LPHDV8002ZAG1</v>
          </cell>
          <cell r="B3692">
            <v>51</v>
          </cell>
        </row>
        <row r="3693">
          <cell r="A3693" t="str">
            <v>1RE2LPHDV8002ZAS1</v>
          </cell>
          <cell r="B3693">
            <v>48</v>
          </cell>
        </row>
        <row r="3694">
          <cell r="A3694" t="str">
            <v>1RE2LPHT82460XR1</v>
          </cell>
          <cell r="B3694">
            <v>182</v>
          </cell>
        </row>
        <row r="3695">
          <cell r="A3695" t="str">
            <v>1RE2LPHT82460XS1</v>
          </cell>
          <cell r="B3695">
            <v>205</v>
          </cell>
        </row>
        <row r="3696">
          <cell r="A3696" t="str">
            <v>1RE2LPHT82460XS5</v>
          </cell>
          <cell r="B3696">
            <v>182</v>
          </cell>
        </row>
        <row r="3697">
          <cell r="A3697" t="str">
            <v>1RE2LPHT82460XS6</v>
          </cell>
          <cell r="B3697">
            <v>182</v>
          </cell>
        </row>
        <row r="3698">
          <cell r="A3698" t="str">
            <v>1RE2LPHT82460XZA</v>
          </cell>
          <cell r="B3698">
            <v>183</v>
          </cell>
        </row>
        <row r="3699">
          <cell r="A3699" t="str">
            <v>1RE2LPHT82470MLR1</v>
          </cell>
          <cell r="B3699">
            <v>235</v>
          </cell>
        </row>
        <row r="3700">
          <cell r="A3700" t="str">
            <v>1RE2LPHT82470MLS6</v>
          </cell>
          <cell r="B3700">
            <v>235</v>
          </cell>
        </row>
        <row r="3701">
          <cell r="A3701" t="str">
            <v>1RE2LPHT82470MLZA</v>
          </cell>
          <cell r="B3701">
            <v>235</v>
          </cell>
        </row>
        <row r="3702">
          <cell r="A3702" t="str">
            <v>1RE2LPHT82470XR1</v>
          </cell>
          <cell r="B3702">
            <v>238</v>
          </cell>
        </row>
        <row r="3703">
          <cell r="A3703" t="str">
            <v>1RE2LPHT82470XS1</v>
          </cell>
          <cell r="B3703">
            <v>191</v>
          </cell>
        </row>
        <row r="3704">
          <cell r="A3704" t="str">
            <v>1RE2LPHT82470XS4</v>
          </cell>
          <cell r="B3704">
            <v>234</v>
          </cell>
        </row>
        <row r="3705">
          <cell r="A3705" t="str">
            <v>1RE2LPHT82470XS5</v>
          </cell>
          <cell r="B3705">
            <v>219</v>
          </cell>
        </row>
        <row r="3706">
          <cell r="A3706" t="str">
            <v>1RE2LPHT82470XS6</v>
          </cell>
          <cell r="B3706">
            <v>219</v>
          </cell>
        </row>
        <row r="3707">
          <cell r="A3707" t="str">
            <v>1RE2LPHT82470XZA</v>
          </cell>
          <cell r="B3707">
            <v>219</v>
          </cell>
        </row>
        <row r="3708">
          <cell r="A3708" t="str">
            <v>1RE2LPHT82480AGR1</v>
          </cell>
          <cell r="B3708">
            <v>238</v>
          </cell>
        </row>
        <row r="3709">
          <cell r="A3709" t="str">
            <v>1RE2LPHT82480AGS5</v>
          </cell>
          <cell r="B3709">
            <v>239</v>
          </cell>
        </row>
        <row r="3710">
          <cell r="A3710" t="str">
            <v>1RE2LPHT82480AGS6</v>
          </cell>
          <cell r="B3710">
            <v>239</v>
          </cell>
        </row>
        <row r="3711">
          <cell r="A3711" t="str">
            <v>1RE2LPHT82480AGZA</v>
          </cell>
          <cell r="B3711">
            <v>249</v>
          </cell>
        </row>
        <row r="3712">
          <cell r="A3712" t="str">
            <v>1RE2LPHT82480ALR1</v>
          </cell>
          <cell r="B3712">
            <v>250</v>
          </cell>
        </row>
        <row r="3713">
          <cell r="A3713" t="str">
            <v>1RE2LPHT82480ALS5</v>
          </cell>
          <cell r="B3713">
            <v>251</v>
          </cell>
        </row>
        <row r="3714">
          <cell r="A3714" t="str">
            <v>1RE2LPHT82480ALS6</v>
          </cell>
          <cell r="B3714">
            <v>251</v>
          </cell>
        </row>
        <row r="3715">
          <cell r="A3715" t="str">
            <v>1RE2LPHT82480BRR1</v>
          </cell>
          <cell r="B3715">
            <v>226</v>
          </cell>
        </row>
        <row r="3716">
          <cell r="A3716" t="str">
            <v>1RE2LPHT82480BRS5</v>
          </cell>
          <cell r="B3716">
            <v>227</v>
          </cell>
        </row>
        <row r="3717">
          <cell r="A3717" t="str">
            <v>1RE2LPHT82480BRS6</v>
          </cell>
          <cell r="B3717">
            <v>227</v>
          </cell>
        </row>
        <row r="3718">
          <cell r="A3718" t="str">
            <v>1RE2LPHT82480BRZA</v>
          </cell>
          <cell r="B3718">
            <v>238</v>
          </cell>
        </row>
        <row r="3719">
          <cell r="A3719" t="str">
            <v>1RE2LPHT82480MR1</v>
          </cell>
          <cell r="B3719">
            <v>238</v>
          </cell>
        </row>
        <row r="3720">
          <cell r="A3720" t="str">
            <v>1RE2LPHT82480MS6</v>
          </cell>
          <cell r="B3720">
            <v>239</v>
          </cell>
        </row>
        <row r="3721">
          <cell r="A3721" t="str">
            <v>1RE2LPHT82480MZA</v>
          </cell>
          <cell r="B3721">
            <v>249</v>
          </cell>
        </row>
        <row r="3722">
          <cell r="A3722" t="str">
            <v>1RE2LPHT82480NZR1</v>
          </cell>
          <cell r="B3722">
            <v>238</v>
          </cell>
        </row>
        <row r="3723">
          <cell r="A3723" t="str">
            <v>1RE2LPHT82480NZS5</v>
          </cell>
          <cell r="B3723">
            <v>239</v>
          </cell>
        </row>
        <row r="3724">
          <cell r="A3724" t="str">
            <v>1RE2LPHT82480NZS6</v>
          </cell>
          <cell r="B3724">
            <v>239</v>
          </cell>
        </row>
        <row r="3725">
          <cell r="A3725" t="str">
            <v>1RE2LPHT82480NZZA</v>
          </cell>
          <cell r="B3725">
            <v>249</v>
          </cell>
        </row>
        <row r="3726">
          <cell r="A3726" t="str">
            <v>1RE2LPHT82480SAR1</v>
          </cell>
          <cell r="B3726">
            <v>238</v>
          </cell>
        </row>
        <row r="3727">
          <cell r="A3727" t="str">
            <v>1RE2LPHT82480SAS5</v>
          </cell>
          <cell r="B3727">
            <v>239</v>
          </cell>
        </row>
        <row r="3728">
          <cell r="A3728" t="str">
            <v>1RE2LPHT82480SAS6</v>
          </cell>
          <cell r="B3728">
            <v>239</v>
          </cell>
        </row>
        <row r="3729">
          <cell r="A3729" t="str">
            <v>1RE2LPHT82480SAZA</v>
          </cell>
          <cell r="B3729">
            <v>249</v>
          </cell>
        </row>
        <row r="3730">
          <cell r="A3730" t="str">
            <v>1RE2LPHT82480SXZA</v>
          </cell>
          <cell r="B3730">
            <v>249</v>
          </cell>
        </row>
        <row r="3731">
          <cell r="A3731" t="str">
            <v>1RE2LPHT82480TWR1</v>
          </cell>
          <cell r="B3731">
            <v>238</v>
          </cell>
        </row>
        <row r="3732">
          <cell r="A3732" t="str">
            <v>1RE2LPHT82480TWS5</v>
          </cell>
          <cell r="B3732">
            <v>239</v>
          </cell>
        </row>
        <row r="3733">
          <cell r="A3733" t="str">
            <v>1RE2LPHT82480TWS6</v>
          </cell>
          <cell r="B3733">
            <v>239</v>
          </cell>
        </row>
        <row r="3734">
          <cell r="A3734" t="str">
            <v>1RE2LPHT82480TWZA</v>
          </cell>
          <cell r="B3734">
            <v>249</v>
          </cell>
        </row>
        <row r="3735">
          <cell r="A3735" t="str">
            <v>1RE2LPHT82480XR1</v>
          </cell>
          <cell r="B3735">
            <v>238</v>
          </cell>
        </row>
        <row r="3736">
          <cell r="A3736" t="str">
            <v>1RE2LPHT82480XS1</v>
          </cell>
          <cell r="B3736">
            <v>236</v>
          </cell>
        </row>
        <row r="3737">
          <cell r="A3737" t="str">
            <v>1RE2LPHT82480XS4</v>
          </cell>
          <cell r="B3737">
            <v>242</v>
          </cell>
        </row>
        <row r="3738">
          <cell r="A3738" t="str">
            <v>1RE2LPHT82480XS5</v>
          </cell>
          <cell r="B3738">
            <v>239</v>
          </cell>
        </row>
        <row r="3739">
          <cell r="A3739" t="str">
            <v>1RE2LPHT82480XS6</v>
          </cell>
          <cell r="B3739">
            <v>239</v>
          </cell>
        </row>
        <row r="3740">
          <cell r="A3740" t="str">
            <v>1RE2LPHT82480XZA</v>
          </cell>
          <cell r="B3740">
            <v>249</v>
          </cell>
        </row>
        <row r="3741">
          <cell r="A3741" t="str">
            <v>1RE2LPHTS32AG1ZAR1</v>
          </cell>
          <cell r="B3741">
            <v>629</v>
          </cell>
        </row>
        <row r="3742">
          <cell r="A3742" t="str">
            <v>1RE2LPHTS32AG1ZAS3</v>
          </cell>
          <cell r="B3742">
            <v>689</v>
          </cell>
        </row>
        <row r="3743">
          <cell r="A3743" t="str">
            <v>1RE2LPHTS32AG2R1</v>
          </cell>
          <cell r="B3743">
            <v>695</v>
          </cell>
        </row>
        <row r="3744">
          <cell r="A3744" t="str">
            <v>1RE2LPHTS32AG2S5</v>
          </cell>
          <cell r="B3744">
            <v>695</v>
          </cell>
        </row>
        <row r="3745">
          <cell r="A3745" t="str">
            <v>1RE2LPHTS32AG2S6</v>
          </cell>
          <cell r="B3745">
            <v>695</v>
          </cell>
        </row>
        <row r="3746">
          <cell r="A3746" t="str">
            <v>1RE2LPHTS32AG2ZA</v>
          </cell>
          <cell r="B3746">
            <v>687</v>
          </cell>
        </row>
        <row r="3747">
          <cell r="A3747" t="str">
            <v>1RE2LPHTS32AL1ZA</v>
          </cell>
          <cell r="B3747">
            <v>707</v>
          </cell>
        </row>
        <row r="3748">
          <cell r="A3748" t="str">
            <v>1RE2LPHTS32AL1ZAR1</v>
          </cell>
          <cell r="B3748">
            <v>629</v>
          </cell>
        </row>
        <row r="3749">
          <cell r="A3749" t="str">
            <v>1RE2LPHTS32AL1ZAS3</v>
          </cell>
          <cell r="B3749">
            <v>707</v>
          </cell>
        </row>
        <row r="3750">
          <cell r="A3750" t="str">
            <v>1RE2LPHTS32AL2R1</v>
          </cell>
          <cell r="B3750">
            <v>679</v>
          </cell>
        </row>
        <row r="3751">
          <cell r="A3751" t="str">
            <v>1RE2LPHTS32AL2S5</v>
          </cell>
          <cell r="B3751">
            <v>679</v>
          </cell>
        </row>
        <row r="3752">
          <cell r="A3752" t="str">
            <v>1RE2LPHTS32AL2S6</v>
          </cell>
          <cell r="B3752">
            <v>679</v>
          </cell>
        </row>
        <row r="3753">
          <cell r="A3753" t="str">
            <v>1RE2LPHTS32BR1ZAR1</v>
          </cell>
          <cell r="B3753">
            <v>629</v>
          </cell>
        </row>
        <row r="3754">
          <cell r="A3754" t="str">
            <v>1RE2LPHTS32BR1ZAS3</v>
          </cell>
          <cell r="B3754">
            <v>689</v>
          </cell>
        </row>
        <row r="3755">
          <cell r="A3755" t="str">
            <v>1RE2LPHTS32BR2R1</v>
          </cell>
          <cell r="B3755">
            <v>684</v>
          </cell>
        </row>
        <row r="3756">
          <cell r="A3756" t="str">
            <v>1RE2LPHTS32BR2S5</v>
          </cell>
          <cell r="B3756">
            <v>684</v>
          </cell>
        </row>
        <row r="3757">
          <cell r="A3757" t="str">
            <v>1RE2LPHTS32BR2S6</v>
          </cell>
          <cell r="B3757">
            <v>684</v>
          </cell>
        </row>
        <row r="3758">
          <cell r="A3758" t="str">
            <v>1RE2LPHTS32BR2ZA</v>
          </cell>
          <cell r="B3758">
            <v>676</v>
          </cell>
        </row>
        <row r="3759">
          <cell r="A3759" t="str">
            <v>1RE2LPHTS32LA1ZA</v>
          </cell>
          <cell r="B3759">
            <v>695</v>
          </cell>
        </row>
        <row r="3760">
          <cell r="A3760" t="str">
            <v>1RE2LPHTS32LA1ZAR1</v>
          </cell>
          <cell r="B3760">
            <v>629</v>
          </cell>
        </row>
        <row r="3761">
          <cell r="A3761" t="str">
            <v>1RE2LPHTS32LA1ZAS3</v>
          </cell>
          <cell r="B3761">
            <v>689</v>
          </cell>
        </row>
        <row r="3762">
          <cell r="A3762" t="str">
            <v>1RE2LPHTS32LA2R1</v>
          </cell>
          <cell r="B3762">
            <v>687</v>
          </cell>
        </row>
        <row r="3763">
          <cell r="A3763" t="str">
            <v>1RE2LPHTS32LA2S4</v>
          </cell>
          <cell r="B3763">
            <v>712</v>
          </cell>
        </row>
        <row r="3764">
          <cell r="A3764" t="str">
            <v>1RE2LPHTS32LA2S5</v>
          </cell>
          <cell r="B3764">
            <v>687</v>
          </cell>
        </row>
        <row r="3765">
          <cell r="A3765" t="str">
            <v>1RE2LPHTS32LA2S6</v>
          </cell>
          <cell r="B3765">
            <v>687</v>
          </cell>
        </row>
        <row r="3766">
          <cell r="A3766" t="str">
            <v>1RE2LPHTS32LA2ZA</v>
          </cell>
          <cell r="B3766">
            <v>679</v>
          </cell>
        </row>
        <row r="3767">
          <cell r="A3767" t="str">
            <v>1RE2LPHTS32M1ZAR1</v>
          </cell>
          <cell r="B3767">
            <v>629</v>
          </cell>
        </row>
        <row r="3768">
          <cell r="A3768" t="str">
            <v>1RE2LPHTS32M2R1</v>
          </cell>
          <cell r="B3768">
            <v>687</v>
          </cell>
        </row>
        <row r="3769">
          <cell r="A3769" t="str">
            <v>1RE2LPHTS32M2S3</v>
          </cell>
          <cell r="B3769">
            <v>692</v>
          </cell>
        </row>
        <row r="3770">
          <cell r="A3770" t="str">
            <v>1RE2LPHTS32M2S5</v>
          </cell>
          <cell r="B3770">
            <v>687</v>
          </cell>
        </row>
        <row r="3771">
          <cell r="A3771" t="str">
            <v>1RE2LPHTS32M2S6</v>
          </cell>
          <cell r="B3771">
            <v>687</v>
          </cell>
        </row>
        <row r="3772">
          <cell r="A3772" t="str">
            <v>1RE2LPHTS32M2ZA</v>
          </cell>
          <cell r="B3772">
            <v>679</v>
          </cell>
        </row>
        <row r="3773">
          <cell r="A3773" t="str">
            <v>1RE2LPHTS32ML1ZAR1</v>
          </cell>
          <cell r="B3773">
            <v>629</v>
          </cell>
        </row>
        <row r="3774">
          <cell r="A3774" t="str">
            <v>1RE2LPHTS32ML1ZAS3</v>
          </cell>
          <cell r="B3774">
            <v>711</v>
          </cell>
        </row>
        <row r="3775">
          <cell r="A3775" t="str">
            <v>1RE2LPHTS32ML2R1</v>
          </cell>
          <cell r="B3775">
            <v>671</v>
          </cell>
        </row>
        <row r="3776">
          <cell r="A3776" t="str">
            <v>1RE2LPHTS32ML2S5</v>
          </cell>
          <cell r="B3776">
            <v>671</v>
          </cell>
        </row>
        <row r="3777">
          <cell r="A3777" t="str">
            <v>1RE2LPHTS32ML2S6</v>
          </cell>
          <cell r="B3777">
            <v>671</v>
          </cell>
        </row>
        <row r="3778">
          <cell r="A3778" t="str">
            <v>1RE2LPHTS32ML2ZA</v>
          </cell>
          <cell r="B3778">
            <v>670</v>
          </cell>
        </row>
        <row r="3779">
          <cell r="A3779" t="str">
            <v>1RE2LPHTS32NZ1ZA</v>
          </cell>
          <cell r="B3779">
            <v>695</v>
          </cell>
        </row>
        <row r="3780">
          <cell r="A3780" t="str">
            <v>1RE2LPHTS32NZ1ZAR1</v>
          </cell>
          <cell r="B3780">
            <v>629</v>
          </cell>
        </row>
        <row r="3781">
          <cell r="A3781" t="str">
            <v>1RE2LPHTS32NZ1ZAS3</v>
          </cell>
          <cell r="B3781">
            <v>695</v>
          </cell>
        </row>
        <row r="3782">
          <cell r="A3782" t="str">
            <v>1RE2LPHTS32NZ2R1</v>
          </cell>
          <cell r="B3782">
            <v>687</v>
          </cell>
        </row>
        <row r="3783">
          <cell r="A3783" t="str">
            <v>1RE2LPHTS32NZ2S5</v>
          </cell>
          <cell r="B3783">
            <v>687</v>
          </cell>
        </row>
        <row r="3784">
          <cell r="A3784" t="str">
            <v>1RE2LPHTS32NZ2S6</v>
          </cell>
          <cell r="B3784">
            <v>687</v>
          </cell>
        </row>
        <row r="3785">
          <cell r="A3785" t="str">
            <v>1RE2LPHTS32NZ2ZA</v>
          </cell>
          <cell r="B3785">
            <v>679</v>
          </cell>
        </row>
        <row r="3786">
          <cell r="A3786" t="str">
            <v>1RE2LPHTS32SA1ZAR1</v>
          </cell>
          <cell r="B3786">
            <v>629</v>
          </cell>
        </row>
        <row r="3787">
          <cell r="A3787" t="str">
            <v>1RE2LPHTS32SA1ZAS3</v>
          </cell>
          <cell r="B3787">
            <v>695</v>
          </cell>
        </row>
        <row r="3788">
          <cell r="A3788" t="str">
            <v>1RE2LPHTS32SA2R1</v>
          </cell>
          <cell r="B3788">
            <v>691</v>
          </cell>
        </row>
        <row r="3789">
          <cell r="A3789" t="str">
            <v>1RE2LPHTS32SA2S5</v>
          </cell>
          <cell r="B3789">
            <v>691</v>
          </cell>
        </row>
        <row r="3790">
          <cell r="A3790" t="str">
            <v>1RE2LPHTS32SA2S6</v>
          </cell>
          <cell r="B3790">
            <v>691</v>
          </cell>
        </row>
        <row r="3791">
          <cell r="A3791" t="str">
            <v>1RE2LPHTS32SA2ZA</v>
          </cell>
          <cell r="B3791">
            <v>683</v>
          </cell>
        </row>
        <row r="3792">
          <cell r="A3792" t="str">
            <v>1RE2LPHTS32SX2ZA</v>
          </cell>
          <cell r="B3792">
            <v>679</v>
          </cell>
        </row>
        <row r="3793">
          <cell r="A3793" t="str">
            <v>1RE2LPHTS32TW1ZAR1</v>
          </cell>
          <cell r="B3793">
            <v>629</v>
          </cell>
        </row>
        <row r="3794">
          <cell r="A3794" t="str">
            <v>1RE2LPHTS32TW1ZAS3</v>
          </cell>
          <cell r="B3794">
            <v>695</v>
          </cell>
        </row>
        <row r="3795">
          <cell r="A3795" t="str">
            <v>1RE2LPHTS32TW2R1</v>
          </cell>
          <cell r="B3795">
            <v>687</v>
          </cell>
        </row>
        <row r="3796">
          <cell r="A3796" t="str">
            <v>1RE2LPHTS32TW2S5</v>
          </cell>
          <cell r="B3796">
            <v>687</v>
          </cell>
        </row>
        <row r="3797">
          <cell r="A3797" t="str">
            <v>1RE2LPHTS32TW2S6</v>
          </cell>
          <cell r="B3797">
            <v>687</v>
          </cell>
        </row>
        <row r="3798">
          <cell r="A3798" t="str">
            <v>1RE2LPHTS32TW2ZA</v>
          </cell>
          <cell r="B3798">
            <v>679</v>
          </cell>
        </row>
        <row r="3799">
          <cell r="A3799" t="str">
            <v>1RE2LPHTSBASELAS1</v>
          </cell>
          <cell r="B3799">
            <v>631</v>
          </cell>
        </row>
        <row r="3800">
          <cell r="A3800" t="str">
            <v>1RE2LPMB2110RUMZA</v>
          </cell>
          <cell r="B3800">
            <v>283</v>
          </cell>
        </row>
        <row r="3801">
          <cell r="A3801" t="str">
            <v>1RE2LPMB2117RUMZA</v>
          </cell>
          <cell r="B3801">
            <v>309</v>
          </cell>
        </row>
        <row r="3802">
          <cell r="A3802" t="str">
            <v>1RE2LPMB2120CXMZA</v>
          </cell>
          <cell r="B3802">
            <v>351</v>
          </cell>
        </row>
        <row r="3803">
          <cell r="A3803" t="str">
            <v>1RE2LPMB2120GMYA</v>
          </cell>
          <cell r="B3803">
            <v>346</v>
          </cell>
        </row>
        <row r="3804">
          <cell r="A3804" t="str">
            <v>1RE2LPMB2120GMZA</v>
          </cell>
          <cell r="B3804">
            <v>344</v>
          </cell>
        </row>
        <row r="3805">
          <cell r="A3805" t="str">
            <v>1RE2LPMB2120HXMYA</v>
          </cell>
          <cell r="B3805">
            <v>353</v>
          </cell>
        </row>
        <row r="3806">
          <cell r="A3806" t="str">
            <v>1RE2LPMB2120HXMZA</v>
          </cell>
          <cell r="B3806">
            <v>351</v>
          </cell>
        </row>
        <row r="3807">
          <cell r="A3807" t="str">
            <v>1RE2LPMB2120JTMYA</v>
          </cell>
          <cell r="B3807">
            <v>346</v>
          </cell>
        </row>
        <row r="3808">
          <cell r="A3808" t="str">
            <v>1RE2LPMB2120JTMZA</v>
          </cell>
          <cell r="B3808">
            <v>344</v>
          </cell>
        </row>
        <row r="3809">
          <cell r="A3809" t="str">
            <v>1RE2LPMB2120SXMZA</v>
          </cell>
          <cell r="B3809">
            <v>335</v>
          </cell>
        </row>
        <row r="3810">
          <cell r="A3810" t="str">
            <v>1RE2LPMB2123CNM-R1</v>
          </cell>
          <cell r="B3810">
            <v>347</v>
          </cell>
        </row>
        <row r="3811">
          <cell r="A3811" t="str">
            <v>1RE2LPMB2123CNMZA</v>
          </cell>
          <cell r="B3811">
            <v>347</v>
          </cell>
        </row>
        <row r="3812">
          <cell r="A3812" t="str">
            <v>1RE2LPMB2128CNMZA</v>
          </cell>
          <cell r="B3812">
            <v>353</v>
          </cell>
        </row>
        <row r="3813">
          <cell r="A3813" t="str">
            <v>1RE2LPMB2128TWMZA</v>
          </cell>
          <cell r="B3813">
            <v>356</v>
          </cell>
        </row>
        <row r="3814">
          <cell r="A3814" t="str">
            <v>1RE2LPMB2130CXM-R1</v>
          </cell>
          <cell r="B3814">
            <v>373</v>
          </cell>
        </row>
        <row r="3815">
          <cell r="A3815" t="str">
            <v>1RE2LPMB2130CXMZA</v>
          </cell>
          <cell r="B3815">
            <v>367</v>
          </cell>
        </row>
        <row r="3816">
          <cell r="A3816" t="str">
            <v>1RE2LPMB2130GMYA</v>
          </cell>
          <cell r="B3816">
            <v>362</v>
          </cell>
        </row>
        <row r="3817">
          <cell r="A3817" t="str">
            <v>1RE2LPMB2130GMZA</v>
          </cell>
          <cell r="B3817">
            <v>360</v>
          </cell>
        </row>
        <row r="3818">
          <cell r="A3818" t="str">
            <v>1RE2LPMB2130HXMYA</v>
          </cell>
          <cell r="B3818">
            <v>369</v>
          </cell>
        </row>
        <row r="3819">
          <cell r="A3819" t="str">
            <v>1RE2LPMB2130HXMZA</v>
          </cell>
          <cell r="B3819">
            <v>367</v>
          </cell>
        </row>
        <row r="3820">
          <cell r="A3820" t="str">
            <v>1RE2LPMB2130JTMYA</v>
          </cell>
          <cell r="B3820">
            <v>362</v>
          </cell>
        </row>
        <row r="3821">
          <cell r="A3821" t="str">
            <v>1RE2LPMB2130JTMZA</v>
          </cell>
          <cell r="B3821">
            <v>360</v>
          </cell>
        </row>
        <row r="3822">
          <cell r="A3822" t="str">
            <v>1RE2LPMB2130LAMZA</v>
          </cell>
          <cell r="B3822">
            <v>351</v>
          </cell>
        </row>
        <row r="3823">
          <cell r="A3823" t="str">
            <v>1RE2LPMB2130RUMZA</v>
          </cell>
          <cell r="B3823">
            <v>366</v>
          </cell>
        </row>
        <row r="3824">
          <cell r="A3824" t="str">
            <v>1RE2LPMB2130SXMZA</v>
          </cell>
          <cell r="B3824">
            <v>351</v>
          </cell>
        </row>
        <row r="3825">
          <cell r="A3825" t="str">
            <v>1RE2LPMB2133CNM-R1</v>
          </cell>
          <cell r="B3825">
            <v>363</v>
          </cell>
        </row>
        <row r="3826">
          <cell r="A3826" t="str">
            <v>1RE2LPMB2133CNMZA</v>
          </cell>
          <cell r="B3826">
            <v>363</v>
          </cell>
        </row>
        <row r="3827">
          <cell r="A3827" t="str">
            <v>1RE2LPMB2137CXMZA</v>
          </cell>
          <cell r="B3827">
            <v>393</v>
          </cell>
        </row>
        <row r="3828">
          <cell r="A3828" t="str">
            <v>1RE2LPMB2137RUMZA</v>
          </cell>
          <cell r="B3828">
            <v>392</v>
          </cell>
        </row>
        <row r="3829">
          <cell r="A3829" t="str">
            <v>1RE2LPMB2138CNM-R1</v>
          </cell>
          <cell r="B3829">
            <v>369</v>
          </cell>
        </row>
        <row r="3830">
          <cell r="A3830" t="str">
            <v>1RE2LPMB2138CNMZA</v>
          </cell>
          <cell r="B3830">
            <v>368</v>
          </cell>
        </row>
        <row r="3831">
          <cell r="A3831" t="str">
            <v>1RE2LPMB2170CXM-R1</v>
          </cell>
          <cell r="B3831">
            <v>386</v>
          </cell>
        </row>
        <row r="3832">
          <cell r="A3832" t="str">
            <v>1RE2LPMB2170CXMZA</v>
          </cell>
          <cell r="B3832">
            <v>380</v>
          </cell>
        </row>
        <row r="3833">
          <cell r="A3833" t="str">
            <v>1RE2LPMB2170GMYA</v>
          </cell>
          <cell r="B3833">
            <v>375</v>
          </cell>
        </row>
        <row r="3834">
          <cell r="A3834" t="str">
            <v>1RE2LPMB2170GMZA</v>
          </cell>
          <cell r="B3834">
            <v>373</v>
          </cell>
        </row>
        <row r="3835">
          <cell r="A3835" t="str">
            <v>1RE2LPMB2170HXMYA</v>
          </cell>
          <cell r="B3835">
            <v>382</v>
          </cell>
        </row>
        <row r="3836">
          <cell r="A3836" t="str">
            <v>1RE2LPMB2170HXMZA</v>
          </cell>
          <cell r="B3836">
            <v>380</v>
          </cell>
        </row>
        <row r="3837">
          <cell r="A3837" t="str">
            <v>1RE2LPMB2170JTMYA</v>
          </cell>
          <cell r="B3837">
            <v>375</v>
          </cell>
        </row>
        <row r="3838">
          <cell r="A3838" t="str">
            <v>1RE2LPMB2170JTMZA</v>
          </cell>
          <cell r="B3838">
            <v>373</v>
          </cell>
        </row>
        <row r="3839">
          <cell r="A3839" t="str">
            <v>1RE2LPMB2170LAMZA</v>
          </cell>
          <cell r="B3839">
            <v>364</v>
          </cell>
        </row>
        <row r="3840">
          <cell r="A3840" t="str">
            <v>1RE2LPMB2170RUMZA</v>
          </cell>
          <cell r="B3840">
            <v>385</v>
          </cell>
        </row>
        <row r="3841">
          <cell r="A3841" t="str">
            <v>1RE2LPMB2170SXMZA</v>
          </cell>
          <cell r="B3841">
            <v>364</v>
          </cell>
        </row>
        <row r="3842">
          <cell r="A3842" t="str">
            <v>1RE2LPMB2173CNM-R1</v>
          </cell>
          <cell r="B3842">
            <v>376</v>
          </cell>
        </row>
        <row r="3843">
          <cell r="A3843" t="str">
            <v>1RE2LPMB2173CNMZA</v>
          </cell>
          <cell r="B3843">
            <v>376</v>
          </cell>
        </row>
        <row r="3844">
          <cell r="A3844" t="str">
            <v>1RE2LPMB2177CXM-R1</v>
          </cell>
          <cell r="B3844">
            <v>414</v>
          </cell>
        </row>
        <row r="3845">
          <cell r="A3845" t="str">
            <v>1RE2LPMB2177CXMZA</v>
          </cell>
          <cell r="B3845">
            <v>406</v>
          </cell>
        </row>
        <row r="3846">
          <cell r="A3846" t="str">
            <v>1RE2LPMB2177RUMZA</v>
          </cell>
          <cell r="B3846">
            <v>405</v>
          </cell>
        </row>
        <row r="3847">
          <cell r="A3847" t="str">
            <v>1RE2LPMB2178CNMZA</v>
          </cell>
          <cell r="B3847">
            <v>382</v>
          </cell>
        </row>
        <row r="3848">
          <cell r="A3848" t="str">
            <v>1RE2LPMB2178TWMZA</v>
          </cell>
          <cell r="B3848">
            <v>385</v>
          </cell>
        </row>
        <row r="3849">
          <cell r="A3849" t="str">
            <v>1RE2LPMB536CNMZA</v>
          </cell>
          <cell r="B3849">
            <v>500</v>
          </cell>
        </row>
        <row r="3850">
          <cell r="A3850" t="str">
            <v>1RE2LPMB536CXM-R1</v>
          </cell>
          <cell r="B3850">
            <v>541</v>
          </cell>
        </row>
        <row r="3851">
          <cell r="A3851" t="str">
            <v>1RE2LPMB536CXMZA</v>
          </cell>
          <cell r="B3851">
            <v>519</v>
          </cell>
        </row>
        <row r="3852">
          <cell r="A3852" t="str">
            <v>1RE2LPMB536LAMZA</v>
          </cell>
          <cell r="B3852">
            <v>501</v>
          </cell>
        </row>
        <row r="3853">
          <cell r="A3853" t="str">
            <v>1RE2LPMB536RUMZA</v>
          </cell>
          <cell r="B3853">
            <v>500</v>
          </cell>
        </row>
        <row r="3854">
          <cell r="A3854" t="str">
            <v>1RE2LPMB536TWMZA</v>
          </cell>
          <cell r="B3854">
            <v>501</v>
          </cell>
        </row>
        <row r="3855">
          <cell r="A3855" t="str">
            <v>1RE2LPMB537EUMZA</v>
          </cell>
          <cell r="B3855">
            <v>512</v>
          </cell>
        </row>
        <row r="3856">
          <cell r="A3856" t="str">
            <v>1RE2LPMB537JTM-R1</v>
          </cell>
          <cell r="B3856">
            <v>433</v>
          </cell>
        </row>
        <row r="3857">
          <cell r="A3857" t="str">
            <v>1RE2LPMB537JTMZA</v>
          </cell>
          <cell r="B3857">
            <v>511</v>
          </cell>
        </row>
        <row r="3858">
          <cell r="A3858" t="str">
            <v>1RE2LPMB539CNMZA</v>
          </cell>
          <cell r="B3858">
            <v>509</v>
          </cell>
        </row>
        <row r="3859">
          <cell r="A3859" t="str">
            <v>1RE2LPMB545CXMZA</v>
          </cell>
          <cell r="B3859">
            <v>528</v>
          </cell>
        </row>
        <row r="3860">
          <cell r="A3860" t="str">
            <v>1RE2LPMB545EUMZA</v>
          </cell>
          <cell r="B3860">
            <v>513</v>
          </cell>
        </row>
        <row r="3861">
          <cell r="A3861" t="str">
            <v>1RE2LPMB545EUTZA</v>
          </cell>
          <cell r="B3861">
            <v>124</v>
          </cell>
        </row>
        <row r="3862">
          <cell r="A3862" t="str">
            <v>1RE2LPMB545JTM-R1</v>
          </cell>
          <cell r="B3862">
            <v>541</v>
          </cell>
        </row>
        <row r="3863">
          <cell r="A3863" t="str">
            <v>1RE2LPMB545JTMZA</v>
          </cell>
          <cell r="B3863">
            <v>512</v>
          </cell>
        </row>
        <row r="3864">
          <cell r="A3864" t="str">
            <v>1RE2LPMB545JTT-R1</v>
          </cell>
          <cell r="B3864">
            <v>118</v>
          </cell>
        </row>
        <row r="3865">
          <cell r="A3865" t="str">
            <v>1RE2LPMB545JTTZA</v>
          </cell>
          <cell r="B3865">
            <v>124</v>
          </cell>
        </row>
        <row r="3866">
          <cell r="A3866" t="str">
            <v>1RE2LPMB545LAMZA</v>
          </cell>
          <cell r="B3866">
            <v>510</v>
          </cell>
        </row>
        <row r="3867">
          <cell r="A3867" t="str">
            <v>1RE2LPMB545RUMZA</v>
          </cell>
          <cell r="B3867">
            <v>509</v>
          </cell>
        </row>
        <row r="3868">
          <cell r="A3868" t="str">
            <v>1RE2LPN1028XM-S1</v>
          </cell>
          <cell r="B3868">
            <v>558</v>
          </cell>
        </row>
        <row r="3869">
          <cell r="A3869" t="str">
            <v>1RE2LPN1028YM-S1</v>
          </cell>
          <cell r="B3869">
            <v>551</v>
          </cell>
        </row>
        <row r="3870">
          <cell r="A3870" t="str">
            <v>1RE2LPN1058XM-S1</v>
          </cell>
          <cell r="B3870">
            <v>592</v>
          </cell>
        </row>
        <row r="3871">
          <cell r="A3871" t="str">
            <v>1RE2LPN1058YM-S1</v>
          </cell>
          <cell r="B3871">
            <v>585</v>
          </cell>
        </row>
        <row r="3872">
          <cell r="A3872" t="str">
            <v>1RE2LPN1058YT-S1</v>
          </cell>
          <cell r="B3872">
            <v>264</v>
          </cell>
        </row>
        <row r="3873">
          <cell r="A3873" t="str">
            <v>1RE2LPN30BX2ASICS1</v>
          </cell>
          <cell r="B3873">
            <v>1039</v>
          </cell>
        </row>
        <row r="3874">
          <cell r="A3874" t="str">
            <v>1RE2LPN30CPUASICS1</v>
          </cell>
          <cell r="B3874">
            <v>292</v>
          </cell>
        </row>
        <row r="3875">
          <cell r="A3875" t="str">
            <v>1RE2LPN32BX2ASICS1</v>
          </cell>
          <cell r="B3875">
            <v>572</v>
          </cell>
        </row>
        <row r="3876">
          <cell r="A3876" t="str">
            <v>1RE2LPN32CPUASICS1</v>
          </cell>
          <cell r="B3876">
            <v>173</v>
          </cell>
        </row>
        <row r="3877">
          <cell r="A3877" t="str">
            <v>1RE2LPN70BX2ASICS1</v>
          </cell>
          <cell r="B3877">
            <v>561</v>
          </cell>
        </row>
        <row r="3878">
          <cell r="A3878" t="str">
            <v>1RE2LPN70BX2ASICS2</v>
          </cell>
          <cell r="B3878">
            <v>530</v>
          </cell>
        </row>
        <row r="3879">
          <cell r="A3879" t="str">
            <v>1RE2LPN70BX2ASICS3</v>
          </cell>
          <cell r="B3879">
            <v>537</v>
          </cell>
        </row>
        <row r="3880">
          <cell r="A3880" t="str">
            <v>1RE2LPN70BX2ASICS4</v>
          </cell>
          <cell r="B3880">
            <v>533</v>
          </cell>
        </row>
        <row r="3881">
          <cell r="A3881" t="str">
            <v>1RE2LPN70CPUASICS1</v>
          </cell>
          <cell r="B3881">
            <v>292</v>
          </cell>
        </row>
        <row r="3882">
          <cell r="A3882" t="str">
            <v>1RE2LPN70CPUASICS2</v>
          </cell>
          <cell r="B3882">
            <v>319</v>
          </cell>
        </row>
        <row r="3883">
          <cell r="A3883" t="str">
            <v>1RE2LPN70CPUASICS3</v>
          </cell>
          <cell r="B3883">
            <v>326</v>
          </cell>
        </row>
        <row r="3884">
          <cell r="A3884" t="str">
            <v>1RE2LPN70CPUASICS4</v>
          </cell>
          <cell r="B3884">
            <v>326</v>
          </cell>
        </row>
        <row r="3885">
          <cell r="A3885" t="str">
            <v>1RE2LPN72BX2ASICS1</v>
          </cell>
          <cell r="B3885">
            <v>285</v>
          </cell>
        </row>
        <row r="3886">
          <cell r="A3886" t="str">
            <v>1RE2LPN72BX2ASICS2</v>
          </cell>
          <cell r="B3886">
            <v>270</v>
          </cell>
        </row>
        <row r="3887">
          <cell r="A3887" t="str">
            <v>1RE2LPN72BX2ASICS3</v>
          </cell>
          <cell r="B3887">
            <v>278</v>
          </cell>
        </row>
        <row r="3888">
          <cell r="A3888" t="str">
            <v>1RE2LPN72BX2ASICS4</v>
          </cell>
          <cell r="B3888">
            <v>274</v>
          </cell>
        </row>
        <row r="3889">
          <cell r="A3889" t="str">
            <v>1RE2LPN72CPUASICS1</v>
          </cell>
          <cell r="B3889">
            <v>173</v>
          </cell>
        </row>
        <row r="3890">
          <cell r="A3890" t="str">
            <v>1RE2LPN72CPUASICS2</v>
          </cell>
          <cell r="B3890">
            <v>216</v>
          </cell>
        </row>
        <row r="3891">
          <cell r="A3891" t="str">
            <v>1RE2LPN72CPUASICS3</v>
          </cell>
          <cell r="B3891">
            <v>224</v>
          </cell>
        </row>
        <row r="3892">
          <cell r="A3892" t="str">
            <v>1RE2LPN72CPUASICS4</v>
          </cell>
          <cell r="B3892">
            <v>224</v>
          </cell>
        </row>
        <row r="3893">
          <cell r="A3893" t="str">
            <v>1RE2LPNS0110XZA</v>
          </cell>
          <cell r="B3893">
            <v>195</v>
          </cell>
        </row>
        <row r="3894">
          <cell r="A3894" t="str">
            <v>1RE2LPNS0130XZA</v>
          </cell>
          <cell r="B3894">
            <v>511</v>
          </cell>
        </row>
        <row r="3895">
          <cell r="A3895" t="str">
            <v>1RE2LPNS0154CEH-K1</v>
          </cell>
          <cell r="B3895">
            <v>223</v>
          </cell>
        </row>
        <row r="3896">
          <cell r="A3896" t="str">
            <v>1RE2LPNS0154CEH-R1</v>
          </cell>
          <cell r="B3896">
            <v>223</v>
          </cell>
        </row>
        <row r="3897">
          <cell r="A3897" t="str">
            <v>1RE2LPNS0154CEHS2</v>
          </cell>
          <cell r="B3897">
            <v>228</v>
          </cell>
        </row>
        <row r="3898">
          <cell r="A3898" t="str">
            <v>1RE2LPNS0154CEHS3</v>
          </cell>
          <cell r="B3898">
            <v>231</v>
          </cell>
        </row>
        <row r="3899">
          <cell r="A3899" t="str">
            <v>1RE2LPNS0154CEH-S4</v>
          </cell>
          <cell r="B3899">
            <v>230</v>
          </cell>
        </row>
        <row r="3900">
          <cell r="A3900" t="str">
            <v>1RE2LPNS0154CEH-S5</v>
          </cell>
          <cell r="B3900">
            <v>229</v>
          </cell>
        </row>
        <row r="3901">
          <cell r="A3901" t="str">
            <v>1RE2LPNS0154CEH-S6</v>
          </cell>
          <cell r="B3901">
            <v>223</v>
          </cell>
        </row>
        <row r="3902">
          <cell r="A3902" t="str">
            <v>1RE2LPNS0154CEH-S7</v>
          </cell>
          <cell r="B3902">
            <v>223</v>
          </cell>
        </row>
        <row r="3903">
          <cell r="A3903" t="str">
            <v>1RE2LPNS0154CEHZA</v>
          </cell>
          <cell r="B3903">
            <v>228</v>
          </cell>
        </row>
        <row r="3904">
          <cell r="A3904" t="str">
            <v>1RE2LPNS0154H-R1</v>
          </cell>
          <cell r="B3904">
            <v>223</v>
          </cell>
        </row>
        <row r="3905">
          <cell r="A3905" t="str">
            <v>1RE2LPNS0154HZA</v>
          </cell>
          <cell r="B3905">
            <v>228</v>
          </cell>
        </row>
        <row r="3906">
          <cell r="A3906" t="str">
            <v>1RE2LPNS0154LAH-R1</v>
          </cell>
          <cell r="B3906">
            <v>223</v>
          </cell>
        </row>
        <row r="3907">
          <cell r="A3907" t="str">
            <v>1RE2LPNS1000BXS1</v>
          </cell>
          <cell r="B3907">
            <v>655</v>
          </cell>
        </row>
        <row r="3908">
          <cell r="A3908" t="str">
            <v>1RE2LPNS1KXG1ZA</v>
          </cell>
          <cell r="B3908">
            <v>660</v>
          </cell>
        </row>
        <row r="3909">
          <cell r="A3909" t="str">
            <v>1RE2LPNS300BX1S2</v>
          </cell>
          <cell r="B3909">
            <v>302</v>
          </cell>
        </row>
        <row r="3910">
          <cell r="A3910" t="str">
            <v>1RE2LPNS300BX1S3</v>
          </cell>
          <cell r="B3910">
            <v>310</v>
          </cell>
        </row>
        <row r="3911">
          <cell r="A3911" t="str">
            <v>1RE2LPNS300BX1S4</v>
          </cell>
          <cell r="B3911">
            <v>292</v>
          </cell>
        </row>
        <row r="3912">
          <cell r="A3912" t="str">
            <v>1RE2LPNS300BX1ZA</v>
          </cell>
          <cell r="B3912">
            <v>292</v>
          </cell>
        </row>
        <row r="3913">
          <cell r="A3913" t="str">
            <v>1RE2LPNS300BX2S2</v>
          </cell>
          <cell r="B3913">
            <v>869</v>
          </cell>
        </row>
        <row r="3914">
          <cell r="A3914" t="str">
            <v>1RE2LPNS300BX2S3</v>
          </cell>
          <cell r="B3914">
            <v>979</v>
          </cell>
        </row>
        <row r="3915">
          <cell r="A3915" t="str">
            <v>1RE2LPNS300BX2S4</v>
          </cell>
          <cell r="B3915">
            <v>1002</v>
          </cell>
        </row>
        <row r="3916">
          <cell r="A3916" t="str">
            <v>1RE2LPNS300BX2YA</v>
          </cell>
          <cell r="B3916">
            <v>1038</v>
          </cell>
        </row>
        <row r="3917">
          <cell r="A3917" t="str">
            <v>1RE2LPNS300BX2ZA</v>
          </cell>
          <cell r="B3917">
            <v>1043</v>
          </cell>
        </row>
        <row r="3918">
          <cell r="A3918" t="str">
            <v>1RE2LPNS300CPUZA</v>
          </cell>
          <cell r="B3918">
            <v>325</v>
          </cell>
        </row>
        <row r="3919">
          <cell r="A3919" t="str">
            <v>1RE2LPNS300SX2ZA</v>
          </cell>
          <cell r="B3919">
            <v>1038</v>
          </cell>
        </row>
        <row r="3920">
          <cell r="A3920" t="str">
            <v>1RE2LPNS320BX1S2</v>
          </cell>
          <cell r="B3920">
            <v>173</v>
          </cell>
        </row>
        <row r="3921">
          <cell r="A3921" t="str">
            <v>1RE2LPNS320BX1S3</v>
          </cell>
          <cell r="B3921">
            <v>175</v>
          </cell>
        </row>
        <row r="3922">
          <cell r="A3922" t="str">
            <v>1RE2LPNS320BX1S4</v>
          </cell>
          <cell r="B3922">
            <v>167</v>
          </cell>
        </row>
        <row r="3923">
          <cell r="A3923" t="str">
            <v>1RE2LPNS320BX1ZA</v>
          </cell>
          <cell r="B3923">
            <v>172</v>
          </cell>
        </row>
        <row r="3924">
          <cell r="A3924" t="str">
            <v>1RE2LPNS320BX2S2</v>
          </cell>
          <cell r="B3924">
            <v>499</v>
          </cell>
        </row>
        <row r="3925">
          <cell r="A3925" t="str">
            <v>1RE2LPNS320BX2S3</v>
          </cell>
          <cell r="B3925">
            <v>567</v>
          </cell>
        </row>
        <row r="3926">
          <cell r="A3926" t="str">
            <v>1RE2LPNS320BX2S4</v>
          </cell>
          <cell r="B3926">
            <v>570</v>
          </cell>
        </row>
        <row r="3927">
          <cell r="A3927" t="str">
            <v>1RE2LPNS320BX2YA</v>
          </cell>
          <cell r="B3927">
            <v>564</v>
          </cell>
        </row>
        <row r="3928">
          <cell r="A3928" t="str">
            <v>1RE2LPNS320BX2ZA</v>
          </cell>
          <cell r="B3928">
            <v>573</v>
          </cell>
        </row>
        <row r="3929">
          <cell r="A3929" t="str">
            <v>1RE2LPNS320CPUZA</v>
          </cell>
          <cell r="B3929">
            <v>223</v>
          </cell>
        </row>
        <row r="3930">
          <cell r="A3930" t="str">
            <v>1RE2LPNS500AG2S4</v>
          </cell>
          <cell r="B3930">
            <v>1002</v>
          </cell>
        </row>
        <row r="3931">
          <cell r="A3931" t="str">
            <v>1RE2LPNS500AG2ZA</v>
          </cell>
          <cell r="B3931">
            <v>1038</v>
          </cell>
        </row>
        <row r="3932">
          <cell r="A3932" t="str">
            <v>1RE2LPNS500BR2S4</v>
          </cell>
          <cell r="B3932">
            <v>996</v>
          </cell>
        </row>
        <row r="3933">
          <cell r="A3933" t="str">
            <v>1RE2LPNS500BR2YA</v>
          </cell>
          <cell r="B3933">
            <v>1014</v>
          </cell>
        </row>
        <row r="3934">
          <cell r="A3934" t="str">
            <v>1RE2LPNS500BR2ZA</v>
          </cell>
          <cell r="B3934">
            <v>992</v>
          </cell>
        </row>
        <row r="3935">
          <cell r="A3935" t="str">
            <v>1RE2LPNS500BX1S1</v>
          </cell>
          <cell r="B3935">
            <v>299</v>
          </cell>
        </row>
        <row r="3936">
          <cell r="A3936" t="str">
            <v>1RE2LPNS500BX1S2</v>
          </cell>
          <cell r="B3936">
            <v>302</v>
          </cell>
        </row>
        <row r="3937">
          <cell r="A3937" t="str">
            <v>1RE2LPNS500BX1S3</v>
          </cell>
          <cell r="B3937">
            <v>310</v>
          </cell>
        </row>
        <row r="3938">
          <cell r="A3938" t="str">
            <v>1RE2LPNS500BX1S4</v>
          </cell>
          <cell r="B3938">
            <v>292</v>
          </cell>
        </row>
        <row r="3939">
          <cell r="A3939" t="str">
            <v>1RE2LPNS500BX1S5</v>
          </cell>
          <cell r="B3939">
            <v>294</v>
          </cell>
        </row>
        <row r="3940">
          <cell r="A3940" t="str">
            <v>1RE2LPNS500BX1ZA</v>
          </cell>
          <cell r="B3940">
            <v>292</v>
          </cell>
        </row>
        <row r="3941">
          <cell r="A3941" t="str">
            <v>1RE2LPNS500BX2ASS1</v>
          </cell>
          <cell r="B3941">
            <v>1040</v>
          </cell>
        </row>
        <row r="3942">
          <cell r="A3942" t="str">
            <v>1RE2LPNS500BX2ASS2</v>
          </cell>
          <cell r="B3942">
            <v>1043</v>
          </cell>
        </row>
        <row r="3943">
          <cell r="A3943" t="str">
            <v>1RE2LPNS500BX2ASS3</v>
          </cell>
          <cell r="B3943">
            <v>1043</v>
          </cell>
        </row>
        <row r="3944">
          <cell r="A3944" t="str">
            <v>1RE2LPNS500BX2ASS4</v>
          </cell>
          <cell r="B3944">
            <v>1039</v>
          </cell>
        </row>
        <row r="3945">
          <cell r="A3945" t="str">
            <v>1RE2LPNS500BX2S1</v>
          </cell>
          <cell r="B3945">
            <v>801</v>
          </cell>
        </row>
        <row r="3946">
          <cell r="A3946" t="str">
            <v>1RE2LPNS500BX2S2</v>
          </cell>
          <cell r="B3946">
            <v>869</v>
          </cell>
        </row>
        <row r="3947">
          <cell r="A3947" t="str">
            <v>1RE2LPNS500BX2S3</v>
          </cell>
          <cell r="B3947">
            <v>979</v>
          </cell>
        </row>
        <row r="3948">
          <cell r="A3948" t="str">
            <v>1RE2LPNS500BX2S4</v>
          </cell>
          <cell r="B3948">
            <v>1002</v>
          </cell>
        </row>
        <row r="3949">
          <cell r="A3949" t="str">
            <v>1RE2LPNS500BX2S5</v>
          </cell>
          <cell r="B3949">
            <v>1002</v>
          </cell>
        </row>
        <row r="3950">
          <cell r="A3950" t="str">
            <v>1RE2LPNS500BX2S7</v>
          </cell>
          <cell r="B3950">
            <v>1019</v>
          </cell>
        </row>
        <row r="3951">
          <cell r="A3951" t="str">
            <v>1RE2LPNS500BX2YA</v>
          </cell>
          <cell r="B3951">
            <v>1038</v>
          </cell>
        </row>
        <row r="3952">
          <cell r="A3952" t="str">
            <v>1RE2LPNS500BX2ZA</v>
          </cell>
          <cell r="B3952">
            <v>1043</v>
          </cell>
        </row>
        <row r="3953">
          <cell r="A3953" t="str">
            <v>1RE2LPNS500CPUASS1</v>
          </cell>
          <cell r="B3953">
            <v>292</v>
          </cell>
        </row>
        <row r="3954">
          <cell r="A3954" t="str">
            <v>1RE2LPNS500CPUASS2</v>
          </cell>
          <cell r="B3954">
            <v>292</v>
          </cell>
        </row>
        <row r="3955">
          <cell r="A3955" t="str">
            <v>1RE2LPNS500CPUASS3</v>
          </cell>
          <cell r="B3955">
            <v>327</v>
          </cell>
        </row>
        <row r="3956">
          <cell r="A3956" t="str">
            <v>1RE2LPNS500CPUASS4</v>
          </cell>
          <cell r="B3956">
            <v>327</v>
          </cell>
        </row>
        <row r="3957">
          <cell r="A3957" t="str">
            <v>1RE2LPNS500CPUT1</v>
          </cell>
          <cell r="B3957">
            <v>326</v>
          </cell>
        </row>
        <row r="3958">
          <cell r="A3958" t="str">
            <v>1RE2LPNS500CPUZA</v>
          </cell>
          <cell r="B3958">
            <v>326</v>
          </cell>
        </row>
        <row r="3959">
          <cell r="A3959" t="str">
            <v>1RE2LPNS500SA2YA</v>
          </cell>
          <cell r="B3959">
            <v>1038</v>
          </cell>
        </row>
        <row r="3960">
          <cell r="A3960" t="str">
            <v>1RE2LPNS500SA2ZA</v>
          </cell>
          <cell r="B3960">
            <v>1040</v>
          </cell>
        </row>
        <row r="3961">
          <cell r="A3961" t="str">
            <v>1RE2LPNS5162XS5</v>
          </cell>
          <cell r="B3961">
            <v>183</v>
          </cell>
        </row>
        <row r="3962">
          <cell r="A3962" t="str">
            <v>1RE2LPNS5162XS7</v>
          </cell>
          <cell r="B3962">
            <v>182</v>
          </cell>
        </row>
        <row r="3963">
          <cell r="A3963" t="str">
            <v>1RE2LPNS5170XS5</v>
          </cell>
          <cell r="B3963">
            <v>425</v>
          </cell>
        </row>
        <row r="3964">
          <cell r="A3964" t="str">
            <v>1RE2LPNS5171XS5</v>
          </cell>
          <cell r="B3964">
            <v>230</v>
          </cell>
        </row>
        <row r="3965">
          <cell r="A3965" t="str">
            <v>1RE2LPNS5172XS5</v>
          </cell>
          <cell r="B3965">
            <v>376</v>
          </cell>
        </row>
        <row r="3966">
          <cell r="A3966" t="str">
            <v>1RE2LPNS5172XZA</v>
          </cell>
          <cell r="B3966">
            <v>375</v>
          </cell>
        </row>
        <row r="3967">
          <cell r="A3967" t="str">
            <v>1RE2LPNS5173XS5</v>
          </cell>
          <cell r="B3967">
            <v>222</v>
          </cell>
        </row>
        <row r="3968">
          <cell r="A3968" t="str">
            <v>1RE2LPNS5174XS5</v>
          </cell>
          <cell r="B3968">
            <v>375</v>
          </cell>
        </row>
        <row r="3969">
          <cell r="A3969" t="str">
            <v>1RE2LPNS5180XS5</v>
          </cell>
          <cell r="B3969">
            <v>377</v>
          </cell>
        </row>
        <row r="3970">
          <cell r="A3970" t="str">
            <v>1RE2LPNS520BX1S1</v>
          </cell>
          <cell r="B3970">
            <v>1</v>
          </cell>
        </row>
        <row r="3971">
          <cell r="A3971" t="str">
            <v>1RE2LPNS520BX1S2</v>
          </cell>
          <cell r="B3971">
            <v>173</v>
          </cell>
        </row>
        <row r="3972">
          <cell r="A3972" t="str">
            <v>1RE2LPNS520BX1S3</v>
          </cell>
          <cell r="B3972">
            <v>175</v>
          </cell>
        </row>
        <row r="3973">
          <cell r="A3973" t="str">
            <v>1RE2LPNS520BX1S4</v>
          </cell>
          <cell r="B3973">
            <v>167</v>
          </cell>
        </row>
        <row r="3974">
          <cell r="A3974" t="str">
            <v>1RE2LPNS520BX1S5</v>
          </cell>
          <cell r="B3974">
            <v>169</v>
          </cell>
        </row>
        <row r="3975">
          <cell r="A3975" t="str">
            <v>1RE2LPNS520BX1ZA</v>
          </cell>
          <cell r="B3975">
            <v>172</v>
          </cell>
        </row>
        <row r="3976">
          <cell r="A3976" t="str">
            <v>1RE2LPNS520BX2ASS1</v>
          </cell>
          <cell r="B3976">
            <v>573</v>
          </cell>
        </row>
        <row r="3977">
          <cell r="A3977" t="str">
            <v>1RE2LPNS520BX2ASS2</v>
          </cell>
          <cell r="B3977">
            <v>573</v>
          </cell>
        </row>
        <row r="3978">
          <cell r="A3978" t="str">
            <v>1RE2LPNS520BX2ASS3</v>
          </cell>
          <cell r="B3978">
            <v>563</v>
          </cell>
        </row>
        <row r="3979">
          <cell r="A3979" t="str">
            <v>1RE2LPNS520BX2ASS4</v>
          </cell>
          <cell r="B3979">
            <v>559</v>
          </cell>
        </row>
        <row r="3980">
          <cell r="A3980" t="str">
            <v>1RE2LPNS520BX2S2</v>
          </cell>
          <cell r="B3980">
            <v>499</v>
          </cell>
        </row>
        <row r="3981">
          <cell r="A3981" t="str">
            <v>1RE2LPNS520BX2S3</v>
          </cell>
          <cell r="B3981">
            <v>567</v>
          </cell>
        </row>
        <row r="3982">
          <cell r="A3982" t="str">
            <v>1RE2LPNS520BX2S4</v>
          </cell>
          <cell r="B3982">
            <v>570</v>
          </cell>
        </row>
        <row r="3983">
          <cell r="A3983" t="str">
            <v>1RE2LPNS520BX2S5</v>
          </cell>
          <cell r="B3983">
            <v>570</v>
          </cell>
        </row>
        <row r="3984">
          <cell r="A3984" t="str">
            <v>1RE2LPNS520BX2YA</v>
          </cell>
          <cell r="B3984">
            <v>564</v>
          </cell>
        </row>
        <row r="3985">
          <cell r="A3985" t="str">
            <v>1RE2LPNS520BX2ZA</v>
          </cell>
          <cell r="B3985">
            <v>573</v>
          </cell>
        </row>
        <row r="3986">
          <cell r="A3986" t="str">
            <v>1RE2LPNS520CPUASS1</v>
          </cell>
          <cell r="B3986">
            <v>173</v>
          </cell>
        </row>
        <row r="3987">
          <cell r="A3987" t="str">
            <v>1RE2LPNS520CPUASS2</v>
          </cell>
          <cell r="B3987">
            <v>173</v>
          </cell>
        </row>
        <row r="3988">
          <cell r="A3988" t="str">
            <v>1RE2LPNS520CPUASS3</v>
          </cell>
          <cell r="B3988">
            <v>224</v>
          </cell>
        </row>
        <row r="3989">
          <cell r="A3989" t="str">
            <v>1RE2LPNS520CPUASS4</v>
          </cell>
          <cell r="B3989">
            <v>224</v>
          </cell>
        </row>
        <row r="3990">
          <cell r="A3990" t="str">
            <v>1RE2LPNS520CPUZA</v>
          </cell>
          <cell r="B3990">
            <v>223</v>
          </cell>
        </row>
        <row r="3991">
          <cell r="A3991" t="str">
            <v>1RE2LPNS5290CES5</v>
          </cell>
          <cell r="B3991">
            <v>210</v>
          </cell>
        </row>
        <row r="3992">
          <cell r="A3992" t="str">
            <v>1RE2LPNS700AL2ZA</v>
          </cell>
          <cell r="B3992">
            <v>518</v>
          </cell>
        </row>
        <row r="3993">
          <cell r="A3993" t="str">
            <v>1RE2LPNS700BX1-S1</v>
          </cell>
          <cell r="B3993">
            <v>293</v>
          </cell>
        </row>
        <row r="3994">
          <cell r="A3994" t="str">
            <v>1RE2LPNS700BX1-S2</v>
          </cell>
          <cell r="B3994">
            <v>299</v>
          </cell>
        </row>
        <row r="3995">
          <cell r="A3995" t="str">
            <v>1RE2LPNS700BX2-S1</v>
          </cell>
          <cell r="B3995">
            <v>548</v>
          </cell>
        </row>
        <row r="3996">
          <cell r="A3996" t="str">
            <v>1RE2LPNS700BX2-S2</v>
          </cell>
          <cell r="B3996">
            <v>552</v>
          </cell>
        </row>
        <row r="3997">
          <cell r="A3997" t="str">
            <v>1RE2LPNS700BX2-S3</v>
          </cell>
          <cell r="B3997">
            <v>552</v>
          </cell>
        </row>
        <row r="3998">
          <cell r="A3998" t="str">
            <v>1RE2LPNS700BX2-S4</v>
          </cell>
          <cell r="B3998">
            <v>552</v>
          </cell>
        </row>
        <row r="3999">
          <cell r="A3999" t="str">
            <v>1RE2LPNS700BX2ZA</v>
          </cell>
          <cell r="B3999">
            <v>518</v>
          </cell>
        </row>
        <row r="4000">
          <cell r="A4000" t="str">
            <v>1RE2LPNS700CPU-S4</v>
          </cell>
          <cell r="B4000">
            <v>299</v>
          </cell>
        </row>
        <row r="4001">
          <cell r="A4001" t="str">
            <v>1RE2LPNS700CPUT1</v>
          </cell>
          <cell r="B4001">
            <v>325</v>
          </cell>
        </row>
        <row r="4002">
          <cell r="A4002" t="str">
            <v>1RE2LPNS700CPUZA</v>
          </cell>
          <cell r="B4002">
            <v>325</v>
          </cell>
        </row>
        <row r="4003">
          <cell r="A4003" t="str">
            <v>1RE2LPNS700M2ZA</v>
          </cell>
          <cell r="B4003">
            <v>518</v>
          </cell>
        </row>
        <row r="4004">
          <cell r="A4004" t="str">
            <v>1RE2LPNS720BX1-S1</v>
          </cell>
          <cell r="B4004">
            <v>174</v>
          </cell>
        </row>
        <row r="4005">
          <cell r="A4005" t="str">
            <v>1RE2LPNS720BX1-S2</v>
          </cell>
          <cell r="B4005">
            <v>174</v>
          </cell>
        </row>
        <row r="4006">
          <cell r="A4006" t="str">
            <v>1RE2LPNS720BX2-S1</v>
          </cell>
          <cell r="B4006">
            <v>271</v>
          </cell>
        </row>
        <row r="4007">
          <cell r="A4007" t="str">
            <v>1RE2LPNS720BX2-S2</v>
          </cell>
          <cell r="B4007">
            <v>288</v>
          </cell>
        </row>
        <row r="4008">
          <cell r="A4008" t="str">
            <v>1RE2LPNS720BX2-S3</v>
          </cell>
          <cell r="B4008">
            <v>288</v>
          </cell>
        </row>
        <row r="4009">
          <cell r="A4009" t="str">
            <v>1RE2LPNS720BX2-S4</v>
          </cell>
          <cell r="B4009">
            <v>288</v>
          </cell>
        </row>
        <row r="4010">
          <cell r="A4010" t="str">
            <v>1RE2LPNS720BX2ZA</v>
          </cell>
          <cell r="B4010">
            <v>274</v>
          </cell>
        </row>
        <row r="4011">
          <cell r="A4011" t="str">
            <v>1RE2LPNS720CPUZA</v>
          </cell>
          <cell r="B4011">
            <v>223</v>
          </cell>
        </row>
        <row r="4012">
          <cell r="A4012" t="str">
            <v>1RE2LPNSX2K1ZA</v>
          </cell>
          <cell r="B4012">
            <v>670</v>
          </cell>
        </row>
        <row r="4013">
          <cell r="A4013" t="str">
            <v>1RE2LPNSX2K1ZA-R1</v>
          </cell>
          <cell r="B4013">
            <v>670</v>
          </cell>
        </row>
        <row r="4014">
          <cell r="A4014" t="str">
            <v>1RE2LPNSX2K1ZA-S2</v>
          </cell>
          <cell r="B4014">
            <v>701</v>
          </cell>
        </row>
        <row r="4015">
          <cell r="A4015" t="str">
            <v>1RE2LPNT3461ZA</v>
          </cell>
          <cell r="B4015">
            <v>475</v>
          </cell>
        </row>
        <row r="4016">
          <cell r="A4016" t="str">
            <v>1RE2LPNT3661ZA</v>
          </cell>
          <cell r="B4016">
            <v>487</v>
          </cell>
        </row>
        <row r="4017">
          <cell r="A4017" t="str">
            <v>1RE2LPNT5051ZA</v>
          </cell>
          <cell r="B4017">
            <v>126</v>
          </cell>
        </row>
        <row r="4018">
          <cell r="A4018" t="str">
            <v>1RE2LPNT5051ZAR1</v>
          </cell>
          <cell r="B4018">
            <v>134</v>
          </cell>
        </row>
        <row r="4019">
          <cell r="A4019" t="str">
            <v>1RE2LPNT5051ZAS1</v>
          </cell>
          <cell r="B4019">
            <v>115</v>
          </cell>
        </row>
        <row r="4020">
          <cell r="A4020" t="str">
            <v>1RE2LPNT5051ZAS2</v>
          </cell>
          <cell r="B4020">
            <v>127</v>
          </cell>
        </row>
        <row r="4021">
          <cell r="A4021" t="str">
            <v>1RE2LPNT5051ZAS3</v>
          </cell>
          <cell r="B4021">
            <v>124</v>
          </cell>
        </row>
        <row r="4022">
          <cell r="A4022" t="str">
            <v>1RE2LPNT5111ZA</v>
          </cell>
          <cell r="B4022">
            <v>124</v>
          </cell>
        </row>
        <row r="4023">
          <cell r="A4023" t="str">
            <v>1RE2LPNT5111ZAS1</v>
          </cell>
          <cell r="B4023">
            <v>161</v>
          </cell>
        </row>
        <row r="4024">
          <cell r="A4024" t="str">
            <v>1RE2LPNT5111ZAS2</v>
          </cell>
          <cell r="B4024">
            <v>151</v>
          </cell>
        </row>
        <row r="4025">
          <cell r="A4025" t="str">
            <v>1RE2LPNT511CN1ZA</v>
          </cell>
          <cell r="B4025">
            <v>122</v>
          </cell>
        </row>
        <row r="4026">
          <cell r="A4026" t="str">
            <v>1RE2LPNT511P1ZA</v>
          </cell>
          <cell r="B4026">
            <v>123</v>
          </cell>
        </row>
        <row r="4027">
          <cell r="A4027" t="str">
            <v>1RE2LPNT511P1ZAS1</v>
          </cell>
          <cell r="B4027">
            <v>150</v>
          </cell>
        </row>
        <row r="4028">
          <cell r="A4028" t="str">
            <v>1RE2LPNT511P1ZAS2</v>
          </cell>
          <cell r="B4028">
            <v>133</v>
          </cell>
        </row>
        <row r="4029">
          <cell r="A4029" t="str">
            <v>1RE2LPNT511P3ZA</v>
          </cell>
          <cell r="B4029">
            <v>46</v>
          </cell>
        </row>
        <row r="4030">
          <cell r="A4030" t="str">
            <v>1RE2LPNT5431ZA</v>
          </cell>
          <cell r="B4030">
            <v>228</v>
          </cell>
        </row>
        <row r="4031">
          <cell r="A4031" t="str">
            <v>1RE2LPNT5431ZAR1</v>
          </cell>
          <cell r="B4031">
            <v>228</v>
          </cell>
        </row>
        <row r="4032">
          <cell r="A4032" t="str">
            <v>1RE2LPNT5431ZAS1</v>
          </cell>
          <cell r="B4032">
            <v>228</v>
          </cell>
        </row>
        <row r="4033">
          <cell r="A4033" t="str">
            <v>1RE2LPNT5461ZA</v>
          </cell>
          <cell r="B4033">
            <v>228</v>
          </cell>
        </row>
        <row r="4034">
          <cell r="A4034" t="str">
            <v>1RE2LPNT5461ZAR1</v>
          </cell>
          <cell r="B4034">
            <v>228</v>
          </cell>
        </row>
        <row r="4035">
          <cell r="A4035" t="str">
            <v>1RE2LPNT5461ZAS1</v>
          </cell>
          <cell r="B4035">
            <v>228</v>
          </cell>
        </row>
        <row r="4036">
          <cell r="A4036" t="str">
            <v>1RE2LPNT5511ZA</v>
          </cell>
          <cell r="B4036">
            <v>208</v>
          </cell>
        </row>
        <row r="4037">
          <cell r="A4037" t="str">
            <v>1RE2LPNT5511ZAR1</v>
          </cell>
          <cell r="B4037">
            <v>203</v>
          </cell>
        </row>
        <row r="4038">
          <cell r="A4038" t="str">
            <v>1RE2LPNT5511ZAS1</v>
          </cell>
          <cell r="B4038">
            <v>212</v>
          </cell>
        </row>
        <row r="4039">
          <cell r="A4039" t="str">
            <v>1RE2LPNT5511ZAS2</v>
          </cell>
          <cell r="B4039">
            <v>198</v>
          </cell>
        </row>
        <row r="4040">
          <cell r="A4040" t="str">
            <v>1RE2LPNT5511ZAS3</v>
          </cell>
          <cell r="B4040">
            <v>210</v>
          </cell>
        </row>
        <row r="4041">
          <cell r="A4041" t="str">
            <v>1RE2LPNT5511ZAS4</v>
          </cell>
          <cell r="B4041">
            <v>208</v>
          </cell>
        </row>
        <row r="4042">
          <cell r="A4042" t="str">
            <v>1RE2LPNT551CN1ZA</v>
          </cell>
          <cell r="B4042">
            <v>208</v>
          </cell>
        </row>
        <row r="4043">
          <cell r="A4043" t="str">
            <v>1RE2LPNT5531ZA</v>
          </cell>
          <cell r="B4043">
            <v>230</v>
          </cell>
        </row>
        <row r="4044">
          <cell r="A4044" t="str">
            <v>1RE2LPNT5531ZAR1</v>
          </cell>
          <cell r="B4044">
            <v>222</v>
          </cell>
        </row>
        <row r="4045">
          <cell r="A4045" t="str">
            <v>1RE2LPNT5531ZAS2</v>
          </cell>
          <cell r="B4045">
            <v>219</v>
          </cell>
        </row>
        <row r="4046">
          <cell r="A4046" t="str">
            <v>1RE2LPNT5531ZAS3</v>
          </cell>
          <cell r="B4046">
            <v>229</v>
          </cell>
        </row>
        <row r="4047">
          <cell r="A4047" t="str">
            <v>1RE2LPNT5561ZA</v>
          </cell>
          <cell r="B4047">
            <v>230</v>
          </cell>
        </row>
        <row r="4048">
          <cell r="A4048" t="str">
            <v>1RE2LPNT5561ZAR1</v>
          </cell>
          <cell r="B4048">
            <v>222</v>
          </cell>
        </row>
        <row r="4049">
          <cell r="A4049" t="str">
            <v>1RE2LPNT5561ZAS2</v>
          </cell>
          <cell r="B4049">
            <v>219</v>
          </cell>
        </row>
        <row r="4050">
          <cell r="A4050" t="str">
            <v>1RE2LPNT5561ZAS3</v>
          </cell>
          <cell r="B4050">
            <v>227</v>
          </cell>
        </row>
        <row r="4051">
          <cell r="A4051" t="str">
            <v>1RE2LPNT5561ZAS4</v>
          </cell>
          <cell r="B4051">
            <v>230</v>
          </cell>
        </row>
        <row r="4052">
          <cell r="A4052" t="str">
            <v>1RE2LPNT5601ZA</v>
          </cell>
          <cell r="B4052">
            <v>335</v>
          </cell>
        </row>
        <row r="4053">
          <cell r="A4053" t="str">
            <v>1RE2LPNT5601ZAS1</v>
          </cell>
          <cell r="B4053">
            <v>335</v>
          </cell>
        </row>
        <row r="4054">
          <cell r="A4054" t="str">
            <v>1RE2LPNT6301XZA</v>
          </cell>
          <cell r="B4054">
            <v>359</v>
          </cell>
        </row>
        <row r="4055">
          <cell r="A4055" t="str">
            <v>1RE2LPNT6301ZA</v>
          </cell>
          <cell r="B4055">
            <v>359</v>
          </cell>
        </row>
        <row r="4056">
          <cell r="A4056" t="str">
            <v>1RE2LPNT6301ZA-R1</v>
          </cell>
          <cell r="B4056">
            <v>359</v>
          </cell>
        </row>
        <row r="4057">
          <cell r="A4057" t="str">
            <v>1RE2LPNT6301ZA-S2</v>
          </cell>
          <cell r="B4057">
            <v>360</v>
          </cell>
        </row>
        <row r="4058">
          <cell r="A4058" t="str">
            <v>1RE2LPNT6801XZA</v>
          </cell>
          <cell r="B4058">
            <v>478</v>
          </cell>
        </row>
        <row r="4059">
          <cell r="A4059" t="str">
            <v>1RE2LPNT6801ZA</v>
          </cell>
          <cell r="B4059">
            <v>478</v>
          </cell>
        </row>
        <row r="4060">
          <cell r="A4060" t="str">
            <v>1RE2LPNT6801ZA-R1</v>
          </cell>
          <cell r="B4060">
            <v>478</v>
          </cell>
        </row>
        <row r="4061">
          <cell r="A4061" t="str">
            <v>1RE2LPNT6801ZA-S2</v>
          </cell>
          <cell r="B4061">
            <v>478</v>
          </cell>
        </row>
        <row r="4062">
          <cell r="A4062" t="str">
            <v>1RE2LPPL100RAMZAR1</v>
          </cell>
          <cell r="B4062">
            <v>110</v>
          </cell>
        </row>
        <row r="4063">
          <cell r="A4063" t="str">
            <v>1RE2LPPL200REMZA</v>
          </cell>
          <cell r="B4063">
            <v>107</v>
          </cell>
        </row>
        <row r="4064">
          <cell r="A4064" t="str">
            <v>1RE2LPPL200REMZAG3</v>
          </cell>
          <cell r="B4064">
            <v>91</v>
          </cell>
        </row>
        <row r="4065">
          <cell r="A4065" t="str">
            <v>1RE2LPPL200REMZAR1</v>
          </cell>
          <cell r="B4065">
            <v>107</v>
          </cell>
        </row>
        <row r="4066">
          <cell r="A4066" t="str">
            <v>1RE2LPPL200REMZAR2</v>
          </cell>
          <cell r="B4066">
            <v>107</v>
          </cell>
        </row>
        <row r="4067">
          <cell r="A4067" t="str">
            <v>1RE2LPPL200REMZAS2</v>
          </cell>
          <cell r="B4067">
            <v>107</v>
          </cell>
        </row>
        <row r="4068">
          <cell r="A4068" t="str">
            <v>1RE2LPPU100GMZA</v>
          </cell>
          <cell r="B4068">
            <v>190</v>
          </cell>
        </row>
        <row r="4069">
          <cell r="A4069" t="str">
            <v>1RE2LPPU100GMZA-R1</v>
          </cell>
          <cell r="B4069">
            <v>190</v>
          </cell>
        </row>
        <row r="4070">
          <cell r="A4070" t="str">
            <v>1RE2LPPU100GMZA-S1</v>
          </cell>
          <cell r="B4070">
            <v>171</v>
          </cell>
        </row>
        <row r="4071">
          <cell r="A4071" t="str">
            <v>1RE2LPPU100GMZA-S2</v>
          </cell>
          <cell r="B4071">
            <v>170</v>
          </cell>
        </row>
        <row r="4072">
          <cell r="A4072" t="str">
            <v>1RE2LPPU100NMZA</v>
          </cell>
          <cell r="B4072">
            <v>190</v>
          </cell>
        </row>
        <row r="4073">
          <cell r="A4073" t="str">
            <v>1RE2LPPU100NMZA-R1</v>
          </cell>
          <cell r="B4073">
            <v>190</v>
          </cell>
        </row>
        <row r="4074">
          <cell r="A4074" t="str">
            <v>1RE2LPPU100NMZA-S1</v>
          </cell>
          <cell r="B4074">
            <v>171</v>
          </cell>
        </row>
        <row r="4075">
          <cell r="A4075" t="str">
            <v>1RE2LPPU100NMZA-S2</v>
          </cell>
          <cell r="B4075">
            <v>170</v>
          </cell>
        </row>
        <row r="4076">
          <cell r="A4076" t="str">
            <v>1RE2LPPU101NMZA-S1</v>
          </cell>
          <cell r="B4076">
            <v>171</v>
          </cell>
        </row>
        <row r="4077">
          <cell r="A4077" t="str">
            <v>1RE2LPS1015CMK1V</v>
          </cell>
          <cell r="B4077">
            <v>494</v>
          </cell>
        </row>
        <row r="4078">
          <cell r="A4078" t="str">
            <v>1RE2LPS1015CMZA</v>
          </cell>
          <cell r="B4078">
            <v>494</v>
          </cell>
        </row>
        <row r="4079">
          <cell r="A4079" t="str">
            <v>1RE2LPS1026CMK1V</v>
          </cell>
          <cell r="B4079">
            <v>494</v>
          </cell>
        </row>
        <row r="4080">
          <cell r="A4080" t="str">
            <v>1RE2LPS1026CMZA</v>
          </cell>
          <cell r="B4080">
            <v>494</v>
          </cell>
        </row>
        <row r="4081">
          <cell r="A4081" t="str">
            <v>1RE2LPS1027CMZA</v>
          </cell>
          <cell r="B4081">
            <v>510</v>
          </cell>
        </row>
        <row r="4082">
          <cell r="A4082" t="str">
            <v>1RE2LPS1027CMZAK1</v>
          </cell>
          <cell r="B4082">
            <v>514</v>
          </cell>
        </row>
        <row r="4083">
          <cell r="A4083" t="str">
            <v>1RE2LPS1027CMZAS1</v>
          </cell>
          <cell r="B4083">
            <v>539</v>
          </cell>
        </row>
        <row r="4084">
          <cell r="A4084" t="str">
            <v>1RE2LPS1028YM-R1</v>
          </cell>
          <cell r="B4084">
            <v>544</v>
          </cell>
        </row>
        <row r="4085">
          <cell r="A4085" t="str">
            <v>1RE2LPS1028YM-S1</v>
          </cell>
          <cell r="B4085">
            <v>548</v>
          </cell>
        </row>
        <row r="4086">
          <cell r="A4086" t="str">
            <v>1RE2LPS1028YMZA</v>
          </cell>
          <cell r="B4086">
            <v>544</v>
          </cell>
        </row>
        <row r="4087">
          <cell r="A4087" t="str">
            <v>1RE2LPS1057CMZA</v>
          </cell>
          <cell r="B4087">
            <v>646</v>
          </cell>
        </row>
        <row r="4088">
          <cell r="A4088" t="str">
            <v>1RE2LPS1057CMZAK1</v>
          </cell>
          <cell r="B4088">
            <v>652</v>
          </cell>
        </row>
        <row r="4089">
          <cell r="A4089" t="str">
            <v>1RE2LPS1057CMZAS1</v>
          </cell>
          <cell r="B4089">
            <v>631</v>
          </cell>
        </row>
        <row r="4090">
          <cell r="A4090" t="str">
            <v>1RE2LPS1058YM-R1</v>
          </cell>
          <cell r="B4090">
            <v>579</v>
          </cell>
        </row>
        <row r="4091">
          <cell r="A4091" t="str">
            <v>1RE2LPS1058YM-S1</v>
          </cell>
          <cell r="B4091">
            <v>583</v>
          </cell>
        </row>
        <row r="4092">
          <cell r="A4092" t="str">
            <v>1RE2LPS1058YMZA</v>
          </cell>
          <cell r="B4092">
            <v>579</v>
          </cell>
        </row>
        <row r="4093">
          <cell r="A4093" t="str">
            <v>1RE2LPS1065CVMWAR1</v>
          </cell>
          <cell r="B4093">
            <v>661</v>
          </cell>
        </row>
        <row r="4094">
          <cell r="A4094" t="str">
            <v>1RE2LPS2087HM-S1</v>
          </cell>
          <cell r="B4094">
            <v>1230</v>
          </cell>
        </row>
        <row r="4095">
          <cell r="A4095" t="str">
            <v>1RE2LPS2087J1BMZA</v>
          </cell>
          <cell r="B4095">
            <v>5</v>
          </cell>
        </row>
        <row r="4096">
          <cell r="A4096" t="str">
            <v>1RE2LPS2087JBMZAR1</v>
          </cell>
          <cell r="B4096">
            <v>5</v>
          </cell>
        </row>
        <row r="4097">
          <cell r="A4097" t="str">
            <v>1RE2LPS2087M-R1</v>
          </cell>
          <cell r="B4097">
            <v>1291</v>
          </cell>
        </row>
        <row r="4098">
          <cell r="A4098" t="str">
            <v>1RE2LPS2087MZA</v>
          </cell>
          <cell r="B4098">
            <v>1298</v>
          </cell>
        </row>
        <row r="4099">
          <cell r="A4099" t="str">
            <v>1RE2LPS5076HMZAR1</v>
          </cell>
          <cell r="B4099">
            <v>1017</v>
          </cell>
        </row>
        <row r="4100">
          <cell r="A4100" t="str">
            <v>1RE2LPS7097M-S1</v>
          </cell>
          <cell r="B4100">
            <v>1436</v>
          </cell>
        </row>
        <row r="4101">
          <cell r="A4101" t="str">
            <v>1RE2LPS7097M-S2</v>
          </cell>
          <cell r="B4101">
            <v>1436</v>
          </cell>
        </row>
        <row r="4102">
          <cell r="A4102" t="str">
            <v>1RE2LPS8120MZA</v>
          </cell>
          <cell r="B4102">
            <v>1023</v>
          </cell>
        </row>
        <row r="4103">
          <cell r="A4103" t="str">
            <v>1RE2LPS8127D-R1</v>
          </cell>
          <cell r="B4103">
            <v>455</v>
          </cell>
        </row>
        <row r="4104">
          <cell r="A4104" t="str">
            <v>1RE2LPS8127DZA</v>
          </cell>
          <cell r="B4104">
            <v>456</v>
          </cell>
        </row>
        <row r="4105">
          <cell r="A4105" t="str">
            <v>1RE2LPS8127L-R1</v>
          </cell>
          <cell r="B4105">
            <v>951</v>
          </cell>
        </row>
        <row r="4106">
          <cell r="A4106" t="str">
            <v>1RE2LPS8127M-R1</v>
          </cell>
          <cell r="B4106">
            <v>1023</v>
          </cell>
        </row>
        <row r="4107">
          <cell r="A4107" t="str">
            <v>1RE2LPS8127MZA</v>
          </cell>
          <cell r="B4107">
            <v>1023</v>
          </cell>
        </row>
        <row r="4108">
          <cell r="A4108" t="str">
            <v>1RE2LPS8127ZVMZA</v>
          </cell>
          <cell r="B4108">
            <v>1023</v>
          </cell>
        </row>
        <row r="4109">
          <cell r="A4109" t="str">
            <v>1RE2LPS8130MZA</v>
          </cell>
          <cell r="B4109">
            <v>1043</v>
          </cell>
        </row>
        <row r="4110">
          <cell r="A4110" t="str">
            <v>1RE2LPS8147D-R1</v>
          </cell>
          <cell r="B4110">
            <v>483</v>
          </cell>
        </row>
        <row r="4111">
          <cell r="A4111" t="str">
            <v>1RE2LPS8147DZA</v>
          </cell>
          <cell r="B4111">
            <v>484</v>
          </cell>
        </row>
        <row r="4112">
          <cell r="A4112" t="str">
            <v>1RE2LPS8147L-R1</v>
          </cell>
          <cell r="B4112">
            <v>79</v>
          </cell>
        </row>
        <row r="4113">
          <cell r="A4113" t="str">
            <v>1RE2LPS8147LZA</v>
          </cell>
          <cell r="B4113">
            <v>79</v>
          </cell>
        </row>
        <row r="4114">
          <cell r="A4114" t="str">
            <v>1RE2LPS8147M-R1</v>
          </cell>
          <cell r="B4114">
            <v>1043</v>
          </cell>
        </row>
        <row r="4115">
          <cell r="A4115" t="str">
            <v>1RE2LPS8147MZA</v>
          </cell>
          <cell r="B4115">
            <v>1043</v>
          </cell>
        </row>
        <row r="4116">
          <cell r="A4116" t="str">
            <v>1RE2LPS8147ZVLZA</v>
          </cell>
          <cell r="B4116">
            <v>79</v>
          </cell>
        </row>
        <row r="4117">
          <cell r="A4117" t="str">
            <v>1RE2LPS8147ZVMZA</v>
          </cell>
          <cell r="B4117">
            <v>1043</v>
          </cell>
        </row>
        <row r="4118">
          <cell r="A4118" t="str">
            <v>1RE2LPS8150MZA</v>
          </cell>
          <cell r="B4118">
            <v>1043</v>
          </cell>
        </row>
        <row r="4119">
          <cell r="A4119" t="str">
            <v>1RE2LPSL1056MZA</v>
          </cell>
          <cell r="B4119">
            <v>474</v>
          </cell>
        </row>
        <row r="4120">
          <cell r="A4120" t="str">
            <v>1RE2LPSL1056MZAK1</v>
          </cell>
          <cell r="B4120">
            <v>478</v>
          </cell>
        </row>
        <row r="4121">
          <cell r="A4121" t="str">
            <v>1RE2LPSL1056MZAS1</v>
          </cell>
          <cell r="B4121">
            <v>390</v>
          </cell>
        </row>
        <row r="4122">
          <cell r="A4122" t="str">
            <v>1RE2LPSL1066MZA</v>
          </cell>
          <cell r="B4122">
            <v>610</v>
          </cell>
        </row>
        <row r="4123">
          <cell r="A4123" t="str">
            <v>1RE2LPSL1066MZAK1</v>
          </cell>
          <cell r="B4123">
            <v>616</v>
          </cell>
        </row>
        <row r="4124">
          <cell r="A4124" t="str">
            <v>1RE2LPSL1066MZAS1</v>
          </cell>
          <cell r="B4124">
            <v>540</v>
          </cell>
        </row>
        <row r="4125">
          <cell r="A4125" t="str">
            <v>1RE2LPSL3056M-R1</v>
          </cell>
          <cell r="B4125">
            <v>548</v>
          </cell>
        </row>
        <row r="4126">
          <cell r="A4126" t="str">
            <v>1RE2LPSL3056M-S1</v>
          </cell>
          <cell r="B4126">
            <v>546</v>
          </cell>
        </row>
        <row r="4127">
          <cell r="A4127" t="str">
            <v>1RE2LPSL3056MZA</v>
          </cell>
          <cell r="B4127">
            <v>524</v>
          </cell>
        </row>
        <row r="4128">
          <cell r="A4128" t="str">
            <v>1RE2LPSL3066M-R1</v>
          </cell>
          <cell r="B4128">
            <v>593</v>
          </cell>
        </row>
        <row r="4129">
          <cell r="A4129" t="str">
            <v>1RE2LPSL3066M-S1</v>
          </cell>
          <cell r="B4129">
            <v>591</v>
          </cell>
        </row>
        <row r="4130">
          <cell r="A4130" t="str">
            <v>1RE2LPSL3066MZA</v>
          </cell>
          <cell r="B4130">
            <v>569</v>
          </cell>
        </row>
        <row r="4131">
          <cell r="A4131" t="str">
            <v>1RE2LPTCA185BRRZA</v>
          </cell>
          <cell r="B4131">
            <v>203</v>
          </cell>
        </row>
        <row r="4132">
          <cell r="A4132" t="str">
            <v>1RE2LPTCA185CERZA</v>
          </cell>
          <cell r="B4132">
            <v>202</v>
          </cell>
        </row>
        <row r="4133">
          <cell r="A4133" t="str">
            <v>1RE2LPTCA185RR1</v>
          </cell>
          <cell r="B4133">
            <v>202</v>
          </cell>
        </row>
        <row r="4134">
          <cell r="A4134" t="str">
            <v>1RE2LPTCA185RURZA</v>
          </cell>
          <cell r="B4134">
            <v>202</v>
          </cell>
        </row>
        <row r="4135">
          <cell r="A4135" t="str">
            <v>1RE2LPTCA185RZA</v>
          </cell>
          <cell r="B4135">
            <v>202</v>
          </cell>
        </row>
        <row r="4136">
          <cell r="A4136" t="str">
            <v>1RE2LPTCA285BRRZA</v>
          </cell>
          <cell r="B4136">
            <v>198</v>
          </cell>
        </row>
        <row r="4137">
          <cell r="A4137" t="str">
            <v>1RE2LPTCA285CERR1</v>
          </cell>
          <cell r="B4137">
            <v>197</v>
          </cell>
        </row>
        <row r="4138">
          <cell r="A4138" t="str">
            <v>1RE2LPTCA285CERZA</v>
          </cell>
          <cell r="B4138">
            <v>199</v>
          </cell>
        </row>
        <row r="4139">
          <cell r="A4139" t="str">
            <v>1RE2LPTCA285RR1</v>
          </cell>
          <cell r="B4139">
            <v>197</v>
          </cell>
        </row>
        <row r="4140">
          <cell r="A4140" t="str">
            <v>1RE2LPTCA285RURZA</v>
          </cell>
          <cell r="B4140">
            <v>199</v>
          </cell>
        </row>
        <row r="4141">
          <cell r="A4141" t="str">
            <v>1RE2LPTCA285RZA</v>
          </cell>
          <cell r="B4141">
            <v>199</v>
          </cell>
        </row>
        <row r="4142">
          <cell r="A4142" t="str">
            <v>1RE2LPTCA385BRRZA</v>
          </cell>
          <cell r="B4142">
            <v>163</v>
          </cell>
        </row>
        <row r="4143">
          <cell r="A4143" t="str">
            <v>1RE2LPTCA385CERR1</v>
          </cell>
          <cell r="B4143">
            <v>161</v>
          </cell>
        </row>
        <row r="4144">
          <cell r="A4144" t="str">
            <v>1RE2LPTCA385CERZA</v>
          </cell>
          <cell r="B4144">
            <v>163</v>
          </cell>
        </row>
        <row r="4145">
          <cell r="A4145" t="str">
            <v>1RE2LPTCA385RR1</v>
          </cell>
          <cell r="B4145">
            <v>161</v>
          </cell>
        </row>
        <row r="4146">
          <cell r="A4146" t="str">
            <v>1RE2LPTCA385RURZA</v>
          </cell>
          <cell r="B4146">
            <v>162</v>
          </cell>
        </row>
        <row r="4147">
          <cell r="A4147" t="str">
            <v>1RE2LPTCA385RZA</v>
          </cell>
          <cell r="B4147">
            <v>163</v>
          </cell>
        </row>
        <row r="4148">
          <cell r="A4148" t="str">
            <v>1RE2LPTDA1180SXR1</v>
          </cell>
          <cell r="B4148">
            <v>538</v>
          </cell>
        </row>
        <row r="4149">
          <cell r="A4149" t="str">
            <v>1RE2LPTDA1180SXT1</v>
          </cell>
          <cell r="B4149">
            <v>538</v>
          </cell>
        </row>
        <row r="4150">
          <cell r="A4150" t="str">
            <v>1RE2LPTDA1180SXZA</v>
          </cell>
          <cell r="B4150">
            <v>538</v>
          </cell>
        </row>
        <row r="4151">
          <cell r="A4151" t="str">
            <v>1RE2LPTDA6178XS1</v>
          </cell>
          <cell r="B4151">
            <v>79</v>
          </cell>
        </row>
        <row r="4152">
          <cell r="A4152" t="str">
            <v>1RE2LPTDA63811S1</v>
          </cell>
          <cell r="B4152">
            <v>464</v>
          </cell>
        </row>
        <row r="4153">
          <cell r="A4153" t="str">
            <v>1RE2LPTDA63811ZA</v>
          </cell>
          <cell r="B4153">
            <v>463</v>
          </cell>
        </row>
        <row r="4154">
          <cell r="A4154" t="str">
            <v>1RE2LPTDA63812S1</v>
          </cell>
          <cell r="B4154">
            <v>210</v>
          </cell>
        </row>
        <row r="4155">
          <cell r="A4155" t="str">
            <v>1RE2LPTDA63812ZA</v>
          </cell>
          <cell r="B4155">
            <v>210</v>
          </cell>
        </row>
        <row r="4156">
          <cell r="A4156" t="str">
            <v>1RE2LPTDA6381AL1S1</v>
          </cell>
          <cell r="B4156">
            <v>488</v>
          </cell>
        </row>
        <row r="4157">
          <cell r="A4157" t="str">
            <v>1RE2LPTDA6381AL1ZA</v>
          </cell>
          <cell r="B4157">
            <v>488</v>
          </cell>
        </row>
        <row r="4158">
          <cell r="A4158" t="str">
            <v>1RE2LPTDA6381AL2S1</v>
          </cell>
          <cell r="B4158">
            <v>218</v>
          </cell>
        </row>
        <row r="4159">
          <cell r="A4159" t="str">
            <v>1RE2LPTDA6381AL2ZA</v>
          </cell>
          <cell r="B4159">
            <v>218</v>
          </cell>
        </row>
        <row r="4160">
          <cell r="A4160" t="str">
            <v>1RE2LPTDA6381C1ZA</v>
          </cell>
          <cell r="B4160">
            <v>463</v>
          </cell>
        </row>
        <row r="4161">
          <cell r="A4161" t="str">
            <v>1RE2LPTDA6381C2ZA</v>
          </cell>
          <cell r="B4161">
            <v>210</v>
          </cell>
        </row>
        <row r="4162">
          <cell r="A4162" t="str">
            <v>1RE2LPTDA6381CX1ZA</v>
          </cell>
          <cell r="B4162">
            <v>480</v>
          </cell>
        </row>
        <row r="4163">
          <cell r="A4163" t="str">
            <v>1RE2LPTDA6381CX2ZA</v>
          </cell>
          <cell r="B4163">
            <v>210</v>
          </cell>
        </row>
        <row r="4164">
          <cell r="A4164" t="str">
            <v>1RE2LPTDA6381SX1T1</v>
          </cell>
          <cell r="B4164">
            <v>488</v>
          </cell>
        </row>
        <row r="4165">
          <cell r="A4165" t="str">
            <v>1RE2LPTDA6381SX1ZA</v>
          </cell>
          <cell r="B4165">
            <v>488</v>
          </cell>
        </row>
        <row r="4166">
          <cell r="A4166" t="str">
            <v>1RE2LPTDA6381SX2T1</v>
          </cell>
          <cell r="B4166">
            <v>226</v>
          </cell>
        </row>
        <row r="4167">
          <cell r="A4167" t="str">
            <v>1RE2LPTDA6381SX2ZA</v>
          </cell>
          <cell r="B4167">
            <v>218</v>
          </cell>
        </row>
        <row r="4168">
          <cell r="A4168" t="str">
            <v>1RE2LPTDA6381UK1ZA</v>
          </cell>
          <cell r="B4168">
            <v>479</v>
          </cell>
        </row>
        <row r="4169">
          <cell r="A4169" t="str">
            <v>1RE2LPTDA6381UK2ZA</v>
          </cell>
          <cell r="B4169">
            <v>210</v>
          </cell>
        </row>
        <row r="4170">
          <cell r="A4170" t="str">
            <v>1RE2LPTDA6381X1S1</v>
          </cell>
          <cell r="B4170">
            <v>480</v>
          </cell>
        </row>
        <row r="4171">
          <cell r="A4171" t="str">
            <v>1RE2LPTDA6381X1ZA</v>
          </cell>
          <cell r="B4171">
            <v>480</v>
          </cell>
        </row>
        <row r="4172">
          <cell r="A4172" t="str">
            <v>1RE2LPTDA6381X2S1</v>
          </cell>
          <cell r="B4172">
            <v>210</v>
          </cell>
        </row>
        <row r="4173">
          <cell r="A4173" t="str">
            <v>1RE2LPTDA6381X2ZA</v>
          </cell>
          <cell r="B4173">
            <v>210</v>
          </cell>
        </row>
        <row r="4174">
          <cell r="A4174" t="str">
            <v>1RE2LPTDA63821S1</v>
          </cell>
          <cell r="B4174">
            <v>582</v>
          </cell>
        </row>
        <row r="4175">
          <cell r="A4175" t="str">
            <v>1RE2LPTDA63821ZA</v>
          </cell>
          <cell r="B4175">
            <v>581</v>
          </cell>
        </row>
        <row r="4176">
          <cell r="A4176" t="str">
            <v>1RE2LPTDA63822S1</v>
          </cell>
          <cell r="B4176">
            <v>235</v>
          </cell>
        </row>
        <row r="4177">
          <cell r="A4177" t="str">
            <v>1RE2LPTDA63822ZA</v>
          </cell>
          <cell r="B4177">
            <v>235</v>
          </cell>
        </row>
        <row r="4178">
          <cell r="A4178" t="str">
            <v>1RE2LPTDA6382AG1S1</v>
          </cell>
          <cell r="B4178">
            <v>598</v>
          </cell>
        </row>
        <row r="4179">
          <cell r="A4179" t="str">
            <v>1RE2LPTDA6382AG2S1</v>
          </cell>
          <cell r="B4179">
            <v>235</v>
          </cell>
        </row>
        <row r="4180">
          <cell r="A4180" t="str">
            <v>1RE2LPTDA6382AL1S1</v>
          </cell>
          <cell r="B4180">
            <v>606</v>
          </cell>
        </row>
        <row r="4181">
          <cell r="A4181" t="str">
            <v>1RE2LPTDA6382AL2S1</v>
          </cell>
          <cell r="B4181">
            <v>243</v>
          </cell>
        </row>
        <row r="4182">
          <cell r="A4182" t="str">
            <v>1RE2LPTDA6382C1ZA</v>
          </cell>
          <cell r="B4182">
            <v>581</v>
          </cell>
        </row>
        <row r="4183">
          <cell r="A4183" t="str">
            <v>1RE2LPTDA6382C2ZA</v>
          </cell>
          <cell r="B4183">
            <v>235</v>
          </cell>
        </row>
        <row r="4184">
          <cell r="A4184" t="str">
            <v>1RE2LPTDA6382CX1ZA</v>
          </cell>
          <cell r="B4184">
            <v>597</v>
          </cell>
        </row>
        <row r="4185">
          <cell r="A4185" t="str">
            <v>1RE2LPTDA6382CX2ZA</v>
          </cell>
          <cell r="B4185">
            <v>235</v>
          </cell>
        </row>
        <row r="4186">
          <cell r="A4186" t="str">
            <v>1RE2LPTDA6382SX1T1</v>
          </cell>
          <cell r="B4186">
            <v>606</v>
          </cell>
        </row>
        <row r="4187">
          <cell r="A4187" t="str">
            <v>1RE2LPTDA6382SX1ZA</v>
          </cell>
          <cell r="B4187">
            <v>606</v>
          </cell>
        </row>
        <row r="4188">
          <cell r="A4188" t="str">
            <v>1RE2LPTDA6382SX2T1</v>
          </cell>
          <cell r="B4188">
            <v>251</v>
          </cell>
        </row>
        <row r="4189">
          <cell r="A4189" t="str">
            <v>1RE2LPTDA6382SX2ZA</v>
          </cell>
          <cell r="B4189">
            <v>243</v>
          </cell>
        </row>
        <row r="4190">
          <cell r="A4190" t="str">
            <v>1RE2LPTDA6382TW1S1</v>
          </cell>
          <cell r="B4190">
            <v>598</v>
          </cell>
        </row>
        <row r="4191">
          <cell r="A4191" t="str">
            <v>1RE2LPTDA6382TW1ZA</v>
          </cell>
          <cell r="B4191">
            <v>597</v>
          </cell>
        </row>
        <row r="4192">
          <cell r="A4192" t="str">
            <v>1RE2LPTDA6382TW2S1</v>
          </cell>
          <cell r="B4192">
            <v>235</v>
          </cell>
        </row>
        <row r="4193">
          <cell r="A4193" t="str">
            <v>1RE2LPTDA6382TW2ZA</v>
          </cell>
          <cell r="B4193">
            <v>235</v>
          </cell>
        </row>
        <row r="4194">
          <cell r="A4194" t="str">
            <v>1RE2LPTDA6382UK1ZA</v>
          </cell>
          <cell r="B4194">
            <v>597</v>
          </cell>
        </row>
        <row r="4195">
          <cell r="A4195" t="str">
            <v>1RE2LPTDA6382UK2ZA</v>
          </cell>
          <cell r="B4195">
            <v>235</v>
          </cell>
        </row>
        <row r="4196">
          <cell r="A4196" t="str">
            <v>1RE2LPTDA6382X1S1</v>
          </cell>
          <cell r="B4196">
            <v>598</v>
          </cell>
        </row>
        <row r="4197">
          <cell r="A4197" t="str">
            <v>1RE2LPTDA6382X1ZA</v>
          </cell>
          <cell r="B4197">
            <v>598</v>
          </cell>
        </row>
        <row r="4198">
          <cell r="A4198" t="str">
            <v>1RE2LPTDA6382X2S1</v>
          </cell>
          <cell r="B4198">
            <v>235</v>
          </cell>
        </row>
        <row r="4199">
          <cell r="A4199" t="str">
            <v>1RE2LPTDA6382X2S2</v>
          </cell>
          <cell r="B4199">
            <v>235</v>
          </cell>
        </row>
        <row r="4200">
          <cell r="A4200" t="str">
            <v>1RE2LPTDA6382X2ZA</v>
          </cell>
          <cell r="B4200">
            <v>235</v>
          </cell>
        </row>
        <row r="4201">
          <cell r="A4201" t="str">
            <v>1RE2LPTGP600A01HZA</v>
          </cell>
          <cell r="B4201">
            <v>193</v>
          </cell>
        </row>
        <row r="4202">
          <cell r="A4202" t="str">
            <v>1RE2LPTGP600A03HZA</v>
          </cell>
          <cell r="B4202">
            <v>193</v>
          </cell>
        </row>
        <row r="4203">
          <cell r="A4203" t="str">
            <v>1RE2LPTGP600ALGHZA</v>
          </cell>
          <cell r="B4203">
            <v>193</v>
          </cell>
        </row>
        <row r="4204">
          <cell r="A4204" t="str">
            <v>1RE2LPTGP600ALHZA</v>
          </cell>
          <cell r="B4204">
            <v>193</v>
          </cell>
        </row>
        <row r="4205">
          <cell r="A4205" t="str">
            <v>1RE2LPTGP600CEGHZA</v>
          </cell>
          <cell r="B4205">
            <v>193</v>
          </cell>
        </row>
        <row r="4206">
          <cell r="A4206" t="str">
            <v>1RE2LPTGP600CEH-G1</v>
          </cell>
          <cell r="B4206">
            <v>218</v>
          </cell>
        </row>
        <row r="4207">
          <cell r="A4207" t="str">
            <v>1RE2LPTGP600CEH-S1</v>
          </cell>
          <cell r="B4207">
            <v>194</v>
          </cell>
        </row>
        <row r="4208">
          <cell r="A4208" t="str">
            <v>1RE2LPTGP600CEH-S2</v>
          </cell>
          <cell r="B4208">
            <v>196</v>
          </cell>
        </row>
        <row r="4209">
          <cell r="A4209" t="str">
            <v>1RE2LPTGP600CEHZA</v>
          </cell>
          <cell r="B4209">
            <v>193</v>
          </cell>
        </row>
        <row r="4210">
          <cell r="A4210" t="str">
            <v>1RE2LPTGP600CHZA</v>
          </cell>
          <cell r="B4210">
            <v>193</v>
          </cell>
        </row>
        <row r="4211">
          <cell r="A4211" t="str">
            <v>1RE2LPTGP600GHZA</v>
          </cell>
          <cell r="B4211">
            <v>193</v>
          </cell>
        </row>
        <row r="4212">
          <cell r="A4212" t="str">
            <v>1RE2LPTGP600H-S1</v>
          </cell>
          <cell r="B4212">
            <v>193</v>
          </cell>
        </row>
        <row r="4213">
          <cell r="A4213" t="str">
            <v>1RE2LPTGP600H-S2</v>
          </cell>
          <cell r="B4213">
            <v>196</v>
          </cell>
        </row>
        <row r="4214">
          <cell r="A4214" t="str">
            <v>1RE2LPTGP600HZA</v>
          </cell>
          <cell r="B4214">
            <v>193</v>
          </cell>
        </row>
        <row r="4215">
          <cell r="A4215" t="str">
            <v>1RE2LPTGP600LAH-S1</v>
          </cell>
          <cell r="B4215">
            <v>194</v>
          </cell>
        </row>
        <row r="4216">
          <cell r="A4216" t="str">
            <v>1RE2LPTGP600LAH-S2</v>
          </cell>
          <cell r="B4216">
            <v>196</v>
          </cell>
        </row>
        <row r="4217">
          <cell r="A4217" t="str">
            <v>1RE2LPTGP600LAHZA</v>
          </cell>
          <cell r="B4217">
            <v>193</v>
          </cell>
        </row>
        <row r="4218">
          <cell r="A4218" t="str">
            <v>1RE2LPTGP600LCHZA</v>
          </cell>
          <cell r="B4218">
            <v>193</v>
          </cell>
        </row>
        <row r="4219">
          <cell r="A4219" t="str">
            <v>1RE2LPTGP600RUH-S1</v>
          </cell>
          <cell r="B4219">
            <v>194</v>
          </cell>
        </row>
        <row r="4220">
          <cell r="A4220" t="str">
            <v>1RE2LPTGP600RUH-S2</v>
          </cell>
          <cell r="B4220">
            <v>196</v>
          </cell>
        </row>
        <row r="4221">
          <cell r="A4221" t="str">
            <v>1RE2LPTGP600RUHZA</v>
          </cell>
          <cell r="B4221">
            <v>193</v>
          </cell>
        </row>
        <row r="4222">
          <cell r="A4222" t="str">
            <v>1RE2LPTGP700AL1-R1</v>
          </cell>
          <cell r="B4222">
            <v>476</v>
          </cell>
        </row>
        <row r="4223">
          <cell r="A4223" t="str">
            <v>1RE2LPTGP700AL1ZA</v>
          </cell>
          <cell r="B4223">
            <v>473</v>
          </cell>
        </row>
        <row r="4224">
          <cell r="A4224" t="str">
            <v>1RE2LPTGP700CE1-R1</v>
          </cell>
          <cell r="B4224">
            <v>476</v>
          </cell>
        </row>
        <row r="4225">
          <cell r="A4225" t="str">
            <v>1RE2LPTGP700CE1-S2</v>
          </cell>
          <cell r="B4225">
            <v>471</v>
          </cell>
        </row>
        <row r="4226">
          <cell r="A4226" t="str">
            <v>1RE2LPTGP700CE1ZA</v>
          </cell>
          <cell r="B4226">
            <v>950</v>
          </cell>
        </row>
        <row r="4227">
          <cell r="A4227" t="str">
            <v>1RE2LPTGP700-G1</v>
          </cell>
          <cell r="B4227">
            <v>482</v>
          </cell>
        </row>
        <row r="4228">
          <cell r="A4228" t="str">
            <v>1RE2LPTGP700H1-S1</v>
          </cell>
          <cell r="B4228">
            <v>475</v>
          </cell>
        </row>
        <row r="4229">
          <cell r="A4229" t="str">
            <v>1RE2LPTGP700M1-R1</v>
          </cell>
          <cell r="B4229">
            <v>475</v>
          </cell>
        </row>
        <row r="4230">
          <cell r="A4230" t="str">
            <v>1RE2LPTGP700M1-S2</v>
          </cell>
          <cell r="B4230">
            <v>471</v>
          </cell>
        </row>
        <row r="4231">
          <cell r="A4231" t="str">
            <v>1RE2LPTGP700M1ZA</v>
          </cell>
          <cell r="B4231">
            <v>473</v>
          </cell>
        </row>
        <row r="4232">
          <cell r="A4232" t="str">
            <v>1RE2LPTGP700VE-S1</v>
          </cell>
          <cell r="B4232">
            <v>477</v>
          </cell>
        </row>
        <row r="4233">
          <cell r="A4233" t="str">
            <v>1RE2LPTPA60A01RZA</v>
          </cell>
          <cell r="B4233">
            <v>134</v>
          </cell>
        </row>
        <row r="4234">
          <cell r="A4234" t="str">
            <v>1RE2LPTPA60A03RZA</v>
          </cell>
          <cell r="B4234">
            <v>134</v>
          </cell>
        </row>
        <row r="4235">
          <cell r="A4235" t="str">
            <v>1RE2LPTPA60ALRZA</v>
          </cell>
          <cell r="B4235">
            <v>134</v>
          </cell>
        </row>
        <row r="4236">
          <cell r="A4236" t="str">
            <v>1RE2LPTPA60CER-G1</v>
          </cell>
          <cell r="B4236">
            <v>130</v>
          </cell>
        </row>
        <row r="4237">
          <cell r="A4237" t="str">
            <v>1RE2LPTPA60CER-S1</v>
          </cell>
          <cell r="B4237">
            <v>129</v>
          </cell>
        </row>
        <row r="4238">
          <cell r="A4238" t="str">
            <v>1RE2LPTPA60CER-S2</v>
          </cell>
          <cell r="B4238">
            <v>131</v>
          </cell>
        </row>
        <row r="4239">
          <cell r="A4239" t="str">
            <v>1RE2LPTPA60CERZA</v>
          </cell>
          <cell r="B4239">
            <v>134</v>
          </cell>
        </row>
        <row r="4240">
          <cell r="A4240" t="str">
            <v>1RE2LPTPA60CRZA</v>
          </cell>
          <cell r="B4240">
            <v>134</v>
          </cell>
        </row>
        <row r="4241">
          <cell r="A4241" t="str">
            <v>1RE2LPTPA60LAR-S1</v>
          </cell>
          <cell r="B4241">
            <v>129</v>
          </cell>
        </row>
        <row r="4242">
          <cell r="A4242" t="str">
            <v>1RE2LPTPA60LAR-S2</v>
          </cell>
          <cell r="B4242">
            <v>131</v>
          </cell>
        </row>
        <row r="4243">
          <cell r="A4243" t="str">
            <v>1RE2LPTPA60LARZA</v>
          </cell>
          <cell r="B4243">
            <v>134</v>
          </cell>
        </row>
        <row r="4244">
          <cell r="A4244" t="str">
            <v>1RE2LPTPA60LCRZA</v>
          </cell>
          <cell r="B4244">
            <v>134</v>
          </cell>
        </row>
        <row r="4245">
          <cell r="A4245" t="str">
            <v>1RE2LPTPA60R-S1</v>
          </cell>
          <cell r="B4245">
            <v>129</v>
          </cell>
        </row>
        <row r="4246">
          <cell r="A4246" t="str">
            <v>1RE2LPTPA60R-S2</v>
          </cell>
          <cell r="B4246">
            <v>131</v>
          </cell>
        </row>
        <row r="4247">
          <cell r="A4247" t="str">
            <v>1RE2LPTPA60RUR-S1</v>
          </cell>
          <cell r="B4247">
            <v>129</v>
          </cell>
        </row>
        <row r="4248">
          <cell r="A4248" t="str">
            <v>1RE2LPTPA60RUR-S2</v>
          </cell>
          <cell r="B4248">
            <v>131</v>
          </cell>
        </row>
        <row r="4249">
          <cell r="A4249" t="str">
            <v>1RE2LPTPA60RURZA</v>
          </cell>
          <cell r="B4249">
            <v>134</v>
          </cell>
        </row>
        <row r="4250">
          <cell r="A4250" t="str">
            <v>1RE2LPTPA60RZA</v>
          </cell>
          <cell r="B4250">
            <v>134</v>
          </cell>
        </row>
        <row r="4251">
          <cell r="A4251" t="str">
            <v>1RE2LPTPA65ALRZA</v>
          </cell>
          <cell r="B4251">
            <v>221</v>
          </cell>
        </row>
        <row r="4252">
          <cell r="A4252" t="str">
            <v>1RE2LPTPA65CER-G1</v>
          </cell>
          <cell r="B4252">
            <v>77</v>
          </cell>
        </row>
        <row r="4253">
          <cell r="A4253" t="str">
            <v>1RE2LPTPA65CER-S1</v>
          </cell>
          <cell r="B4253">
            <v>189</v>
          </cell>
        </row>
        <row r="4254">
          <cell r="A4254" t="str">
            <v>1RE2LPTPA65CER-S2</v>
          </cell>
          <cell r="B4254">
            <v>221</v>
          </cell>
        </row>
        <row r="4255">
          <cell r="A4255" t="str">
            <v>1RE2LPTPA65CERZA</v>
          </cell>
          <cell r="B4255">
            <v>221</v>
          </cell>
        </row>
        <row r="4256">
          <cell r="A4256" t="str">
            <v>1RE2LPTPA65CRZA</v>
          </cell>
          <cell r="B4256">
            <v>221</v>
          </cell>
        </row>
        <row r="4257">
          <cell r="A4257" t="str">
            <v>1RE2LPTPA65LAR-S1</v>
          </cell>
          <cell r="B4257">
            <v>233</v>
          </cell>
        </row>
        <row r="4258">
          <cell r="A4258" t="str">
            <v>1RE2LPTPA65LARZA</v>
          </cell>
          <cell r="B4258">
            <v>221</v>
          </cell>
        </row>
        <row r="4259">
          <cell r="A4259" t="str">
            <v>1RE2LPTPA65LCRZA</v>
          </cell>
          <cell r="B4259">
            <v>221</v>
          </cell>
        </row>
        <row r="4260">
          <cell r="A4260" t="str">
            <v>1RE2LPTPA65R-S1</v>
          </cell>
          <cell r="B4260">
            <v>232</v>
          </cell>
        </row>
        <row r="4261">
          <cell r="A4261" t="str">
            <v>1RE2LPTPA65RUR-S1</v>
          </cell>
          <cell r="B4261">
            <v>233</v>
          </cell>
        </row>
        <row r="4262">
          <cell r="A4262" t="str">
            <v>1RE2LPTPA65RURZA</v>
          </cell>
          <cell r="B4262">
            <v>221</v>
          </cell>
        </row>
        <row r="4263">
          <cell r="A4263" t="str">
            <v>1RE2LPTPA65RZA</v>
          </cell>
          <cell r="B4263">
            <v>221</v>
          </cell>
        </row>
        <row r="4264">
          <cell r="A4264" t="str">
            <v>1RE2LPTPA68A03R-R1</v>
          </cell>
          <cell r="B4264">
            <v>484</v>
          </cell>
        </row>
        <row r="4265">
          <cell r="A4265" t="str">
            <v>1RE2LPTPA68A03RZA</v>
          </cell>
          <cell r="B4265">
            <v>482</v>
          </cell>
        </row>
        <row r="4266">
          <cell r="A4266" t="str">
            <v>1RE2LPTPA68ALRZA</v>
          </cell>
          <cell r="B4266">
            <v>484</v>
          </cell>
        </row>
        <row r="4267">
          <cell r="A4267" t="str">
            <v>1RE2LPTPA68CERZA</v>
          </cell>
          <cell r="B4267">
            <v>484</v>
          </cell>
        </row>
        <row r="4268">
          <cell r="A4268" t="str">
            <v>1RE2LPTPA68CRZA</v>
          </cell>
          <cell r="B4268">
            <v>482</v>
          </cell>
        </row>
        <row r="4269">
          <cell r="A4269" t="str">
            <v>1RE2LPTPA68RZA</v>
          </cell>
          <cell r="B4269">
            <v>484</v>
          </cell>
        </row>
        <row r="4270">
          <cell r="A4270" t="str">
            <v>1RE2LPTPA70AL1-R1</v>
          </cell>
          <cell r="B4270">
            <v>204</v>
          </cell>
        </row>
        <row r="4271">
          <cell r="A4271" t="str">
            <v>1RE2LPTPA70AL1ZA</v>
          </cell>
          <cell r="B4271">
            <v>205</v>
          </cell>
        </row>
        <row r="4272">
          <cell r="A4272" t="str">
            <v>1RE2LPTPA70C1-R1</v>
          </cell>
          <cell r="B4272">
            <v>204</v>
          </cell>
        </row>
        <row r="4273">
          <cell r="A4273" t="str">
            <v>1RE2LPTPA70C1ZA</v>
          </cell>
          <cell r="B4273">
            <v>204</v>
          </cell>
        </row>
        <row r="4274">
          <cell r="A4274" t="str">
            <v>1RE2LPTPA70CE1-R1</v>
          </cell>
          <cell r="B4274">
            <v>204</v>
          </cell>
        </row>
        <row r="4275">
          <cell r="A4275" t="str">
            <v>1RE2LPTPA70CE1-S2</v>
          </cell>
          <cell r="B4275">
            <v>203</v>
          </cell>
        </row>
        <row r="4276">
          <cell r="A4276" t="str">
            <v>1RE2LPTPA70CE1ZA</v>
          </cell>
          <cell r="B4276">
            <v>205</v>
          </cell>
        </row>
        <row r="4277">
          <cell r="A4277" t="str">
            <v>1RE2LPTPA70M1-R1</v>
          </cell>
          <cell r="B4277">
            <v>204</v>
          </cell>
        </row>
        <row r="4278">
          <cell r="A4278" t="str">
            <v>1RE2LPTPA70M1-S2</v>
          </cell>
          <cell r="B4278">
            <v>203</v>
          </cell>
        </row>
        <row r="4279">
          <cell r="A4279" t="str">
            <v>1RE2LPTPA70M1ZA</v>
          </cell>
          <cell r="B4279">
            <v>205</v>
          </cell>
        </row>
        <row r="4280">
          <cell r="A4280" t="str">
            <v>1RE2LPTPA70R1-S1</v>
          </cell>
          <cell r="B4280">
            <v>204</v>
          </cell>
        </row>
        <row r="4281">
          <cell r="A4281" t="str">
            <v>1RE2LPTPA70R1ZA-G2</v>
          </cell>
          <cell r="B4281">
            <v>231</v>
          </cell>
        </row>
        <row r="4282">
          <cell r="A4282" t="str">
            <v>1RE2LPTPA72R1ZA-G2</v>
          </cell>
          <cell r="B4282">
            <v>264</v>
          </cell>
        </row>
        <row r="4283">
          <cell r="A4283" t="str">
            <v>1RE2LPTPA73AL1-R1</v>
          </cell>
          <cell r="B4283">
            <v>276</v>
          </cell>
        </row>
        <row r="4284">
          <cell r="A4284" t="str">
            <v>1RE2LPTPA73AL1ZA</v>
          </cell>
          <cell r="B4284">
            <v>278</v>
          </cell>
        </row>
        <row r="4285">
          <cell r="A4285" t="str">
            <v>1RE2LPTPA73C1-R1</v>
          </cell>
          <cell r="B4285">
            <v>276</v>
          </cell>
        </row>
        <row r="4286">
          <cell r="A4286" t="str">
            <v>1RE2LPTPA73C1ZA</v>
          </cell>
          <cell r="B4286">
            <v>277</v>
          </cell>
        </row>
        <row r="4287">
          <cell r="A4287" t="str">
            <v>1RE2LPTPA73CE1-R1</v>
          </cell>
          <cell r="B4287">
            <v>276</v>
          </cell>
        </row>
        <row r="4288">
          <cell r="A4288" t="str">
            <v>1RE2LPTPA73CE1-S2</v>
          </cell>
          <cell r="B4288">
            <v>275</v>
          </cell>
        </row>
        <row r="4289">
          <cell r="A4289" t="str">
            <v>1RE2LPTPA73CE1ZA</v>
          </cell>
          <cell r="B4289">
            <v>278</v>
          </cell>
        </row>
        <row r="4290">
          <cell r="A4290" t="str">
            <v>1RE2LPTPA73M1-R1</v>
          </cell>
          <cell r="B4290">
            <v>276</v>
          </cell>
        </row>
        <row r="4291">
          <cell r="A4291" t="str">
            <v>1RE2LPTPA73M1-S2</v>
          </cell>
          <cell r="B4291">
            <v>275</v>
          </cell>
        </row>
        <row r="4292">
          <cell r="A4292" t="str">
            <v>1RE2LPTPA73M1ZA</v>
          </cell>
          <cell r="B4292">
            <v>278</v>
          </cell>
        </row>
        <row r="4293">
          <cell r="A4293" t="str">
            <v>1RE2LPTPA73R1-S1</v>
          </cell>
          <cell r="B4293">
            <v>276</v>
          </cell>
        </row>
        <row r="4294">
          <cell r="A4294" t="str">
            <v>1RE2LPTPA73R1ZA-G3</v>
          </cell>
          <cell r="B4294">
            <v>273</v>
          </cell>
        </row>
        <row r="4295">
          <cell r="A4295" t="str">
            <v>1RE2LPTPA8001ZAS1</v>
          </cell>
          <cell r="B4295">
            <v>297</v>
          </cell>
        </row>
        <row r="4296">
          <cell r="A4296" t="str">
            <v>1RE2LPUDS124CEHZA</v>
          </cell>
          <cell r="B4296">
            <v>221</v>
          </cell>
        </row>
        <row r="4297">
          <cell r="A4297" t="str">
            <v>1RE2LPUDS124CEHZAS</v>
          </cell>
          <cell r="B4297">
            <v>191</v>
          </cell>
        </row>
        <row r="4298">
          <cell r="A4298" t="str">
            <v>1RE2LPUDS124CEHZR1</v>
          </cell>
          <cell r="B4298">
            <v>204</v>
          </cell>
        </row>
        <row r="4299">
          <cell r="A4299" t="str">
            <v>1RE2LPUDS124CEHZS2</v>
          </cell>
          <cell r="B4299">
            <v>193</v>
          </cell>
        </row>
        <row r="4300">
          <cell r="A4300" t="str">
            <v>1RE2LPUDS124CEHZS3</v>
          </cell>
          <cell r="B4300">
            <v>204</v>
          </cell>
        </row>
        <row r="4301">
          <cell r="A4301" t="str">
            <v>1RE2LPUDS124HZA</v>
          </cell>
          <cell r="B4301">
            <v>221</v>
          </cell>
        </row>
        <row r="4302">
          <cell r="A4302" t="str">
            <v>1RE2LPUDS124HZAR1</v>
          </cell>
          <cell r="B4302">
            <v>222</v>
          </cell>
        </row>
        <row r="4303">
          <cell r="A4303" t="str">
            <v>1RE2LPUDS124HZAS2</v>
          </cell>
          <cell r="B4303">
            <v>193</v>
          </cell>
        </row>
        <row r="4304">
          <cell r="A4304" t="str">
            <v>1RE2LPUDS124HZAS3</v>
          </cell>
          <cell r="B4304">
            <v>204</v>
          </cell>
        </row>
        <row r="4305">
          <cell r="A4305" t="str">
            <v>1RE2LPUDT111CERZA</v>
          </cell>
          <cell r="B4305">
            <v>202</v>
          </cell>
        </row>
        <row r="4306">
          <cell r="A4306" t="str">
            <v>1RE2LPUDT111CERZAS</v>
          </cell>
          <cell r="B4306">
            <v>194</v>
          </cell>
        </row>
        <row r="4307">
          <cell r="A4307" t="str">
            <v>1RE2LPUDT111CERZR1</v>
          </cell>
          <cell r="B4307">
            <v>191</v>
          </cell>
        </row>
        <row r="4308">
          <cell r="A4308" t="str">
            <v>1RE2LPUDT111CERZS2</v>
          </cell>
          <cell r="B4308">
            <v>191</v>
          </cell>
        </row>
        <row r="4309">
          <cell r="A4309" t="str">
            <v>1RE2LPUDT111CERZS3</v>
          </cell>
          <cell r="B4309">
            <v>191</v>
          </cell>
        </row>
        <row r="4310">
          <cell r="A4310" t="str">
            <v>1RE2LPUDT111RURZA</v>
          </cell>
          <cell r="B4310">
            <v>202</v>
          </cell>
        </row>
        <row r="4311">
          <cell r="A4311" t="str">
            <v>1RE2LPUDT111RURZR1</v>
          </cell>
          <cell r="B4311">
            <v>202</v>
          </cell>
        </row>
        <row r="4312">
          <cell r="A4312" t="str">
            <v>1RE2LPUDT111RZA</v>
          </cell>
          <cell r="B4312">
            <v>196</v>
          </cell>
        </row>
        <row r="4313">
          <cell r="A4313" t="str">
            <v>1RE2LPUDT111RZAR1</v>
          </cell>
          <cell r="B4313">
            <v>201</v>
          </cell>
        </row>
        <row r="4314">
          <cell r="A4314" t="str">
            <v>1RE2LPUDT111RZAS2</v>
          </cell>
          <cell r="B4314">
            <v>191</v>
          </cell>
        </row>
        <row r="4315">
          <cell r="A4315" t="str">
            <v>1RE2LPUDT111RZAS3</v>
          </cell>
          <cell r="B4315">
            <v>191</v>
          </cell>
        </row>
        <row r="4316">
          <cell r="A4316" t="str">
            <v>1RE2LPUDT121CERZA</v>
          </cell>
          <cell r="B4316">
            <v>199</v>
          </cell>
        </row>
        <row r="4317">
          <cell r="A4317" t="str">
            <v>1RE2LPUDT121CERZR1</v>
          </cell>
          <cell r="B4317">
            <v>186</v>
          </cell>
        </row>
        <row r="4318">
          <cell r="A4318" t="str">
            <v>1RE2LPUDT121CERZS3</v>
          </cell>
          <cell r="B4318">
            <v>186</v>
          </cell>
        </row>
        <row r="4319">
          <cell r="A4319" t="str">
            <v>1RE2LPUDT121CERZS4</v>
          </cell>
          <cell r="B4319">
            <v>186</v>
          </cell>
        </row>
        <row r="4320">
          <cell r="A4320" t="str">
            <v>1RE2LPUDT121CERZS5</v>
          </cell>
          <cell r="B4320">
            <v>185</v>
          </cell>
        </row>
        <row r="4321">
          <cell r="A4321" t="str">
            <v>1RE2LPUDT121RURZA</v>
          </cell>
          <cell r="B4321">
            <v>199</v>
          </cell>
        </row>
        <row r="4322">
          <cell r="A4322" t="str">
            <v>1RE2LPUDT121RZA</v>
          </cell>
          <cell r="B4322">
            <v>199</v>
          </cell>
        </row>
        <row r="4323">
          <cell r="A4323" t="str">
            <v>1RE2LPUDT121RZAR1</v>
          </cell>
          <cell r="B4323">
            <v>198</v>
          </cell>
        </row>
        <row r="4324">
          <cell r="A4324" t="str">
            <v>1RE2LPUDT121RZAS3</v>
          </cell>
          <cell r="B4324">
            <v>187</v>
          </cell>
        </row>
        <row r="4325">
          <cell r="A4325" t="str">
            <v>1RE2LPUDT121RZAS4</v>
          </cell>
          <cell r="B4325">
            <v>186</v>
          </cell>
        </row>
        <row r="4326">
          <cell r="A4326" t="str">
            <v>1RE2LPUDT121RZAS5</v>
          </cell>
          <cell r="B4326">
            <v>186</v>
          </cell>
        </row>
        <row r="4327">
          <cell r="A4327" t="str">
            <v>1RE2LPUDT131CERR1</v>
          </cell>
          <cell r="B4327">
            <v>161</v>
          </cell>
        </row>
        <row r="4328">
          <cell r="A4328" t="str">
            <v>1RE2LPUDT131CERZA</v>
          </cell>
          <cell r="B4328">
            <v>163</v>
          </cell>
        </row>
        <row r="4329">
          <cell r="A4329" t="str">
            <v>1RE2LPUDT131CERZS1</v>
          </cell>
          <cell r="B4329">
            <v>176</v>
          </cell>
        </row>
        <row r="4330">
          <cell r="A4330" t="str">
            <v>1RE2LPUDT131RR1</v>
          </cell>
          <cell r="B4330">
            <v>161</v>
          </cell>
        </row>
        <row r="4331">
          <cell r="A4331" t="str">
            <v>1RE2LPUDT131RZA</v>
          </cell>
          <cell r="B4331">
            <v>163</v>
          </cell>
        </row>
        <row r="4332">
          <cell r="A4332" t="str">
            <v>1RE2LPUT1301ZAS1</v>
          </cell>
          <cell r="B4332">
            <v>167</v>
          </cell>
        </row>
        <row r="4333">
          <cell r="A4333" t="str">
            <v>1RE2LPUT2481ZA</v>
          </cell>
          <cell r="B4333">
            <v>336</v>
          </cell>
        </row>
        <row r="4334">
          <cell r="A4334" t="str">
            <v>1RE2LPUT2481ZAR1</v>
          </cell>
          <cell r="B4334">
            <v>336</v>
          </cell>
        </row>
        <row r="4335">
          <cell r="A4335" t="str">
            <v>1RE2LPUT2481ZAS2</v>
          </cell>
          <cell r="B4335">
            <v>299</v>
          </cell>
        </row>
        <row r="4336">
          <cell r="A4336" t="str">
            <v>1RE2LPUT248N1ZA</v>
          </cell>
          <cell r="B4336">
            <v>335</v>
          </cell>
        </row>
        <row r="4337">
          <cell r="A4337" t="str">
            <v>1RE2LPUT248N1ZAR1</v>
          </cell>
          <cell r="B4337">
            <v>335</v>
          </cell>
        </row>
        <row r="4338">
          <cell r="A4338" t="str">
            <v>1RE2LPVC13001ZA-R1</v>
          </cell>
          <cell r="B4338">
            <v>1057</v>
          </cell>
        </row>
        <row r="4339">
          <cell r="A4339" t="str">
            <v>1RE2LPVC16001ZA-R1</v>
          </cell>
          <cell r="B4339">
            <v>1207</v>
          </cell>
        </row>
        <row r="4340">
          <cell r="A4340" t="str">
            <v>1RE2LPVC20001ZA-S2</v>
          </cell>
          <cell r="B4340">
            <v>1595</v>
          </cell>
        </row>
        <row r="4341">
          <cell r="A4341" t="str">
            <v>1RE2LPVC3001ZA</v>
          </cell>
          <cell r="B4341">
            <v>797</v>
          </cell>
        </row>
        <row r="4342">
          <cell r="A4342" t="str">
            <v>1RE2LPVC300BX1ZA</v>
          </cell>
          <cell r="B4342">
            <v>797</v>
          </cell>
        </row>
        <row r="4343">
          <cell r="A4343" t="str">
            <v>1RE2LPVC300CN1ZA</v>
          </cell>
          <cell r="B4343">
            <v>796</v>
          </cell>
        </row>
        <row r="4344">
          <cell r="A4344" t="str">
            <v>1RE2LPVC300CX1ZA</v>
          </cell>
          <cell r="B4344">
            <v>797</v>
          </cell>
        </row>
        <row r="4345">
          <cell r="A4345" t="str">
            <v>1RE2LPVC300EX1ZA</v>
          </cell>
          <cell r="B4345">
            <v>801</v>
          </cell>
        </row>
        <row r="4346">
          <cell r="A4346" t="str">
            <v>1RE2LPVC300NA1ZA</v>
          </cell>
          <cell r="B4346">
            <v>797</v>
          </cell>
        </row>
        <row r="4347">
          <cell r="A4347" t="str">
            <v>1RE2LPVC6001ZA</v>
          </cell>
          <cell r="B4347">
            <v>966</v>
          </cell>
        </row>
        <row r="4348">
          <cell r="A4348" t="str">
            <v>1RE2LPVC600BX1ZA</v>
          </cell>
          <cell r="B4348">
            <v>966</v>
          </cell>
        </row>
        <row r="4349">
          <cell r="A4349" t="str">
            <v>1RE2LPVC600CN1ZA</v>
          </cell>
          <cell r="B4349">
            <v>966</v>
          </cell>
        </row>
        <row r="4350">
          <cell r="A4350" t="str">
            <v>1RE2LPVC600CX1ZA</v>
          </cell>
          <cell r="B4350">
            <v>966</v>
          </cell>
        </row>
        <row r="4351">
          <cell r="A4351" t="str">
            <v>1RE2LPVC600EX1ZA</v>
          </cell>
          <cell r="B4351">
            <v>966</v>
          </cell>
        </row>
        <row r="4352">
          <cell r="A4352" t="str">
            <v>1RE2LPVC600NA1ZA</v>
          </cell>
          <cell r="B4352">
            <v>966</v>
          </cell>
        </row>
        <row r="4353">
          <cell r="A4353" t="str">
            <v>1RE2LPWT125R1ZA</v>
          </cell>
          <cell r="B4353">
            <v>135</v>
          </cell>
        </row>
        <row r="4354">
          <cell r="A4354" t="str">
            <v>1RE2LPWT126R1ZA</v>
          </cell>
          <cell r="B4354">
            <v>140</v>
          </cell>
        </row>
        <row r="4355">
          <cell r="A4355" t="str">
            <v>1RE2NCP1104</v>
          </cell>
          <cell r="B4355">
            <v>116</v>
          </cell>
        </row>
        <row r="4356">
          <cell r="A4356" t="str">
            <v>1RE2NCP1104CN</v>
          </cell>
          <cell r="B4356">
            <v>116</v>
          </cell>
        </row>
        <row r="4357">
          <cell r="A4357" t="str">
            <v>1RE2NCP1104M1</v>
          </cell>
          <cell r="B4357">
            <v>116</v>
          </cell>
        </row>
        <row r="4358">
          <cell r="A4358" t="str">
            <v>1RE2NCP1104XJ</v>
          </cell>
          <cell r="B4358">
            <v>116</v>
          </cell>
        </row>
        <row r="4359">
          <cell r="A4359" t="str">
            <v>1RE2NCP1104XJSX</v>
          </cell>
          <cell r="B4359">
            <v>116</v>
          </cell>
        </row>
        <row r="4360">
          <cell r="A4360" t="str">
            <v>1RE2NCP1104XV4</v>
          </cell>
          <cell r="B4360">
            <v>116</v>
          </cell>
        </row>
        <row r="4361">
          <cell r="A4361" t="str">
            <v>1RE2NCP1170</v>
          </cell>
          <cell r="B4361">
            <v>575</v>
          </cell>
        </row>
        <row r="4362">
          <cell r="A4362" t="str">
            <v>1RE2NCP1170CN</v>
          </cell>
          <cell r="B4362">
            <v>575</v>
          </cell>
        </row>
        <row r="4363">
          <cell r="A4363" t="str">
            <v>1RE2NCP1170M1</v>
          </cell>
          <cell r="B4363">
            <v>575</v>
          </cell>
        </row>
        <row r="4364">
          <cell r="A4364" t="str">
            <v>1RE2NCP1170NEV4</v>
          </cell>
          <cell r="B4364">
            <v>575</v>
          </cell>
        </row>
        <row r="4365">
          <cell r="A4365" t="str">
            <v>1RE2NCP1170XJ</v>
          </cell>
          <cell r="B4365">
            <v>575</v>
          </cell>
        </row>
        <row r="4366">
          <cell r="A4366" t="str">
            <v>1RE2NCP1170XJSX</v>
          </cell>
          <cell r="B4366">
            <v>14</v>
          </cell>
        </row>
        <row r="4367">
          <cell r="A4367" t="str">
            <v>1RE2NCP1171</v>
          </cell>
          <cell r="B4367">
            <v>331</v>
          </cell>
        </row>
        <row r="4368">
          <cell r="A4368" t="str">
            <v>1RE2NCP1171CN</v>
          </cell>
          <cell r="B4368">
            <v>331</v>
          </cell>
        </row>
        <row r="4369">
          <cell r="A4369" t="str">
            <v>1RE2NCP1171M1</v>
          </cell>
          <cell r="B4369">
            <v>331</v>
          </cell>
        </row>
        <row r="4370">
          <cell r="A4370" t="str">
            <v>1RE2NCP1171NEV4</v>
          </cell>
          <cell r="B4370">
            <v>331</v>
          </cell>
        </row>
        <row r="4371">
          <cell r="A4371" t="str">
            <v>1RE2NCP1171XJ</v>
          </cell>
          <cell r="B4371">
            <v>331</v>
          </cell>
        </row>
        <row r="4372">
          <cell r="A4372" t="str">
            <v>1RE2NCP1171XJSX</v>
          </cell>
          <cell r="B4372">
            <v>331</v>
          </cell>
        </row>
        <row r="4373">
          <cell r="A4373" t="str">
            <v>1RE2NCP1172</v>
          </cell>
          <cell r="B4373">
            <v>566</v>
          </cell>
        </row>
        <row r="4374">
          <cell r="A4374" t="str">
            <v>1RE2NCP1172CN</v>
          </cell>
          <cell r="B4374">
            <v>565</v>
          </cell>
        </row>
        <row r="4375">
          <cell r="A4375" t="str">
            <v>1RE2NCP1172M1</v>
          </cell>
          <cell r="B4375">
            <v>566</v>
          </cell>
        </row>
        <row r="4376">
          <cell r="A4376" t="str">
            <v>1RE2NCP1172NEV4</v>
          </cell>
          <cell r="B4376">
            <v>566</v>
          </cell>
        </row>
        <row r="4377">
          <cell r="A4377" t="str">
            <v>1RE2NCP1172XJ</v>
          </cell>
          <cell r="B4377">
            <v>566</v>
          </cell>
        </row>
        <row r="4378">
          <cell r="A4378" t="str">
            <v>1RE2NCP1172XJSX</v>
          </cell>
          <cell r="B4378">
            <v>566</v>
          </cell>
        </row>
        <row r="4379">
          <cell r="A4379" t="str">
            <v>1RE2NCP1173</v>
          </cell>
          <cell r="B4379">
            <v>360</v>
          </cell>
        </row>
        <row r="4380">
          <cell r="A4380" t="str">
            <v>1RE2NCP1173CN</v>
          </cell>
          <cell r="B4380">
            <v>361</v>
          </cell>
        </row>
        <row r="4381">
          <cell r="A4381" t="str">
            <v>1RE2NCP1173M1</v>
          </cell>
          <cell r="B4381">
            <v>360</v>
          </cell>
        </row>
        <row r="4382">
          <cell r="A4382" t="str">
            <v>1RE2NCP1173NEV4</v>
          </cell>
          <cell r="B4382">
            <v>360</v>
          </cell>
        </row>
        <row r="4383">
          <cell r="A4383" t="str">
            <v>1RE2NCP1173XJ</v>
          </cell>
          <cell r="B4383">
            <v>360</v>
          </cell>
        </row>
        <row r="4384">
          <cell r="A4384" t="str">
            <v>1RE2NCP1173XJSX</v>
          </cell>
          <cell r="B4384">
            <v>360</v>
          </cell>
        </row>
        <row r="4385">
          <cell r="A4385" t="str">
            <v>1RE2NCP1174</v>
          </cell>
          <cell r="B4385">
            <v>441</v>
          </cell>
        </row>
        <row r="4386">
          <cell r="A4386" t="str">
            <v>1RE2NCP1174CN</v>
          </cell>
          <cell r="B4386">
            <v>441</v>
          </cell>
        </row>
        <row r="4387">
          <cell r="A4387" t="str">
            <v>1RE2NCP1174M1</v>
          </cell>
          <cell r="B4387">
            <v>441</v>
          </cell>
        </row>
        <row r="4388">
          <cell r="A4388" t="str">
            <v>1RE2NCP1174NEV4</v>
          </cell>
          <cell r="B4388">
            <v>441</v>
          </cell>
        </row>
        <row r="4389">
          <cell r="A4389" t="str">
            <v>1RE2NCP1174XJ</v>
          </cell>
          <cell r="B4389">
            <v>441</v>
          </cell>
        </row>
        <row r="4390">
          <cell r="A4390" t="str">
            <v>1RE2NCP1174XJSX</v>
          </cell>
          <cell r="B4390">
            <v>441</v>
          </cell>
        </row>
        <row r="4391">
          <cell r="A4391" t="str">
            <v>1RE2NCP1180</v>
          </cell>
          <cell r="B4391">
            <v>315</v>
          </cell>
        </row>
        <row r="4392">
          <cell r="A4392" t="str">
            <v>1RE2NCP1180AG</v>
          </cell>
          <cell r="B4392">
            <v>319</v>
          </cell>
        </row>
        <row r="4393">
          <cell r="A4393" t="str">
            <v>1RE2NCP1180AL</v>
          </cell>
          <cell r="B4393">
            <v>323</v>
          </cell>
        </row>
        <row r="4394">
          <cell r="A4394" t="str">
            <v>1RE2NCP1180C</v>
          </cell>
          <cell r="B4394">
            <v>315</v>
          </cell>
        </row>
        <row r="4395">
          <cell r="A4395" t="str">
            <v>1RE2NCP1180CN</v>
          </cell>
          <cell r="B4395">
            <v>320</v>
          </cell>
        </row>
        <row r="4396">
          <cell r="A4396" t="str">
            <v>1RE2NCP1180M1</v>
          </cell>
          <cell r="B4396">
            <v>329</v>
          </cell>
        </row>
        <row r="4397">
          <cell r="A4397" t="str">
            <v>1RE2NCP1180M2</v>
          </cell>
          <cell r="B4397">
            <v>329</v>
          </cell>
        </row>
        <row r="4398">
          <cell r="A4398" t="str">
            <v>1RE2NCP1180NEV4</v>
          </cell>
          <cell r="B4398">
            <v>319</v>
          </cell>
        </row>
        <row r="4399">
          <cell r="A4399" t="str">
            <v>1RE2NCP1180UKV4</v>
          </cell>
          <cell r="B4399">
            <v>319</v>
          </cell>
        </row>
        <row r="4400">
          <cell r="A4400" t="str">
            <v>1RE2NCP1180X</v>
          </cell>
          <cell r="B4400">
            <v>319</v>
          </cell>
        </row>
        <row r="4401">
          <cell r="A4401" t="str">
            <v>1RE2NCP1180XSX</v>
          </cell>
          <cell r="B4401">
            <v>319</v>
          </cell>
        </row>
        <row r="4402">
          <cell r="A4402" t="str">
            <v>1RE2NCP1190</v>
          </cell>
          <cell r="B4402">
            <v>207</v>
          </cell>
        </row>
        <row r="4403">
          <cell r="A4403" t="str">
            <v>1RE2NCP1190CN</v>
          </cell>
          <cell r="B4403">
            <v>207</v>
          </cell>
        </row>
        <row r="4404">
          <cell r="A4404" t="str">
            <v>1RE2NCP1190M1</v>
          </cell>
          <cell r="B4404">
            <v>206</v>
          </cell>
        </row>
        <row r="4405">
          <cell r="A4405" t="str">
            <v>1RE2NCP1190XEU</v>
          </cell>
          <cell r="B4405">
            <v>207</v>
          </cell>
        </row>
        <row r="4406">
          <cell r="A4406" t="str">
            <v>1RE2NCP1190XJ</v>
          </cell>
          <cell r="B4406">
            <v>207</v>
          </cell>
        </row>
        <row r="4407">
          <cell r="A4407" t="str">
            <v>1RE2NCP1190XV4</v>
          </cell>
          <cell r="B4407">
            <v>206</v>
          </cell>
        </row>
        <row r="4408">
          <cell r="A4408" t="str">
            <v>1RE2NCP1280CE</v>
          </cell>
          <cell r="B4408">
            <v>327</v>
          </cell>
        </row>
        <row r="4409">
          <cell r="A4409" t="str">
            <v>1RE2NCP1280CN</v>
          </cell>
          <cell r="B4409">
            <v>327</v>
          </cell>
        </row>
        <row r="4410">
          <cell r="A4410" t="str">
            <v>1RE2NCP1280M1</v>
          </cell>
          <cell r="B4410">
            <v>327</v>
          </cell>
        </row>
        <row r="4411">
          <cell r="A4411" t="str">
            <v>1RE2NCP1280XJ</v>
          </cell>
          <cell r="B4411">
            <v>327</v>
          </cell>
        </row>
        <row r="4412">
          <cell r="A4412" t="str">
            <v>1RE2NCP1280XJSX</v>
          </cell>
          <cell r="B4412">
            <v>327</v>
          </cell>
        </row>
        <row r="4413">
          <cell r="A4413" t="str">
            <v>1RE2NS0106</v>
          </cell>
          <cell r="B4413">
            <v>130</v>
          </cell>
        </row>
        <row r="4414">
          <cell r="A4414" t="str">
            <v>1RE2NS0106CN</v>
          </cell>
          <cell r="B4414">
            <v>130</v>
          </cell>
        </row>
        <row r="4415">
          <cell r="A4415" t="str">
            <v>1RE2NS0106X</v>
          </cell>
          <cell r="B4415">
            <v>131</v>
          </cell>
        </row>
        <row r="4416">
          <cell r="A4416" t="str">
            <v>1RE2NS0106XEU</v>
          </cell>
          <cell r="B4416">
            <v>131</v>
          </cell>
        </row>
        <row r="4417">
          <cell r="A4417" t="str">
            <v>1RE2NS0106XS1</v>
          </cell>
          <cell r="B4417">
            <v>130</v>
          </cell>
        </row>
        <row r="4418">
          <cell r="A4418" t="str">
            <v>1RE2NS0106XSX</v>
          </cell>
          <cell r="B4418">
            <v>131</v>
          </cell>
        </row>
        <row r="4419">
          <cell r="A4419" t="str">
            <v>1RE2NS0110</v>
          </cell>
          <cell r="B4419">
            <v>195</v>
          </cell>
        </row>
        <row r="4420">
          <cell r="A4420" t="str">
            <v>1RE2NS0110CN</v>
          </cell>
          <cell r="B4420">
            <v>195</v>
          </cell>
        </row>
        <row r="4421">
          <cell r="A4421" t="str">
            <v>1RE2NS0110X</v>
          </cell>
          <cell r="B4421">
            <v>195</v>
          </cell>
        </row>
        <row r="4422">
          <cell r="A4422" t="str">
            <v>1RE2NS0110XEU</v>
          </cell>
          <cell r="B4422">
            <v>195</v>
          </cell>
        </row>
        <row r="4423">
          <cell r="A4423" t="str">
            <v>1RE2NS0110XS1</v>
          </cell>
          <cell r="B4423">
            <v>195</v>
          </cell>
        </row>
        <row r="4424">
          <cell r="A4424" t="str">
            <v>1RE2NS0110X-S2</v>
          </cell>
          <cell r="B4424">
            <v>195</v>
          </cell>
        </row>
        <row r="4425">
          <cell r="A4425" t="str">
            <v>1RE2NS0110XSX</v>
          </cell>
          <cell r="B4425">
            <v>195</v>
          </cell>
        </row>
        <row r="4426">
          <cell r="A4426" t="str">
            <v>1RE2NS0110XVN</v>
          </cell>
          <cell r="B4426">
            <v>195</v>
          </cell>
        </row>
        <row r="4427">
          <cell r="A4427" t="str">
            <v>1RE2NS0111</v>
          </cell>
          <cell r="B4427">
            <v>195</v>
          </cell>
        </row>
        <row r="4428">
          <cell r="A4428" t="str">
            <v>1RE2NS0111CN</v>
          </cell>
          <cell r="B4428">
            <v>195</v>
          </cell>
        </row>
        <row r="4429">
          <cell r="A4429" t="str">
            <v>1RE2NS0111X</v>
          </cell>
          <cell r="B4429">
            <v>195</v>
          </cell>
        </row>
        <row r="4430">
          <cell r="A4430" t="str">
            <v>1RE2NS0111XEU</v>
          </cell>
          <cell r="B4430">
            <v>195</v>
          </cell>
        </row>
        <row r="4431">
          <cell r="A4431" t="str">
            <v>1RE2NS0111XS1</v>
          </cell>
          <cell r="B4431">
            <v>195</v>
          </cell>
        </row>
        <row r="4432">
          <cell r="A4432" t="str">
            <v>1RE2NS0111X-S2</v>
          </cell>
          <cell r="B4432">
            <v>195</v>
          </cell>
        </row>
        <row r="4433">
          <cell r="A4433" t="str">
            <v>1RE2NS0111XSX</v>
          </cell>
          <cell r="B4433">
            <v>195</v>
          </cell>
        </row>
        <row r="4434">
          <cell r="A4434" t="str">
            <v>1RE2NS0111XVN</v>
          </cell>
          <cell r="B4434">
            <v>195</v>
          </cell>
        </row>
        <row r="4435">
          <cell r="A4435" t="str">
            <v>1RE2NS0112</v>
          </cell>
          <cell r="B4435">
            <v>290</v>
          </cell>
        </row>
        <row r="4436">
          <cell r="A4436" t="str">
            <v>1RE2NS0112CN</v>
          </cell>
          <cell r="B4436">
            <v>290</v>
          </cell>
        </row>
        <row r="4437">
          <cell r="A4437" t="str">
            <v>1RE2NS0112X</v>
          </cell>
          <cell r="B4437">
            <v>290</v>
          </cell>
        </row>
        <row r="4438">
          <cell r="A4438" t="str">
            <v>1RE2NS0112XEU</v>
          </cell>
          <cell r="B4438">
            <v>290</v>
          </cell>
        </row>
        <row r="4439">
          <cell r="A4439" t="str">
            <v>1RE2NS0112XS1</v>
          </cell>
          <cell r="B4439">
            <v>290</v>
          </cell>
        </row>
        <row r="4440">
          <cell r="A4440" t="str">
            <v>1RE2NS0112X-S2</v>
          </cell>
          <cell r="B4440">
            <v>290</v>
          </cell>
        </row>
        <row r="4441">
          <cell r="A4441" t="str">
            <v>1RE2NS0112XSX</v>
          </cell>
          <cell r="B4441">
            <v>290</v>
          </cell>
        </row>
        <row r="4442">
          <cell r="A4442" t="str">
            <v>1RE2NS0112XVN</v>
          </cell>
          <cell r="B4442">
            <v>290</v>
          </cell>
        </row>
        <row r="4443">
          <cell r="A4443" t="str">
            <v>1RE2NS0130</v>
          </cell>
          <cell r="B4443">
            <v>506</v>
          </cell>
        </row>
        <row r="4444">
          <cell r="A4444" t="str">
            <v>1RE2NS0130CN</v>
          </cell>
          <cell r="B4444">
            <v>511</v>
          </cell>
        </row>
        <row r="4445">
          <cell r="A4445" t="str">
            <v>1RE2NS0130-S3</v>
          </cell>
          <cell r="B4445">
            <v>511</v>
          </cell>
        </row>
        <row r="4446">
          <cell r="A4446" t="str">
            <v>1RE2NS0130V4R1</v>
          </cell>
          <cell r="B4446">
            <v>505</v>
          </cell>
        </row>
        <row r="4447">
          <cell r="A4447" t="str">
            <v>1RE2NS0130X</v>
          </cell>
          <cell r="B4447">
            <v>511</v>
          </cell>
        </row>
        <row r="4448">
          <cell r="A4448" t="str">
            <v>1RE2NS0130XEU</v>
          </cell>
          <cell r="B4448">
            <v>511</v>
          </cell>
        </row>
        <row r="4449">
          <cell r="A4449" t="str">
            <v>1RE2NS0130XSX</v>
          </cell>
          <cell r="B4449">
            <v>511</v>
          </cell>
        </row>
        <row r="4450">
          <cell r="A4450" t="str">
            <v>1RE2NS0130XV7R1</v>
          </cell>
          <cell r="B4450">
            <v>505</v>
          </cell>
        </row>
        <row r="4451">
          <cell r="A4451" t="str">
            <v>1RE2NS0130XV7S2</v>
          </cell>
          <cell r="B4451">
            <v>193</v>
          </cell>
        </row>
        <row r="4452">
          <cell r="A4452" t="str">
            <v>1RE2NS0130XVN</v>
          </cell>
          <cell r="B4452">
            <v>510</v>
          </cell>
        </row>
        <row r="4453">
          <cell r="A4453" t="str">
            <v>1RE2NS0180</v>
          </cell>
          <cell r="B4453">
            <v>247</v>
          </cell>
        </row>
        <row r="4454">
          <cell r="A4454" t="str">
            <v>1RE2NS0180AG</v>
          </cell>
          <cell r="B4454">
            <v>247</v>
          </cell>
        </row>
        <row r="4455">
          <cell r="A4455" t="str">
            <v>1RE2NS0180AL</v>
          </cell>
          <cell r="B4455">
            <v>251</v>
          </cell>
        </row>
        <row r="4456">
          <cell r="A4456" t="str">
            <v>1RE2NS0180CN</v>
          </cell>
          <cell r="B4456">
            <v>247</v>
          </cell>
        </row>
        <row r="4457">
          <cell r="A4457" t="str">
            <v>1RE2NS0180TW</v>
          </cell>
          <cell r="B4457">
            <v>245</v>
          </cell>
        </row>
        <row r="4458">
          <cell r="A4458" t="str">
            <v>1RE2NS0180UK</v>
          </cell>
          <cell r="B4458">
            <v>247</v>
          </cell>
        </row>
        <row r="4459">
          <cell r="A4459" t="str">
            <v>1RE2NS0180UKS1</v>
          </cell>
          <cell r="B4459">
            <v>247</v>
          </cell>
        </row>
        <row r="4460">
          <cell r="A4460" t="str">
            <v>1RE2NS0180X</v>
          </cell>
          <cell r="B4460">
            <v>247</v>
          </cell>
        </row>
        <row r="4461">
          <cell r="A4461" t="str">
            <v>1RE2NS0180XEU</v>
          </cell>
          <cell r="B4461">
            <v>247</v>
          </cell>
        </row>
        <row r="4462">
          <cell r="A4462" t="str">
            <v>1RE2NS0180XS1</v>
          </cell>
          <cell r="B4462">
            <v>247</v>
          </cell>
        </row>
        <row r="4463">
          <cell r="A4463" t="str">
            <v>1RE2NS0180XSX</v>
          </cell>
          <cell r="B4463">
            <v>247</v>
          </cell>
        </row>
        <row r="4464">
          <cell r="A4464" t="str">
            <v>1RE2NS0280X</v>
          </cell>
          <cell r="B4464">
            <v>343</v>
          </cell>
        </row>
        <row r="4465">
          <cell r="A4465" t="str">
            <v>1RE2NS0280XEU</v>
          </cell>
          <cell r="B4465">
            <v>343</v>
          </cell>
        </row>
        <row r="4466">
          <cell r="A4466" t="str">
            <v>1RE2NS0280XS1</v>
          </cell>
          <cell r="B4466">
            <v>343</v>
          </cell>
        </row>
        <row r="4467">
          <cell r="A4467" t="str">
            <v>1RE2NS0290</v>
          </cell>
          <cell r="B4467">
            <v>240</v>
          </cell>
        </row>
        <row r="4468">
          <cell r="A4468" t="str">
            <v>1RE2NS0290CE</v>
          </cell>
          <cell r="B4468">
            <v>242</v>
          </cell>
        </row>
        <row r="4469">
          <cell r="A4469" t="str">
            <v>1RE2NS0290CES1</v>
          </cell>
          <cell r="B4469">
            <v>242</v>
          </cell>
        </row>
        <row r="4470">
          <cell r="A4470" t="str">
            <v>1RE2NS0290CESX</v>
          </cell>
          <cell r="B4470">
            <v>242</v>
          </cell>
        </row>
        <row r="4471">
          <cell r="A4471" t="str">
            <v>1RE2NS0290CN</v>
          </cell>
          <cell r="B4471">
            <v>242</v>
          </cell>
        </row>
        <row r="4472">
          <cell r="A4472" t="str">
            <v>1RE2NS0290MS</v>
          </cell>
          <cell r="B4472">
            <v>242</v>
          </cell>
        </row>
        <row r="4473">
          <cell r="A4473" t="str">
            <v>1RE2NS0290S1</v>
          </cell>
          <cell r="B4473">
            <v>240</v>
          </cell>
        </row>
        <row r="4474">
          <cell r="A4474" t="str">
            <v>1RE2NS0290X</v>
          </cell>
          <cell r="B4474">
            <v>240</v>
          </cell>
        </row>
        <row r="4475">
          <cell r="A4475" t="str">
            <v>1RE2NS5110</v>
          </cell>
          <cell r="B4475">
            <v>195</v>
          </cell>
        </row>
        <row r="4476">
          <cell r="A4476" t="str">
            <v>1RE2NS5110CN</v>
          </cell>
          <cell r="B4476">
            <v>195</v>
          </cell>
        </row>
        <row r="4477">
          <cell r="A4477" t="str">
            <v>1RE2NS5110SX</v>
          </cell>
          <cell r="B4477">
            <v>195</v>
          </cell>
        </row>
        <row r="4478">
          <cell r="A4478" t="str">
            <v>1RE2NS5110-T1</v>
          </cell>
          <cell r="B4478">
            <v>195</v>
          </cell>
        </row>
        <row r="4479">
          <cell r="A4479" t="str">
            <v>1RE2NS5110-T2</v>
          </cell>
          <cell r="B4479">
            <v>195</v>
          </cell>
        </row>
        <row r="4480">
          <cell r="A4480" t="str">
            <v>1RE2NS5110X</v>
          </cell>
          <cell r="B4480">
            <v>195</v>
          </cell>
        </row>
        <row r="4481">
          <cell r="A4481" t="str">
            <v>1RE2NS5110XEU</v>
          </cell>
          <cell r="B4481">
            <v>195</v>
          </cell>
        </row>
        <row r="4482">
          <cell r="A4482" t="str">
            <v>1RE2NS5110XS2</v>
          </cell>
          <cell r="B4482">
            <v>195</v>
          </cell>
        </row>
        <row r="4483">
          <cell r="A4483" t="str">
            <v>1RE2NS5110XS3</v>
          </cell>
          <cell r="B4483">
            <v>195</v>
          </cell>
        </row>
        <row r="4484">
          <cell r="A4484" t="str">
            <v>1RE2NS5110XS4</v>
          </cell>
          <cell r="B4484">
            <v>195</v>
          </cell>
        </row>
        <row r="4485">
          <cell r="A4485" t="str">
            <v>1RE2NS5110XVN</v>
          </cell>
          <cell r="B4485">
            <v>195</v>
          </cell>
        </row>
        <row r="4486">
          <cell r="A4486" t="str">
            <v>1RE2NS5110XZA</v>
          </cell>
          <cell r="B4486">
            <v>195</v>
          </cell>
        </row>
        <row r="4487">
          <cell r="A4487" t="str">
            <v>1RE2NS5111</v>
          </cell>
          <cell r="B4487">
            <v>195</v>
          </cell>
        </row>
        <row r="4488">
          <cell r="A4488" t="str">
            <v>1RE2NS5111CN</v>
          </cell>
          <cell r="B4488">
            <v>195</v>
          </cell>
        </row>
        <row r="4489">
          <cell r="A4489" t="str">
            <v>1RE2NS5111SX</v>
          </cell>
          <cell r="B4489">
            <v>195</v>
          </cell>
        </row>
        <row r="4490">
          <cell r="A4490" t="str">
            <v>1RE2NS5111X</v>
          </cell>
          <cell r="B4490">
            <v>195</v>
          </cell>
        </row>
        <row r="4491">
          <cell r="A4491" t="str">
            <v>1RE2NS5111XEU</v>
          </cell>
          <cell r="B4491">
            <v>195</v>
          </cell>
        </row>
        <row r="4492">
          <cell r="A4492" t="str">
            <v>1RE2NS5111XS2</v>
          </cell>
          <cell r="B4492">
            <v>195</v>
          </cell>
        </row>
        <row r="4493">
          <cell r="A4493" t="str">
            <v>1RE2NS5111XS3</v>
          </cell>
          <cell r="B4493">
            <v>195</v>
          </cell>
        </row>
        <row r="4494">
          <cell r="A4494" t="str">
            <v>1RE2NS5111XS4</v>
          </cell>
          <cell r="B4494">
            <v>195</v>
          </cell>
        </row>
        <row r="4495">
          <cell r="A4495" t="str">
            <v>1RE2NS5112</v>
          </cell>
          <cell r="B4495">
            <v>290</v>
          </cell>
        </row>
        <row r="4496">
          <cell r="A4496" t="str">
            <v>1RE2NS5112CN</v>
          </cell>
          <cell r="B4496">
            <v>290</v>
          </cell>
        </row>
        <row r="4497">
          <cell r="A4497" t="str">
            <v>1RE2NS5112SX</v>
          </cell>
          <cell r="B4497">
            <v>290</v>
          </cell>
        </row>
        <row r="4498">
          <cell r="A4498" t="str">
            <v>1RE2NS5112-T1</v>
          </cell>
          <cell r="B4498">
            <v>268</v>
          </cell>
        </row>
        <row r="4499">
          <cell r="A4499" t="str">
            <v>1RE2NS5112X</v>
          </cell>
          <cell r="B4499">
            <v>290</v>
          </cell>
        </row>
        <row r="4500">
          <cell r="A4500" t="str">
            <v>1RE2NS5112XEU</v>
          </cell>
          <cell r="B4500">
            <v>290</v>
          </cell>
        </row>
        <row r="4501">
          <cell r="A4501" t="str">
            <v>1RE2NS5112XS2</v>
          </cell>
          <cell r="B4501">
            <v>290</v>
          </cell>
        </row>
        <row r="4502">
          <cell r="A4502" t="str">
            <v>1RE2NS5112XS3</v>
          </cell>
          <cell r="B4502">
            <v>290</v>
          </cell>
        </row>
        <row r="4503">
          <cell r="A4503" t="str">
            <v>1RE2NS5112XS4</v>
          </cell>
          <cell r="B4503">
            <v>290</v>
          </cell>
        </row>
        <row r="4504">
          <cell r="A4504" t="str">
            <v>1RE2NS5113-S1</v>
          </cell>
          <cell r="B4504">
            <v>196</v>
          </cell>
        </row>
        <row r="4505">
          <cell r="A4505" t="str">
            <v>1RE2NS5130XS1</v>
          </cell>
          <cell r="B4505">
            <v>48</v>
          </cell>
        </row>
        <row r="4506">
          <cell r="A4506" t="str">
            <v>1RE2NS5130XS2</v>
          </cell>
          <cell r="B4506">
            <v>38</v>
          </cell>
        </row>
        <row r="4507">
          <cell r="A4507" t="str">
            <v>1RE2NS5162</v>
          </cell>
          <cell r="B4507">
            <v>182</v>
          </cell>
        </row>
        <row r="4508">
          <cell r="A4508" t="str">
            <v>1RE2NS5162CN</v>
          </cell>
          <cell r="B4508">
            <v>182</v>
          </cell>
        </row>
        <row r="4509">
          <cell r="A4509" t="str">
            <v>1RE2NS5162SX</v>
          </cell>
          <cell r="B4509">
            <v>182</v>
          </cell>
        </row>
        <row r="4510">
          <cell r="A4510" t="str">
            <v>1RE2NS5162X</v>
          </cell>
          <cell r="B4510">
            <v>182</v>
          </cell>
        </row>
        <row r="4511">
          <cell r="A4511" t="str">
            <v>1RE2NS5162XEU</v>
          </cell>
          <cell r="B4511">
            <v>182</v>
          </cell>
        </row>
        <row r="4512">
          <cell r="A4512" t="str">
            <v>1RE2NS5162XS1</v>
          </cell>
          <cell r="B4512">
            <v>56</v>
          </cell>
        </row>
        <row r="4513">
          <cell r="A4513" t="str">
            <v>1RE2NS5162XS2</v>
          </cell>
          <cell r="B4513">
            <v>56</v>
          </cell>
        </row>
        <row r="4514">
          <cell r="A4514" t="str">
            <v>1RE2NS5162XS3</v>
          </cell>
          <cell r="B4514">
            <v>180</v>
          </cell>
        </row>
        <row r="4515">
          <cell r="A4515" t="str">
            <v>1RE2NS5162XS4</v>
          </cell>
          <cell r="B4515">
            <v>182</v>
          </cell>
        </row>
        <row r="4516">
          <cell r="A4516" t="str">
            <v>1RE2NS5170</v>
          </cell>
          <cell r="B4516">
            <v>425</v>
          </cell>
        </row>
        <row r="4517">
          <cell r="A4517" t="str">
            <v>1RE2NS5170CN</v>
          </cell>
          <cell r="B4517">
            <v>425</v>
          </cell>
        </row>
        <row r="4518">
          <cell r="A4518" t="str">
            <v>1RE2NS5170SX</v>
          </cell>
          <cell r="B4518">
            <v>424</v>
          </cell>
        </row>
        <row r="4519">
          <cell r="A4519" t="str">
            <v>1RE2NS5170X</v>
          </cell>
          <cell r="B4519">
            <v>425</v>
          </cell>
        </row>
        <row r="4520">
          <cell r="A4520" t="str">
            <v>1RE2NS5170XEU</v>
          </cell>
          <cell r="B4520">
            <v>425</v>
          </cell>
        </row>
        <row r="4521">
          <cell r="A4521" t="str">
            <v>1RE2NS5170XS1</v>
          </cell>
          <cell r="B4521">
            <v>333</v>
          </cell>
        </row>
        <row r="4522">
          <cell r="A4522" t="str">
            <v>1RE2NS5170XS2</v>
          </cell>
          <cell r="B4522">
            <v>336</v>
          </cell>
        </row>
        <row r="4523">
          <cell r="A4523" t="str">
            <v>1RE2NS5170XS3</v>
          </cell>
          <cell r="B4523">
            <v>424</v>
          </cell>
        </row>
        <row r="4524">
          <cell r="A4524" t="str">
            <v>1RE2NS5170XS4</v>
          </cell>
          <cell r="B4524">
            <v>425</v>
          </cell>
        </row>
        <row r="4525">
          <cell r="A4525" t="str">
            <v>1RE2NS5170XT1</v>
          </cell>
          <cell r="B4525">
            <v>421</v>
          </cell>
        </row>
        <row r="4526">
          <cell r="A4526" t="str">
            <v>1RE2NS5171</v>
          </cell>
          <cell r="B4526">
            <v>229</v>
          </cell>
        </row>
        <row r="4527">
          <cell r="A4527" t="str">
            <v>1RE2NS5171CN</v>
          </cell>
          <cell r="B4527">
            <v>229</v>
          </cell>
        </row>
        <row r="4528">
          <cell r="A4528" t="str">
            <v>1RE2NS5171SX</v>
          </cell>
          <cell r="B4528">
            <v>229</v>
          </cell>
        </row>
        <row r="4529">
          <cell r="A4529" t="str">
            <v>1RE2NS5171X</v>
          </cell>
          <cell r="B4529">
            <v>229</v>
          </cell>
        </row>
        <row r="4530">
          <cell r="A4530" t="str">
            <v>1RE2NS5171XEU</v>
          </cell>
          <cell r="B4530">
            <v>229</v>
          </cell>
        </row>
        <row r="4531">
          <cell r="A4531" t="str">
            <v>1RE2NS5171XS2</v>
          </cell>
          <cell r="B4531">
            <v>490</v>
          </cell>
        </row>
        <row r="4532">
          <cell r="A4532" t="str">
            <v>1RE2NS5171XS3</v>
          </cell>
          <cell r="B4532">
            <v>227</v>
          </cell>
        </row>
        <row r="4533">
          <cell r="A4533" t="str">
            <v>1RE2NS5171XS4</v>
          </cell>
          <cell r="B4533">
            <v>230</v>
          </cell>
        </row>
        <row r="4534">
          <cell r="A4534" t="str">
            <v>1RE2NS5172</v>
          </cell>
          <cell r="B4534">
            <v>375</v>
          </cell>
        </row>
        <row r="4535">
          <cell r="A4535" t="str">
            <v>1RE2NS5172CN</v>
          </cell>
          <cell r="B4535">
            <v>375</v>
          </cell>
        </row>
        <row r="4536">
          <cell r="A4536" t="str">
            <v>1RE2NS5172SX</v>
          </cell>
          <cell r="B4536">
            <v>375</v>
          </cell>
        </row>
        <row r="4537">
          <cell r="A4537" t="str">
            <v>1RE2NS5172X</v>
          </cell>
          <cell r="B4537">
            <v>375</v>
          </cell>
        </row>
        <row r="4538">
          <cell r="A4538" t="str">
            <v>1RE2NS5172XEU</v>
          </cell>
          <cell r="B4538">
            <v>375</v>
          </cell>
        </row>
        <row r="4539">
          <cell r="A4539" t="str">
            <v>1RE2NS5172XS1</v>
          </cell>
          <cell r="B4539">
            <v>49</v>
          </cell>
        </row>
        <row r="4540">
          <cell r="A4540" t="str">
            <v>1RE2NS5172XS2</v>
          </cell>
          <cell r="B4540">
            <v>801</v>
          </cell>
        </row>
        <row r="4541">
          <cell r="A4541" t="str">
            <v>1RE2NS5172XS3</v>
          </cell>
          <cell r="B4541">
            <v>372</v>
          </cell>
        </row>
        <row r="4542">
          <cell r="A4542" t="str">
            <v>1RE2NS5172XS4</v>
          </cell>
          <cell r="B4542">
            <v>376</v>
          </cell>
        </row>
        <row r="4543">
          <cell r="A4543" t="str">
            <v>1RE2NS5173</v>
          </cell>
          <cell r="B4543">
            <v>214</v>
          </cell>
        </row>
        <row r="4544">
          <cell r="A4544" t="str">
            <v>1RE2NS5173CN</v>
          </cell>
          <cell r="B4544">
            <v>222</v>
          </cell>
        </row>
        <row r="4545">
          <cell r="A4545" t="str">
            <v>1RE2NS5173SX</v>
          </cell>
          <cell r="B4545">
            <v>222</v>
          </cell>
        </row>
        <row r="4546">
          <cell r="A4546" t="str">
            <v>1RE2NS5173X</v>
          </cell>
          <cell r="B4546">
            <v>222</v>
          </cell>
        </row>
        <row r="4547">
          <cell r="A4547" t="str">
            <v>1RE2NS5173XEU</v>
          </cell>
          <cell r="B4547">
            <v>222</v>
          </cell>
        </row>
        <row r="4548">
          <cell r="A4548" t="str">
            <v>1RE2NS5173XS2</v>
          </cell>
          <cell r="B4548">
            <v>222</v>
          </cell>
        </row>
        <row r="4549">
          <cell r="A4549" t="str">
            <v>1RE2NS5173XS3</v>
          </cell>
          <cell r="B4549">
            <v>219</v>
          </cell>
        </row>
        <row r="4550">
          <cell r="A4550" t="str">
            <v>1RE2NS5173XS4</v>
          </cell>
          <cell r="B4550">
            <v>220</v>
          </cell>
        </row>
        <row r="4551">
          <cell r="A4551" t="str">
            <v>1RE2NS5173XT1</v>
          </cell>
          <cell r="B4551">
            <v>214</v>
          </cell>
        </row>
        <row r="4552">
          <cell r="A4552" t="str">
            <v>1RE2NS5173XVN</v>
          </cell>
          <cell r="B4552">
            <v>214</v>
          </cell>
        </row>
        <row r="4553">
          <cell r="A4553" t="str">
            <v>1RE2NS5174</v>
          </cell>
          <cell r="B4553">
            <v>375</v>
          </cell>
        </row>
        <row r="4554">
          <cell r="A4554" t="str">
            <v>1RE2NS5174CN</v>
          </cell>
          <cell r="B4554">
            <v>375</v>
          </cell>
        </row>
        <row r="4555">
          <cell r="A4555" t="str">
            <v>1RE2NS5174SX</v>
          </cell>
          <cell r="B4555">
            <v>359</v>
          </cell>
        </row>
        <row r="4556">
          <cell r="A4556" t="str">
            <v>1RE2NS5174X</v>
          </cell>
          <cell r="B4556">
            <v>359</v>
          </cell>
        </row>
        <row r="4557">
          <cell r="A4557" t="str">
            <v>1RE2NS5174XEU</v>
          </cell>
          <cell r="B4557">
            <v>359</v>
          </cell>
        </row>
        <row r="4558">
          <cell r="A4558" t="str">
            <v>1RE2NS5174XN7S4</v>
          </cell>
          <cell r="B4558">
            <v>375</v>
          </cell>
        </row>
        <row r="4559">
          <cell r="A4559" t="str">
            <v>1RE2NS5174XS1</v>
          </cell>
          <cell r="B4559">
            <v>331</v>
          </cell>
        </row>
        <row r="4560">
          <cell r="A4560" t="str">
            <v>1RE2NS5174XS2</v>
          </cell>
          <cell r="B4560">
            <v>304</v>
          </cell>
        </row>
        <row r="4561">
          <cell r="A4561" t="str">
            <v>1RE2NS5174XS3</v>
          </cell>
          <cell r="B4561">
            <v>371</v>
          </cell>
        </row>
        <row r="4562">
          <cell r="A4562" t="str">
            <v>1RE2NS5174XS4</v>
          </cell>
          <cell r="B4562">
            <v>372</v>
          </cell>
        </row>
        <row r="4563">
          <cell r="A4563" t="str">
            <v>1RE2NS5174XT1</v>
          </cell>
          <cell r="B4563">
            <v>359</v>
          </cell>
        </row>
        <row r="4564">
          <cell r="A4564" t="str">
            <v>1RE2NS5174XVN</v>
          </cell>
          <cell r="B4564">
            <v>359</v>
          </cell>
        </row>
        <row r="4565">
          <cell r="A4565" t="str">
            <v>1RE2NS5180</v>
          </cell>
          <cell r="B4565">
            <v>392</v>
          </cell>
        </row>
        <row r="4566">
          <cell r="A4566" t="str">
            <v>1RE2NS5180AG</v>
          </cell>
          <cell r="B4566">
            <v>410</v>
          </cell>
        </row>
        <row r="4567">
          <cell r="A4567" t="str">
            <v>1RE2NS5180AGS4</v>
          </cell>
          <cell r="B4567">
            <v>377</v>
          </cell>
        </row>
        <row r="4568">
          <cell r="A4568" t="str">
            <v>1RE2NS5180AL</v>
          </cell>
          <cell r="B4568">
            <v>422</v>
          </cell>
        </row>
        <row r="4569">
          <cell r="A4569" t="str">
            <v>1RE2NS5180BR</v>
          </cell>
          <cell r="B4569">
            <v>380</v>
          </cell>
        </row>
        <row r="4570">
          <cell r="A4570" t="str">
            <v>1RE2NS5180BRS4</v>
          </cell>
          <cell r="B4570">
            <v>371</v>
          </cell>
        </row>
        <row r="4571">
          <cell r="A4571" t="str">
            <v>1RE2NS5180C</v>
          </cell>
          <cell r="B4571">
            <v>392</v>
          </cell>
        </row>
        <row r="4572">
          <cell r="A4572" t="str">
            <v>1RE2NS5180CN</v>
          </cell>
          <cell r="B4572">
            <v>404</v>
          </cell>
        </row>
        <row r="4573">
          <cell r="A4573" t="str">
            <v>1RE2NS5180MZA</v>
          </cell>
          <cell r="B4573">
            <v>398</v>
          </cell>
        </row>
        <row r="4574">
          <cell r="A4574" t="str">
            <v>1RE2NS5180NZ</v>
          </cell>
          <cell r="B4574">
            <v>419</v>
          </cell>
        </row>
        <row r="4575">
          <cell r="A4575" t="str">
            <v>1RE2NS5180-S1</v>
          </cell>
          <cell r="B4575">
            <v>407</v>
          </cell>
        </row>
        <row r="4576">
          <cell r="A4576" t="str">
            <v>1RE2NS5180SA</v>
          </cell>
          <cell r="B4576">
            <v>404</v>
          </cell>
        </row>
        <row r="4577">
          <cell r="A4577" t="str">
            <v>1RE2NS5180SX</v>
          </cell>
          <cell r="B4577">
            <v>392</v>
          </cell>
        </row>
        <row r="4578">
          <cell r="A4578" t="str">
            <v>1RE2NS5180UK-S3</v>
          </cell>
          <cell r="B4578">
            <v>416</v>
          </cell>
        </row>
        <row r="4579">
          <cell r="A4579" t="str">
            <v>1RE2NS5180X</v>
          </cell>
          <cell r="B4579">
            <v>374</v>
          </cell>
        </row>
        <row r="4580">
          <cell r="A4580" t="str">
            <v>1RE2NS5180XEU</v>
          </cell>
          <cell r="B4580">
            <v>404</v>
          </cell>
        </row>
        <row r="4581">
          <cell r="A4581" t="str">
            <v>1RE2NS5180XS1</v>
          </cell>
          <cell r="B4581">
            <v>171</v>
          </cell>
        </row>
        <row r="4582">
          <cell r="A4582" t="str">
            <v>1RE2NS5180XS2</v>
          </cell>
          <cell r="B4582">
            <v>342</v>
          </cell>
        </row>
        <row r="4583">
          <cell r="A4583" t="str">
            <v>1RE2NS5180XS3</v>
          </cell>
          <cell r="B4583">
            <v>369</v>
          </cell>
        </row>
        <row r="4584">
          <cell r="A4584" t="str">
            <v>1RE2NS5180XS4</v>
          </cell>
          <cell r="B4584">
            <v>374</v>
          </cell>
        </row>
        <row r="4585">
          <cell r="A4585" t="str">
            <v>1RE2NS5180XVN</v>
          </cell>
          <cell r="B4585">
            <v>404</v>
          </cell>
        </row>
        <row r="4586">
          <cell r="A4586" t="str">
            <v>1RE2NS5196XS1</v>
          </cell>
          <cell r="B4586">
            <v>50</v>
          </cell>
        </row>
        <row r="4587">
          <cell r="A4587" t="str">
            <v>1RE2NS5196XS2</v>
          </cell>
          <cell r="B4587">
            <v>50</v>
          </cell>
        </row>
        <row r="4588">
          <cell r="A4588" t="str">
            <v>1RE2NS5196XS3</v>
          </cell>
          <cell r="B4588">
            <v>50</v>
          </cell>
        </row>
        <row r="4589">
          <cell r="A4589" t="str">
            <v>1RE2NS5197X-S1</v>
          </cell>
          <cell r="B4589">
            <v>488</v>
          </cell>
        </row>
        <row r="4590">
          <cell r="A4590" t="str">
            <v>1RE2NS5282X</v>
          </cell>
          <cell r="B4590">
            <v>136</v>
          </cell>
        </row>
        <row r="4591">
          <cell r="A4591" t="str">
            <v>1RE2NS5282XEU</v>
          </cell>
          <cell r="B4591">
            <v>136</v>
          </cell>
        </row>
        <row r="4592">
          <cell r="A4592" t="str">
            <v>1RE2NS5282X-S1</v>
          </cell>
          <cell r="B4592">
            <v>146</v>
          </cell>
        </row>
        <row r="4593">
          <cell r="A4593" t="str">
            <v>1RE2NS5282X-S2</v>
          </cell>
          <cell r="B4593">
            <v>137</v>
          </cell>
        </row>
        <row r="4594">
          <cell r="A4594" t="str">
            <v>1RE2NS5282X-S3</v>
          </cell>
          <cell r="B4594">
            <v>137</v>
          </cell>
        </row>
        <row r="4595">
          <cell r="A4595" t="str">
            <v>1RE2NS5282X-S4</v>
          </cell>
          <cell r="B4595">
            <v>133</v>
          </cell>
        </row>
        <row r="4596">
          <cell r="A4596" t="str">
            <v>1RE2NS5284SX</v>
          </cell>
          <cell r="B4596">
            <v>181</v>
          </cell>
        </row>
        <row r="4597">
          <cell r="A4597" t="str">
            <v>1RE2NS5284X</v>
          </cell>
          <cell r="B4597">
            <v>181</v>
          </cell>
        </row>
        <row r="4598">
          <cell r="A4598" t="str">
            <v>1RE2NS5284XEU</v>
          </cell>
          <cell r="B4598">
            <v>181</v>
          </cell>
        </row>
        <row r="4599">
          <cell r="A4599" t="str">
            <v>1RE2NS5284X-S1</v>
          </cell>
          <cell r="B4599">
            <v>195</v>
          </cell>
        </row>
        <row r="4600">
          <cell r="A4600" t="str">
            <v>1RE2NS5284X-S2</v>
          </cell>
          <cell r="B4600">
            <v>182</v>
          </cell>
        </row>
        <row r="4601">
          <cell r="A4601" t="str">
            <v>1RE2NS5284X-S3</v>
          </cell>
          <cell r="B4601">
            <v>182</v>
          </cell>
        </row>
        <row r="4602">
          <cell r="A4602" t="str">
            <v>1RE2NS5284X-S4</v>
          </cell>
          <cell r="B4602">
            <v>178</v>
          </cell>
        </row>
        <row r="4603">
          <cell r="A4603" t="str">
            <v>1RE2NS5290</v>
          </cell>
          <cell r="B4603">
            <v>151</v>
          </cell>
        </row>
        <row r="4604">
          <cell r="A4604" t="str">
            <v>1RE2NS5290CE</v>
          </cell>
          <cell r="B4604">
            <v>209</v>
          </cell>
        </row>
        <row r="4605">
          <cell r="A4605" t="str">
            <v>1RE2NS5290CES1</v>
          </cell>
          <cell r="B4605">
            <v>50</v>
          </cell>
        </row>
        <row r="4606">
          <cell r="A4606" t="str">
            <v>1RE2NS5290CES2</v>
          </cell>
          <cell r="B4606">
            <v>188</v>
          </cell>
        </row>
        <row r="4607">
          <cell r="A4607" t="str">
            <v>1RE2NS5290CES3</v>
          </cell>
          <cell r="B4607">
            <v>270</v>
          </cell>
        </row>
        <row r="4608">
          <cell r="A4608" t="str">
            <v>1RE2NS5290CES4</v>
          </cell>
          <cell r="B4608">
            <v>210</v>
          </cell>
        </row>
        <row r="4609">
          <cell r="A4609" t="str">
            <v>1RE2NS5290CN</v>
          </cell>
          <cell r="B4609">
            <v>209</v>
          </cell>
        </row>
        <row r="4610">
          <cell r="A4610" t="str">
            <v>1RE2NS5290MS</v>
          </cell>
          <cell r="B4610">
            <v>209</v>
          </cell>
        </row>
        <row r="4611">
          <cell r="A4611" t="str">
            <v>1RE2NS5290SX</v>
          </cell>
          <cell r="B4611">
            <v>208</v>
          </cell>
        </row>
        <row r="4612">
          <cell r="A4612" t="str">
            <v>1RE2NS5290X</v>
          </cell>
          <cell r="B4612">
            <v>151</v>
          </cell>
        </row>
        <row r="4613">
          <cell r="A4613" t="str">
            <v>1RE2NS5290X-S1</v>
          </cell>
          <cell r="B4613">
            <v>152</v>
          </cell>
        </row>
        <row r="4614">
          <cell r="A4614" t="str">
            <v>1RE2NS5290X-S2</v>
          </cell>
          <cell r="B4614">
            <v>152</v>
          </cell>
        </row>
        <row r="4615">
          <cell r="A4615" t="str">
            <v>1RE2NS5290X-S3</v>
          </cell>
          <cell r="B4615">
            <v>152</v>
          </cell>
        </row>
        <row r="4616">
          <cell r="A4616" t="str">
            <v>1RE2NSX2000BX1-S1</v>
          </cell>
          <cell r="B4616">
            <v>1131</v>
          </cell>
        </row>
        <row r="4617">
          <cell r="A4617" t="str">
            <v>1RE2NSX2000BX1-S2</v>
          </cell>
          <cell r="B4617">
            <v>718</v>
          </cell>
        </row>
        <row r="4618">
          <cell r="A4618" t="str">
            <v>1RE2PEMCSEV4</v>
          </cell>
          <cell r="B4618">
            <v>245</v>
          </cell>
        </row>
        <row r="4619">
          <cell r="A4619" t="str">
            <v>1RE2PNLP2262ZA</v>
          </cell>
          <cell r="B4619">
            <v>326</v>
          </cell>
        </row>
        <row r="4620">
          <cell r="A4620" t="str">
            <v>1RE2PNLP2263ZA</v>
          </cell>
          <cell r="B4620">
            <v>575</v>
          </cell>
        </row>
        <row r="4621">
          <cell r="A4621" t="str">
            <v>1RE2PNLP2276ZA</v>
          </cell>
          <cell r="B4621">
            <v>114</v>
          </cell>
        </row>
        <row r="4622">
          <cell r="A4622" t="str">
            <v>1RE2PNLP2356ZA</v>
          </cell>
          <cell r="B4622">
            <v>262</v>
          </cell>
        </row>
        <row r="4623">
          <cell r="A4623" t="str">
            <v>1RE2PS200YSZB-R2</v>
          </cell>
          <cell r="B4623">
            <v>378</v>
          </cell>
        </row>
        <row r="4624">
          <cell r="A4624" t="str">
            <v>1RE2PS200YSZB-V4</v>
          </cell>
          <cell r="B4624">
            <v>375</v>
          </cell>
        </row>
        <row r="4625">
          <cell r="A4625" t="str">
            <v>1RE2PSLP1230ZAL4</v>
          </cell>
          <cell r="B4625">
            <v>361</v>
          </cell>
        </row>
        <row r="4626">
          <cell r="A4626" t="str">
            <v>1RE2PSLP1246XA</v>
          </cell>
          <cell r="B4626">
            <v>21</v>
          </cell>
        </row>
        <row r="4627">
          <cell r="A4627" t="str">
            <v>1RE2PSLP1258ZA</v>
          </cell>
          <cell r="B4627">
            <v>901</v>
          </cell>
        </row>
        <row r="4628">
          <cell r="A4628" t="str">
            <v>1RE2PSLP1258ZAL4</v>
          </cell>
          <cell r="B4628">
            <v>901</v>
          </cell>
        </row>
        <row r="4629">
          <cell r="A4629" t="str">
            <v>1RE2PSLP1259ZAL4</v>
          </cell>
          <cell r="B4629">
            <v>901</v>
          </cell>
        </row>
        <row r="4630">
          <cell r="A4630" t="str">
            <v>1RE2PSLP1260ZAL4</v>
          </cell>
          <cell r="B4630">
            <v>862</v>
          </cell>
        </row>
        <row r="4631">
          <cell r="A4631" t="str">
            <v>1RE2PSLP1261ZAL4</v>
          </cell>
          <cell r="B4631">
            <v>860</v>
          </cell>
        </row>
        <row r="4632">
          <cell r="A4632" t="str">
            <v>1RE2PSLP1263ZAL4</v>
          </cell>
          <cell r="B4632">
            <v>143</v>
          </cell>
        </row>
        <row r="4633">
          <cell r="A4633" t="str">
            <v>1RE2PSLP1264ZAL4</v>
          </cell>
          <cell r="B4633">
            <v>143</v>
          </cell>
        </row>
        <row r="4634">
          <cell r="A4634" t="str">
            <v>1RE2PSLP1270ZAV4</v>
          </cell>
          <cell r="B4634">
            <v>564</v>
          </cell>
        </row>
        <row r="4635">
          <cell r="A4635" t="str">
            <v>1RE2PSLP1279ZA</v>
          </cell>
          <cell r="B4635">
            <v>63</v>
          </cell>
        </row>
        <row r="4636">
          <cell r="A4636" t="str">
            <v>1RE2PSLP1280ZA</v>
          </cell>
          <cell r="B4636">
            <v>904</v>
          </cell>
        </row>
        <row r="4637">
          <cell r="A4637" t="str">
            <v>1RE2PSLP1318ZAL4</v>
          </cell>
          <cell r="B4637">
            <v>140</v>
          </cell>
        </row>
        <row r="4638">
          <cell r="A4638" t="str">
            <v>1RE2PSLP1319ZAL4</v>
          </cell>
          <cell r="B4638">
            <v>1</v>
          </cell>
        </row>
        <row r="4639">
          <cell r="A4639" t="str">
            <v>1RE2PSLP1320ZA01V4</v>
          </cell>
          <cell r="B4639">
            <v>163</v>
          </cell>
        </row>
        <row r="4640">
          <cell r="A4640" t="str">
            <v>1RE2PSLP1320ZAL4</v>
          </cell>
          <cell r="B4640">
            <v>165</v>
          </cell>
        </row>
        <row r="4641">
          <cell r="A4641" t="str">
            <v>1RE2PSLP1326ZA</v>
          </cell>
          <cell r="B4641">
            <v>905</v>
          </cell>
        </row>
        <row r="4642">
          <cell r="A4642" t="str">
            <v>1RE2PSLP1327ZA</v>
          </cell>
          <cell r="B4642">
            <v>905</v>
          </cell>
        </row>
        <row r="4643">
          <cell r="A4643" t="str">
            <v>1RE2PSLP1328ZA</v>
          </cell>
          <cell r="B4643">
            <v>905</v>
          </cell>
        </row>
        <row r="4644">
          <cell r="A4644" t="str">
            <v>1RE2PSLP1329ZA</v>
          </cell>
          <cell r="B4644">
            <v>905</v>
          </cell>
        </row>
        <row r="4645">
          <cell r="A4645" t="str">
            <v>1RE2PSLP1340ZA</v>
          </cell>
          <cell r="B4645">
            <v>195</v>
          </cell>
        </row>
        <row r="4646">
          <cell r="A4646" t="str">
            <v>1RE2PSLP1341ZA</v>
          </cell>
          <cell r="B4646">
            <v>195</v>
          </cell>
        </row>
        <row r="4647">
          <cell r="A4647" t="str">
            <v>1RE2PSLP1342ZA</v>
          </cell>
          <cell r="B4647">
            <v>195</v>
          </cell>
        </row>
        <row r="4648">
          <cell r="A4648" t="str">
            <v>1RE2PSLP1343ZA</v>
          </cell>
          <cell r="B4648">
            <v>195</v>
          </cell>
        </row>
        <row r="4649">
          <cell r="A4649" t="str">
            <v>1RE2PSLP1344ZA</v>
          </cell>
          <cell r="B4649">
            <v>145</v>
          </cell>
        </row>
        <row r="4650">
          <cell r="A4650" t="str">
            <v>1RE2PSLP1349ZA</v>
          </cell>
          <cell r="B4650">
            <v>905</v>
          </cell>
        </row>
        <row r="4651">
          <cell r="A4651" t="str">
            <v>1RE2PSLP1350ZA</v>
          </cell>
          <cell r="B4651">
            <v>195</v>
          </cell>
        </row>
        <row r="4652">
          <cell r="A4652" t="str">
            <v>1RE2PSLP1351ZA</v>
          </cell>
          <cell r="B4652">
            <v>139</v>
          </cell>
        </row>
        <row r="4653">
          <cell r="A4653" t="str">
            <v>1RE2PSLP1399ZA</v>
          </cell>
          <cell r="B4653">
            <v>558</v>
          </cell>
        </row>
        <row r="4654">
          <cell r="A4654" t="str">
            <v>1RE2PSLP1399ZAL4</v>
          </cell>
          <cell r="B4654">
            <v>558</v>
          </cell>
        </row>
        <row r="4655">
          <cell r="A4655" t="str">
            <v>1RE2PSLP1409ZA</v>
          </cell>
          <cell r="B4655">
            <v>1055</v>
          </cell>
        </row>
        <row r="4656">
          <cell r="A4656" t="str">
            <v>1RE2PSLP1410ZA</v>
          </cell>
          <cell r="B4656">
            <v>162</v>
          </cell>
        </row>
        <row r="4657">
          <cell r="A4657" t="str">
            <v>1RE2PSLP1435YA</v>
          </cell>
          <cell r="B4657">
            <v>227</v>
          </cell>
        </row>
        <row r="4658">
          <cell r="A4658" t="str">
            <v>1RE2PSLP1435ZAL4</v>
          </cell>
          <cell r="B4658">
            <v>226</v>
          </cell>
        </row>
        <row r="4659">
          <cell r="A4659" t="str">
            <v>1RE2PSLP1450ZAL4</v>
          </cell>
          <cell r="B4659">
            <v>226</v>
          </cell>
        </row>
        <row r="4660">
          <cell r="A4660" t="str">
            <v>1RE2PSLP1455ZAL4</v>
          </cell>
          <cell r="B4660">
            <v>229</v>
          </cell>
        </row>
        <row r="4661">
          <cell r="A4661" t="str">
            <v>1RE2PSLP1463ZAL4</v>
          </cell>
          <cell r="B4661">
            <v>557</v>
          </cell>
        </row>
        <row r="4662">
          <cell r="A4662" t="str">
            <v>1RE2PSLP1472ZA</v>
          </cell>
          <cell r="B4662">
            <v>768</v>
          </cell>
        </row>
        <row r="4663">
          <cell r="A4663" t="str">
            <v>1RE2PSLP1473ZA</v>
          </cell>
          <cell r="B4663">
            <v>570</v>
          </cell>
        </row>
        <row r="4664">
          <cell r="A4664" t="str">
            <v>1RE2PSLP1486ZA</v>
          </cell>
          <cell r="B4664">
            <v>235</v>
          </cell>
        </row>
        <row r="4665">
          <cell r="A4665" t="str">
            <v>1RE2PSLP1487ZA</v>
          </cell>
          <cell r="B4665">
            <v>180</v>
          </cell>
        </row>
        <row r="4666">
          <cell r="A4666" t="str">
            <v>1RE2PSLP1488ZA</v>
          </cell>
          <cell r="B4666">
            <v>151</v>
          </cell>
        </row>
        <row r="4667">
          <cell r="A4667" t="str">
            <v>1RE2PSLP1489ZA</v>
          </cell>
          <cell r="B4667">
            <v>1</v>
          </cell>
        </row>
        <row r="4668">
          <cell r="A4668" t="str">
            <v>1RE2PSLP1492ZAL4</v>
          </cell>
          <cell r="B4668">
            <v>381</v>
          </cell>
        </row>
        <row r="4669">
          <cell r="A4669" t="str">
            <v>1RE2PSLP1498ZAL4</v>
          </cell>
          <cell r="B4669">
            <v>310</v>
          </cell>
        </row>
        <row r="4670">
          <cell r="A4670" t="str">
            <v>1RE2PSLP1499ZAL4</v>
          </cell>
          <cell r="B4670">
            <v>352</v>
          </cell>
        </row>
        <row r="4671">
          <cell r="A4671" t="str">
            <v>1RE2PSLP1500ZAL4</v>
          </cell>
          <cell r="B4671">
            <v>344</v>
          </cell>
        </row>
        <row r="4672">
          <cell r="A4672" t="str">
            <v>1RE2PSLP1501ZA</v>
          </cell>
          <cell r="B4672">
            <v>156</v>
          </cell>
        </row>
        <row r="4673">
          <cell r="A4673" t="str">
            <v>1RE2PSLP1502ZAL4</v>
          </cell>
          <cell r="B4673">
            <v>310</v>
          </cell>
        </row>
        <row r="4674">
          <cell r="A4674" t="str">
            <v>1RE2PSLP1503ZAL4</v>
          </cell>
          <cell r="B4674">
            <v>352</v>
          </cell>
        </row>
        <row r="4675">
          <cell r="A4675" t="str">
            <v>1RE2PSLP1504ZAL4</v>
          </cell>
          <cell r="B4675">
            <v>344</v>
          </cell>
        </row>
        <row r="4676">
          <cell r="A4676" t="str">
            <v>1RE2PSLP1505ZA</v>
          </cell>
          <cell r="B4676">
            <v>235</v>
          </cell>
        </row>
        <row r="4677">
          <cell r="A4677" t="str">
            <v>1RE2PSLP1511ZA</v>
          </cell>
          <cell r="B4677">
            <v>43</v>
          </cell>
        </row>
        <row r="4678">
          <cell r="A4678" t="str">
            <v>1RE2PSLP1514ZA</v>
          </cell>
          <cell r="B4678">
            <v>487</v>
          </cell>
        </row>
        <row r="4679">
          <cell r="A4679" t="str">
            <v>1RE2PSLP1515ZA</v>
          </cell>
          <cell r="B4679">
            <v>475</v>
          </cell>
        </row>
        <row r="4680">
          <cell r="A4680" t="str">
            <v>1RE2PSLP1515ZASPV4</v>
          </cell>
          <cell r="B4680">
            <v>475</v>
          </cell>
        </row>
        <row r="4681">
          <cell r="A4681" t="str">
            <v>1RE2PSLP1517ZA</v>
          </cell>
          <cell r="B4681">
            <v>52</v>
          </cell>
        </row>
        <row r="4682">
          <cell r="A4682" t="str">
            <v>1RE2PSLP1518ZA</v>
          </cell>
          <cell r="B4682">
            <v>28</v>
          </cell>
        </row>
        <row r="4683">
          <cell r="A4683" t="str">
            <v>1RE2PSLP1519ZA</v>
          </cell>
          <cell r="B4683">
            <v>57</v>
          </cell>
        </row>
        <row r="4684">
          <cell r="A4684" t="str">
            <v>1RE2PSLP1520ZA</v>
          </cell>
          <cell r="B4684">
            <v>52</v>
          </cell>
        </row>
        <row r="4685">
          <cell r="A4685" t="str">
            <v>1RE2PSLP1521ZA</v>
          </cell>
          <cell r="B4685">
            <v>55</v>
          </cell>
        </row>
        <row r="4686">
          <cell r="A4686" t="str">
            <v>1RE2PSLP1526ZAL4</v>
          </cell>
          <cell r="B4686">
            <v>342</v>
          </cell>
        </row>
        <row r="4687">
          <cell r="A4687" t="str">
            <v>1RE2PSLP1527ZAL4</v>
          </cell>
          <cell r="B4687">
            <v>88</v>
          </cell>
        </row>
        <row r="4688">
          <cell r="A4688" t="str">
            <v>1RE2PSLP1530ZA</v>
          </cell>
          <cell r="B4688">
            <v>188</v>
          </cell>
        </row>
        <row r="4689">
          <cell r="A4689" t="str">
            <v>1RE2PSLP1531ZA</v>
          </cell>
          <cell r="B4689">
            <v>183</v>
          </cell>
        </row>
        <row r="4690">
          <cell r="A4690" t="str">
            <v>1RE2PSLP1532ZA</v>
          </cell>
          <cell r="B4690">
            <v>188</v>
          </cell>
        </row>
        <row r="4691">
          <cell r="A4691" t="str">
            <v>1RE2PSLP1533ZA</v>
          </cell>
          <cell r="B4691">
            <v>183</v>
          </cell>
        </row>
        <row r="4692">
          <cell r="A4692" t="str">
            <v>1RE2PSLP1534ZA</v>
          </cell>
          <cell r="B4692">
            <v>233</v>
          </cell>
        </row>
        <row r="4693">
          <cell r="A4693" t="str">
            <v>1RE2PSLP1535ZA</v>
          </cell>
          <cell r="B4693">
            <v>255</v>
          </cell>
        </row>
        <row r="4694">
          <cell r="A4694" t="str">
            <v>1RE2PSLP1538ZA</v>
          </cell>
          <cell r="B4694">
            <v>55</v>
          </cell>
        </row>
        <row r="4695">
          <cell r="A4695" t="str">
            <v>1RE2PSLP1541ZA</v>
          </cell>
          <cell r="B4695">
            <v>668</v>
          </cell>
        </row>
        <row r="4696">
          <cell r="A4696" t="str">
            <v>1RE2PSLP1550ZA</v>
          </cell>
          <cell r="B4696">
            <v>150</v>
          </cell>
        </row>
        <row r="4697">
          <cell r="A4697" t="str">
            <v>1RE2PSLP1552ZA</v>
          </cell>
          <cell r="B4697">
            <v>183</v>
          </cell>
        </row>
        <row r="4698">
          <cell r="A4698" t="str">
            <v>1RE2PSLP1554ZA</v>
          </cell>
          <cell r="B4698">
            <v>134</v>
          </cell>
        </row>
        <row r="4699">
          <cell r="A4699" t="str">
            <v>1RE2PSLP1555ZA</v>
          </cell>
          <cell r="B4699">
            <v>197</v>
          </cell>
        </row>
        <row r="4700">
          <cell r="A4700" t="str">
            <v>1RE2PSLP1556ZA</v>
          </cell>
          <cell r="B4700">
            <v>525</v>
          </cell>
        </row>
        <row r="4701">
          <cell r="A4701" t="str">
            <v>1RE2PSLP1557ZA</v>
          </cell>
          <cell r="B4701">
            <v>234</v>
          </cell>
        </row>
        <row r="4702">
          <cell r="A4702" t="str">
            <v>1RE2PSLP1558ZA</v>
          </cell>
          <cell r="B4702">
            <v>525</v>
          </cell>
        </row>
        <row r="4703">
          <cell r="A4703" t="str">
            <v>1RE2PSLP1559ZA</v>
          </cell>
          <cell r="B4703">
            <v>234</v>
          </cell>
        </row>
        <row r="4704">
          <cell r="A4704" t="str">
            <v>1RE2PSLP1561ZA</v>
          </cell>
          <cell r="B4704">
            <v>1</v>
          </cell>
        </row>
        <row r="4705">
          <cell r="A4705" t="str">
            <v>1RE2PSLP1562ZA</v>
          </cell>
          <cell r="B4705">
            <v>151</v>
          </cell>
        </row>
        <row r="4706">
          <cell r="A4706" t="str">
            <v>1RE2PSLP1563ZA</v>
          </cell>
          <cell r="B4706">
            <v>180</v>
          </cell>
        </row>
        <row r="4707">
          <cell r="A4707" t="str">
            <v>1RE2PSLP1564ZA</v>
          </cell>
          <cell r="B4707">
            <v>434</v>
          </cell>
        </row>
        <row r="4708">
          <cell r="A4708" t="str">
            <v>1RE2PSLP1564ZASPV4</v>
          </cell>
          <cell r="B4708">
            <v>434</v>
          </cell>
        </row>
        <row r="4709">
          <cell r="A4709" t="str">
            <v>1RE2PSLP1565ZA</v>
          </cell>
          <cell r="B4709">
            <v>703</v>
          </cell>
        </row>
        <row r="4710">
          <cell r="A4710" t="str">
            <v>1RE2PSLP1570ZA</v>
          </cell>
          <cell r="B4710">
            <v>668</v>
          </cell>
        </row>
        <row r="4711">
          <cell r="A4711" t="str">
            <v>1RE2PSLP1577ZA</v>
          </cell>
          <cell r="B4711">
            <v>615</v>
          </cell>
        </row>
        <row r="4712">
          <cell r="A4712" t="str">
            <v>1RE2PSLP1578ZA</v>
          </cell>
          <cell r="B4712">
            <v>807</v>
          </cell>
        </row>
        <row r="4713">
          <cell r="A4713" t="str">
            <v>1RE2PSLP1579ZA</v>
          </cell>
          <cell r="B4713">
            <v>89</v>
          </cell>
        </row>
        <row r="4714">
          <cell r="A4714" t="str">
            <v>1RE2PSLP1580ZA</v>
          </cell>
          <cell r="B4714">
            <v>200</v>
          </cell>
        </row>
        <row r="4715">
          <cell r="A4715" t="str">
            <v>1RE2PSLP1581ZA</v>
          </cell>
          <cell r="B4715">
            <v>1</v>
          </cell>
        </row>
        <row r="4716">
          <cell r="A4716" t="str">
            <v>1RE2PSLP1582ZA</v>
          </cell>
          <cell r="B4716">
            <v>531</v>
          </cell>
        </row>
        <row r="4717">
          <cell r="A4717" t="str">
            <v>1RE2PSLP1583ZA</v>
          </cell>
          <cell r="B4717">
            <v>531</v>
          </cell>
        </row>
        <row r="4718">
          <cell r="A4718" t="str">
            <v>1RE2PSLP1584ZA</v>
          </cell>
          <cell r="B4718">
            <v>1</v>
          </cell>
        </row>
        <row r="4719">
          <cell r="A4719" t="str">
            <v>1RE2PSLP1585ZA</v>
          </cell>
          <cell r="B4719">
            <v>256</v>
          </cell>
        </row>
        <row r="4720">
          <cell r="A4720" t="str">
            <v>1RE2PSLP1586ZA</v>
          </cell>
          <cell r="B4720">
            <v>240</v>
          </cell>
        </row>
        <row r="4721">
          <cell r="A4721" t="str">
            <v>1RE2PSLP1586ZASPV4</v>
          </cell>
          <cell r="B4721">
            <v>240</v>
          </cell>
        </row>
        <row r="4722">
          <cell r="A4722" t="str">
            <v>1RE2PSLP1587ZA</v>
          </cell>
          <cell r="B4722">
            <v>35</v>
          </cell>
        </row>
        <row r="4723">
          <cell r="A4723" t="str">
            <v>1RE2PSLP1589ZA</v>
          </cell>
          <cell r="B4723">
            <v>92</v>
          </cell>
        </row>
        <row r="4724">
          <cell r="A4724" t="str">
            <v>1RE2PSLP1597ZA</v>
          </cell>
          <cell r="B4724">
            <v>438</v>
          </cell>
        </row>
        <row r="4725">
          <cell r="A4725" t="str">
            <v>1RE2PSLP1598ZA</v>
          </cell>
          <cell r="B4725">
            <v>167</v>
          </cell>
        </row>
        <row r="4726">
          <cell r="A4726" t="str">
            <v>1RE2PSLP1600ZA</v>
          </cell>
          <cell r="B4726">
            <v>10</v>
          </cell>
        </row>
        <row r="4727">
          <cell r="A4727" t="str">
            <v>1RE2PSLP1601ZA</v>
          </cell>
          <cell r="B4727">
            <v>1</v>
          </cell>
        </row>
        <row r="4728">
          <cell r="A4728" t="str">
            <v>1RE2PSLP1602ZA</v>
          </cell>
          <cell r="B4728">
            <v>234</v>
          </cell>
        </row>
        <row r="4729">
          <cell r="A4729" t="str">
            <v>1RE2PSLP1603ZA</v>
          </cell>
          <cell r="B4729">
            <v>256</v>
          </cell>
        </row>
        <row r="4730">
          <cell r="A4730" t="str">
            <v>1RE2PSLP1604ZA</v>
          </cell>
          <cell r="B4730">
            <v>240</v>
          </cell>
        </row>
        <row r="4731">
          <cell r="A4731" t="str">
            <v>1RE2PSLP1608ZA</v>
          </cell>
          <cell r="B4731">
            <v>18</v>
          </cell>
        </row>
        <row r="4732">
          <cell r="A4732" t="str">
            <v>1RE2PSLP1609ZA</v>
          </cell>
          <cell r="B4732">
            <v>16</v>
          </cell>
        </row>
        <row r="4733">
          <cell r="A4733" t="str">
            <v>1RE2PSLP1610ZA</v>
          </cell>
          <cell r="B4733">
            <v>253</v>
          </cell>
        </row>
        <row r="4734">
          <cell r="A4734" t="str">
            <v>1RE2PSLP1611ZA</v>
          </cell>
          <cell r="B4734">
            <v>252</v>
          </cell>
        </row>
        <row r="4735">
          <cell r="A4735" t="str">
            <v>1RE2PSLP1615ZA</v>
          </cell>
          <cell r="B4735">
            <v>231</v>
          </cell>
        </row>
        <row r="4736">
          <cell r="A4736" t="str">
            <v>1RE2PSLP1617ZA</v>
          </cell>
          <cell r="B4736">
            <v>232</v>
          </cell>
        </row>
        <row r="4737">
          <cell r="A4737" t="str">
            <v>1RE2PSLP1618ZA</v>
          </cell>
          <cell r="B4737">
            <v>232</v>
          </cell>
        </row>
        <row r="4738">
          <cell r="A4738" t="str">
            <v>1RE2PSLP1619ZA</v>
          </cell>
          <cell r="B4738">
            <v>232</v>
          </cell>
        </row>
        <row r="4739">
          <cell r="A4739" t="str">
            <v>1RE2PSLP1625ZA</v>
          </cell>
          <cell r="B4739">
            <v>703</v>
          </cell>
        </row>
        <row r="4740">
          <cell r="A4740" t="str">
            <v>1RE2PSLP1629ZA</v>
          </cell>
          <cell r="B4740">
            <v>1</v>
          </cell>
        </row>
        <row r="4741">
          <cell r="A4741" t="str">
            <v>1RE2PSLP1630ZA</v>
          </cell>
          <cell r="B4741">
            <v>151</v>
          </cell>
        </row>
        <row r="4742">
          <cell r="A4742" t="str">
            <v>1RE2PSLP1632ZA</v>
          </cell>
          <cell r="B4742">
            <v>627</v>
          </cell>
        </row>
        <row r="4743">
          <cell r="A4743" t="str">
            <v>1RE2PSLP1636ZA</v>
          </cell>
          <cell r="B4743">
            <v>570</v>
          </cell>
        </row>
        <row r="4744">
          <cell r="A4744" t="str">
            <v>1RE2PSLP1637ZA</v>
          </cell>
          <cell r="B4744">
            <v>768</v>
          </cell>
        </row>
        <row r="4745">
          <cell r="A4745" t="str">
            <v>1RE2PSLP1638ZA</v>
          </cell>
          <cell r="B4745">
            <v>232</v>
          </cell>
        </row>
        <row r="4746">
          <cell r="A4746" t="str">
            <v>1RE2PSLP1639ZA</v>
          </cell>
          <cell r="B4746">
            <v>807</v>
          </cell>
        </row>
        <row r="4747">
          <cell r="A4747" t="str">
            <v>1RE2PSLP1640ZA</v>
          </cell>
          <cell r="B4747">
            <v>809</v>
          </cell>
        </row>
        <row r="4748">
          <cell r="A4748" t="str">
            <v>1RE2PSLP1641ZA</v>
          </cell>
          <cell r="B4748">
            <v>1</v>
          </cell>
        </row>
        <row r="4749">
          <cell r="A4749" t="str">
            <v>1RE2PSLP1645ZA</v>
          </cell>
          <cell r="B4749">
            <v>636</v>
          </cell>
        </row>
        <row r="4750">
          <cell r="A4750" t="str">
            <v>1RE2PSLP1649ZA</v>
          </cell>
          <cell r="B4750">
            <v>65</v>
          </cell>
        </row>
        <row r="4751">
          <cell r="A4751" t="str">
            <v>1RE2PSLP1650ZA</v>
          </cell>
          <cell r="B4751">
            <v>315</v>
          </cell>
        </row>
        <row r="4752">
          <cell r="A4752" t="str">
            <v>1RE2PSLP1656ZA</v>
          </cell>
          <cell r="B4752">
            <v>231</v>
          </cell>
        </row>
        <row r="4753">
          <cell r="A4753" t="str">
            <v>1RE2PSLP1657ZA</v>
          </cell>
          <cell r="B4753">
            <v>809</v>
          </cell>
        </row>
        <row r="4754">
          <cell r="A4754" t="str">
            <v>1RE2PSLP1658ZA</v>
          </cell>
          <cell r="B4754">
            <v>809</v>
          </cell>
        </row>
        <row r="4755">
          <cell r="A4755" t="str">
            <v>1RE2PSLP1659ZA</v>
          </cell>
          <cell r="B4755">
            <v>807</v>
          </cell>
        </row>
        <row r="4756">
          <cell r="A4756" t="str">
            <v>1RE2PSLP1660ZA</v>
          </cell>
          <cell r="B4756">
            <v>807</v>
          </cell>
        </row>
        <row r="4757">
          <cell r="A4757" t="str">
            <v>1RE2PSLP1661ZA</v>
          </cell>
          <cell r="B4757">
            <v>99</v>
          </cell>
        </row>
        <row r="4758">
          <cell r="A4758" t="str">
            <v>1RE2PSLP1665ZA</v>
          </cell>
          <cell r="B4758">
            <v>394</v>
          </cell>
        </row>
        <row r="4759">
          <cell r="A4759" t="str">
            <v>1RE2PSLP1666ZA</v>
          </cell>
          <cell r="B4759">
            <v>194</v>
          </cell>
        </row>
        <row r="4760">
          <cell r="A4760" t="str">
            <v>1RE2PSLP1667ZA</v>
          </cell>
          <cell r="B4760">
            <v>256</v>
          </cell>
        </row>
        <row r="4761">
          <cell r="A4761" t="str">
            <v>1RE2PSLP1668ZA</v>
          </cell>
          <cell r="B4761">
            <v>240</v>
          </cell>
        </row>
        <row r="4762">
          <cell r="A4762" t="str">
            <v>1RE2PSLP1669ZA</v>
          </cell>
          <cell r="B4762">
            <v>150</v>
          </cell>
        </row>
        <row r="4763">
          <cell r="A4763" t="str">
            <v>1RE2PSLP1670ZA</v>
          </cell>
          <cell r="B4763">
            <v>183</v>
          </cell>
        </row>
        <row r="4764">
          <cell r="A4764" t="str">
            <v>1RE2PSLP1671ZA</v>
          </cell>
          <cell r="B4764">
            <v>200</v>
          </cell>
        </row>
        <row r="4765">
          <cell r="A4765" t="str">
            <v>1RE2PSLP1672ZA</v>
          </cell>
          <cell r="B4765">
            <v>113</v>
          </cell>
        </row>
        <row r="4766">
          <cell r="A4766" t="str">
            <v>1RE2PSLP1673ZA</v>
          </cell>
          <cell r="B4766">
            <v>149</v>
          </cell>
        </row>
        <row r="4767">
          <cell r="A4767" t="str">
            <v>1RE2PSLP1676ZA</v>
          </cell>
          <cell r="B4767">
            <v>229</v>
          </cell>
        </row>
        <row r="4768">
          <cell r="A4768" t="str">
            <v>1RE2PSLP1679ZA</v>
          </cell>
          <cell r="B4768">
            <v>807</v>
          </cell>
        </row>
        <row r="4769">
          <cell r="A4769" t="str">
            <v>1RE2PSLP1685ZA</v>
          </cell>
          <cell r="B4769">
            <v>129</v>
          </cell>
        </row>
        <row r="4770">
          <cell r="A4770" t="str">
            <v>1RE2PSLP1686ZA</v>
          </cell>
          <cell r="B4770">
            <v>627</v>
          </cell>
        </row>
        <row r="4771">
          <cell r="A4771" t="str">
            <v>1RE2PSLP1687ZA</v>
          </cell>
          <cell r="B4771">
            <v>627</v>
          </cell>
        </row>
        <row r="4772">
          <cell r="A4772" t="str">
            <v>1RE2PSLP1689ZA</v>
          </cell>
          <cell r="B4772">
            <v>113</v>
          </cell>
        </row>
        <row r="4773">
          <cell r="A4773" t="str">
            <v>1RE2SA250A-V4</v>
          </cell>
          <cell r="B4773">
            <v>442</v>
          </cell>
        </row>
        <row r="4774">
          <cell r="A4774" t="str">
            <v>1RE2SA250P-V4</v>
          </cell>
          <cell r="B4774">
            <v>442</v>
          </cell>
        </row>
        <row r="4775">
          <cell r="A4775" t="str">
            <v>1RE2SE200A-V4</v>
          </cell>
          <cell r="B4775">
            <v>405</v>
          </cell>
        </row>
        <row r="4776">
          <cell r="A4776" t="str">
            <v>1RE2SE200DAN</v>
          </cell>
          <cell r="B4776">
            <v>405</v>
          </cell>
        </row>
        <row r="4777">
          <cell r="A4777" t="str">
            <v>1RE2SE200DNP</v>
          </cell>
          <cell r="B4777">
            <v>407</v>
          </cell>
        </row>
        <row r="4778">
          <cell r="A4778" t="str">
            <v>1RE2SE200P-V4</v>
          </cell>
          <cell r="B4778">
            <v>407</v>
          </cell>
        </row>
        <row r="4779">
          <cell r="A4779" t="str">
            <v>1RE2SHH14YSZB-V4</v>
          </cell>
          <cell r="B4779">
            <v>104</v>
          </cell>
        </row>
        <row r="4780">
          <cell r="A4780" t="str">
            <v>1RE2SHH23-S2</v>
          </cell>
          <cell r="B4780">
            <v>110</v>
          </cell>
        </row>
        <row r="4781">
          <cell r="A4781" t="str">
            <v>1RE2SHH24</v>
          </cell>
          <cell r="B4781">
            <v>110</v>
          </cell>
        </row>
        <row r="4782">
          <cell r="A4782" t="str">
            <v>1RE2SMS19-V4</v>
          </cell>
          <cell r="B4782">
            <v>87</v>
          </cell>
        </row>
        <row r="4783">
          <cell r="A4783" t="str">
            <v>1RE2SR102A-V4</v>
          </cell>
          <cell r="B4783">
            <v>317</v>
          </cell>
        </row>
        <row r="4784">
          <cell r="A4784" t="str">
            <v>1RE2SR102E-V4</v>
          </cell>
          <cell r="B4784">
            <v>430</v>
          </cell>
        </row>
        <row r="4785">
          <cell r="A4785" t="str">
            <v>1RE2SR152</v>
          </cell>
          <cell r="B4785">
            <v>754</v>
          </cell>
        </row>
        <row r="4786">
          <cell r="A4786" t="str">
            <v>1RE2SR152R</v>
          </cell>
          <cell r="B4786">
            <v>754</v>
          </cell>
        </row>
        <row r="4787">
          <cell r="A4787" t="str">
            <v>1RE2SR202A-V4</v>
          </cell>
          <cell r="B4787">
            <v>546</v>
          </cell>
        </row>
        <row r="4788">
          <cell r="A4788" t="str">
            <v>1RE2SR202DAN</v>
          </cell>
          <cell r="B4788">
            <v>546</v>
          </cell>
        </row>
        <row r="4789">
          <cell r="A4789" t="str">
            <v>1RE2SR202DNP</v>
          </cell>
          <cell r="B4789">
            <v>531</v>
          </cell>
        </row>
        <row r="4790">
          <cell r="A4790" t="str">
            <v>1RE2SR202P-V4</v>
          </cell>
          <cell r="B4790">
            <v>511</v>
          </cell>
        </row>
        <row r="4791">
          <cell r="A4791" t="str">
            <v>1RE2SR204DNP</v>
          </cell>
          <cell r="B4791">
            <v>548</v>
          </cell>
        </row>
        <row r="4792">
          <cell r="A4792" t="str">
            <v>1RE2SR204P-V4</v>
          </cell>
          <cell r="B4792">
            <v>548</v>
          </cell>
        </row>
        <row r="4793">
          <cell r="A4793" t="str">
            <v>1RE2SRB20YSZB-V4</v>
          </cell>
          <cell r="B4793">
            <v>568</v>
          </cell>
        </row>
        <row r="4794">
          <cell r="A4794" t="str">
            <v>1RE2SRB20YSZC-V4</v>
          </cell>
          <cell r="B4794">
            <v>568</v>
          </cell>
        </row>
        <row r="4795">
          <cell r="A4795" t="str">
            <v>1RE2SRB20YSZE-V4</v>
          </cell>
          <cell r="B4795">
            <v>568</v>
          </cell>
        </row>
        <row r="4796">
          <cell r="A4796" t="str">
            <v>1RE2SRC14YSZB-V4</v>
          </cell>
          <cell r="B4796">
            <v>567</v>
          </cell>
        </row>
        <row r="4797">
          <cell r="A4797" t="str">
            <v>1RE2SRC14YSZC-V4</v>
          </cell>
          <cell r="B4797">
            <v>567</v>
          </cell>
        </row>
        <row r="4798">
          <cell r="A4798" t="str">
            <v>1RE2SRC14YSZE-V4</v>
          </cell>
          <cell r="B4798">
            <v>567</v>
          </cell>
        </row>
        <row r="4799">
          <cell r="A4799" t="str">
            <v>1RE2ST100E-V4</v>
          </cell>
          <cell r="B4799">
            <v>111</v>
          </cell>
        </row>
        <row r="4800">
          <cell r="A4800" t="str">
            <v>1RE2ST200P-V4</v>
          </cell>
          <cell r="B4800">
            <v>174</v>
          </cell>
        </row>
        <row r="4801">
          <cell r="A4801" t="str">
            <v>1RE2ST200-V4</v>
          </cell>
          <cell r="B4801">
            <v>173</v>
          </cell>
        </row>
        <row r="4802">
          <cell r="A4802" t="str">
            <v>1RE2ST210-V4</v>
          </cell>
          <cell r="B4802">
            <v>172</v>
          </cell>
        </row>
        <row r="4803">
          <cell r="A4803" t="str">
            <v>1RE2ST250-V4</v>
          </cell>
          <cell r="B4803">
            <v>172</v>
          </cell>
        </row>
        <row r="4804">
          <cell r="A4804" t="str">
            <v>1RE2ST300E-V4</v>
          </cell>
          <cell r="B4804">
            <v>155</v>
          </cell>
        </row>
        <row r="4805">
          <cell r="A4805" t="str">
            <v>1RE2ST400P-V4</v>
          </cell>
          <cell r="B4805">
            <v>168</v>
          </cell>
        </row>
        <row r="4806">
          <cell r="A4806" t="str">
            <v>1RE2ST400-V4</v>
          </cell>
          <cell r="B4806">
            <v>168</v>
          </cell>
        </row>
        <row r="4807">
          <cell r="A4807" t="str">
            <v>1RE2ST510-V4</v>
          </cell>
          <cell r="B4807">
            <v>219</v>
          </cell>
        </row>
        <row r="4808">
          <cell r="A4808" t="str">
            <v>1RE2ST600</v>
          </cell>
          <cell r="B4808">
            <v>257</v>
          </cell>
        </row>
        <row r="4809">
          <cell r="A4809" t="str">
            <v>1RE2ST600P</v>
          </cell>
          <cell r="B4809">
            <v>257</v>
          </cell>
        </row>
        <row r="4810">
          <cell r="A4810" t="str">
            <v>1RE2ST700</v>
          </cell>
          <cell r="B4810">
            <v>226</v>
          </cell>
        </row>
        <row r="4811">
          <cell r="A4811" t="str">
            <v>1RE2ST700P</v>
          </cell>
          <cell r="B4811">
            <v>226</v>
          </cell>
        </row>
        <row r="4812">
          <cell r="A4812" t="str">
            <v>1RE2STD14YSZB-V4</v>
          </cell>
          <cell r="B4812">
            <v>151</v>
          </cell>
        </row>
        <row r="4813">
          <cell r="A4813" t="str">
            <v>1RE2STM23-S2</v>
          </cell>
          <cell r="B4813">
            <v>155</v>
          </cell>
        </row>
        <row r="4814">
          <cell r="A4814" t="str">
            <v>1RE2STM24</v>
          </cell>
          <cell r="B4814">
            <v>155</v>
          </cell>
        </row>
        <row r="4815">
          <cell r="A4815" t="str">
            <v>1RE2SZ100E-V4</v>
          </cell>
          <cell r="B4815">
            <v>39</v>
          </cell>
        </row>
        <row r="4816">
          <cell r="A4816" t="str">
            <v>1RE2SZ100-V4</v>
          </cell>
          <cell r="B4816">
            <v>39</v>
          </cell>
        </row>
        <row r="4817">
          <cell r="A4817" t="str">
            <v>1RE2SZ600</v>
          </cell>
          <cell r="B4817">
            <v>530</v>
          </cell>
        </row>
        <row r="4818">
          <cell r="A4818" t="str">
            <v>1RE2T7625M1APL4</v>
          </cell>
          <cell r="B4818">
            <v>268</v>
          </cell>
        </row>
        <row r="4819">
          <cell r="A4819" t="str">
            <v>1RE2T76301APL4</v>
          </cell>
          <cell r="B4819">
            <v>289</v>
          </cell>
        </row>
        <row r="4820">
          <cell r="A4820" t="str">
            <v>1RE2T7630M1APL4</v>
          </cell>
          <cell r="B4820">
            <v>289</v>
          </cell>
        </row>
        <row r="4821">
          <cell r="A4821" t="str">
            <v>1RE2T76361APL4</v>
          </cell>
          <cell r="B4821">
            <v>296</v>
          </cell>
        </row>
        <row r="4822">
          <cell r="A4822" t="str">
            <v>1RE2T7636M1APL4</v>
          </cell>
          <cell r="B4822">
            <v>296</v>
          </cell>
        </row>
        <row r="4823">
          <cell r="A4823" t="str">
            <v>1RE2T76401APL4</v>
          </cell>
          <cell r="B4823">
            <v>98</v>
          </cell>
        </row>
        <row r="4824">
          <cell r="A4824" t="str">
            <v>1RE2T76651APL4</v>
          </cell>
          <cell r="B4824">
            <v>209</v>
          </cell>
        </row>
        <row r="4825">
          <cell r="A4825" t="str">
            <v>1RE2T7665RU1APL4</v>
          </cell>
          <cell r="B4825">
            <v>215</v>
          </cell>
        </row>
        <row r="4826">
          <cell r="A4826" t="str">
            <v>1RE2T7665VE1AP</v>
          </cell>
          <cell r="B4826">
            <v>253</v>
          </cell>
        </row>
        <row r="4827">
          <cell r="A4827" t="str">
            <v>1RE2T7720CEV4</v>
          </cell>
          <cell r="B4827">
            <v>244</v>
          </cell>
        </row>
        <row r="4828">
          <cell r="A4828" t="str">
            <v>1RE2T7720EV4</v>
          </cell>
          <cell r="B4828">
            <v>273</v>
          </cell>
        </row>
        <row r="4829">
          <cell r="A4829" t="str">
            <v>1RE2T7720EV7</v>
          </cell>
          <cell r="B4829">
            <v>243</v>
          </cell>
        </row>
        <row r="4830">
          <cell r="A4830" t="str">
            <v>1RE2T7720M1APL4</v>
          </cell>
          <cell r="B4830">
            <v>256</v>
          </cell>
        </row>
        <row r="4831">
          <cell r="A4831" t="str">
            <v>1RE2T7720NZV4</v>
          </cell>
          <cell r="B4831">
            <v>243</v>
          </cell>
        </row>
        <row r="4832">
          <cell r="A4832" t="str">
            <v>1RE2T7720XV4</v>
          </cell>
          <cell r="B4832">
            <v>242</v>
          </cell>
        </row>
        <row r="4833">
          <cell r="A4833" t="str">
            <v>1RE2T7730ALV4</v>
          </cell>
          <cell r="B4833">
            <v>287</v>
          </cell>
        </row>
        <row r="4834">
          <cell r="A4834" t="str">
            <v>1RE2T7730CEV4</v>
          </cell>
          <cell r="B4834">
            <v>273</v>
          </cell>
        </row>
        <row r="4835">
          <cell r="A4835" t="str">
            <v>1RE2T7730CNV4</v>
          </cell>
          <cell r="B4835">
            <v>285</v>
          </cell>
        </row>
        <row r="4836">
          <cell r="A4836" t="str">
            <v>1RE2T7730CV4</v>
          </cell>
          <cell r="B4836">
            <v>271</v>
          </cell>
        </row>
        <row r="4837">
          <cell r="A4837" t="str">
            <v>1RE2T7730EV4</v>
          </cell>
          <cell r="B4837">
            <v>272</v>
          </cell>
        </row>
        <row r="4838">
          <cell r="A4838" t="str">
            <v>1RE2T7730EV7</v>
          </cell>
          <cell r="B4838">
            <v>251</v>
          </cell>
        </row>
        <row r="4839">
          <cell r="A4839" t="str">
            <v>1RE2T7730NZV4</v>
          </cell>
          <cell r="B4839">
            <v>251</v>
          </cell>
        </row>
        <row r="4840">
          <cell r="A4840" t="str">
            <v>1RE2T7730RU1APL4</v>
          </cell>
          <cell r="B4840">
            <v>271</v>
          </cell>
        </row>
        <row r="4841">
          <cell r="A4841" t="str">
            <v>1RE2T7730SPV4</v>
          </cell>
          <cell r="B4841">
            <v>271</v>
          </cell>
        </row>
        <row r="4842">
          <cell r="A4842" t="str">
            <v>1RE2T7730SPV7</v>
          </cell>
          <cell r="B4842">
            <v>250</v>
          </cell>
        </row>
        <row r="4843">
          <cell r="A4843" t="str">
            <v>1RE2T7730XR1</v>
          </cell>
          <cell r="B4843">
            <v>276</v>
          </cell>
        </row>
        <row r="4844">
          <cell r="A4844" t="str">
            <v>1RE2T7730XSX</v>
          </cell>
          <cell r="B4844">
            <v>285</v>
          </cell>
        </row>
        <row r="4845">
          <cell r="A4845" t="str">
            <v>1RE2T7730XV4</v>
          </cell>
          <cell r="B4845">
            <v>285</v>
          </cell>
        </row>
        <row r="4846">
          <cell r="A4846" t="str">
            <v>1RE2T7731M1APL4</v>
          </cell>
          <cell r="B4846">
            <v>276</v>
          </cell>
        </row>
        <row r="4847">
          <cell r="A4847" t="str">
            <v>1RE2T7731M1APR1</v>
          </cell>
          <cell r="B4847">
            <v>275</v>
          </cell>
        </row>
        <row r="4848">
          <cell r="A4848" t="str">
            <v>1RE2T7731M1APS1</v>
          </cell>
          <cell r="B4848">
            <v>280</v>
          </cell>
        </row>
        <row r="4849">
          <cell r="A4849" t="str">
            <v>1RE2T7735CEV4</v>
          </cell>
          <cell r="B4849">
            <v>276</v>
          </cell>
        </row>
        <row r="4850">
          <cell r="A4850" t="str">
            <v>1RE2T7735EV4</v>
          </cell>
          <cell r="B4850">
            <v>275</v>
          </cell>
        </row>
        <row r="4851">
          <cell r="A4851" t="str">
            <v>1RE2T7735EV7</v>
          </cell>
          <cell r="B4851">
            <v>269</v>
          </cell>
        </row>
        <row r="4852">
          <cell r="A4852" t="str">
            <v>1RE2T7735NZL4</v>
          </cell>
          <cell r="B4852">
            <v>255</v>
          </cell>
        </row>
        <row r="4853">
          <cell r="A4853" t="str">
            <v>1RE2T7735RU1APL4</v>
          </cell>
          <cell r="B4853">
            <v>273</v>
          </cell>
        </row>
        <row r="4854">
          <cell r="A4854" t="str">
            <v>1RE2T7735XBV4</v>
          </cell>
          <cell r="B4854">
            <v>273</v>
          </cell>
        </row>
        <row r="4855">
          <cell r="A4855" t="str">
            <v>1RE2T7735XSX</v>
          </cell>
          <cell r="B4855">
            <v>273</v>
          </cell>
        </row>
        <row r="4856">
          <cell r="A4856" t="str">
            <v>1RE2T7735XV4</v>
          </cell>
          <cell r="B4856">
            <v>273</v>
          </cell>
        </row>
        <row r="4857">
          <cell r="A4857" t="str">
            <v>1RE2T7736M1APL4</v>
          </cell>
          <cell r="B4857">
            <v>277</v>
          </cell>
        </row>
        <row r="4858">
          <cell r="A4858" t="str">
            <v>1RE2T7736M1APS1</v>
          </cell>
          <cell r="B4858">
            <v>279</v>
          </cell>
        </row>
        <row r="4859">
          <cell r="A4859" t="str">
            <v>1RE2T7737V4</v>
          </cell>
          <cell r="B4859">
            <v>326</v>
          </cell>
        </row>
        <row r="4860">
          <cell r="A4860" t="str">
            <v>1RE2T7740BV4</v>
          </cell>
          <cell r="B4860">
            <v>54</v>
          </cell>
        </row>
        <row r="4861">
          <cell r="A4861" t="str">
            <v>1RE2T7740CNV4</v>
          </cell>
          <cell r="B4861">
            <v>54</v>
          </cell>
        </row>
        <row r="4862">
          <cell r="A4862" t="str">
            <v>1RE2T7740EV7</v>
          </cell>
          <cell r="B4862">
            <v>54</v>
          </cell>
        </row>
        <row r="4863">
          <cell r="A4863" t="str">
            <v>1RE2T7740V4</v>
          </cell>
          <cell r="B4863">
            <v>54</v>
          </cell>
        </row>
        <row r="4864">
          <cell r="A4864" t="str">
            <v>1RE2T7740XBV4</v>
          </cell>
          <cell r="B4864">
            <v>55</v>
          </cell>
        </row>
        <row r="4865">
          <cell r="A4865" t="str">
            <v>1RE2T7740XEU</v>
          </cell>
          <cell r="B4865">
            <v>55</v>
          </cell>
        </row>
        <row r="4866">
          <cell r="A4866" t="str">
            <v>1RE2T7740XSX</v>
          </cell>
          <cell r="B4866">
            <v>55</v>
          </cell>
        </row>
        <row r="4867">
          <cell r="A4867" t="str">
            <v>1RE2T7740XV4</v>
          </cell>
          <cell r="B4867">
            <v>55</v>
          </cell>
        </row>
        <row r="4868">
          <cell r="A4868" t="str">
            <v>1RE2T7750CEV4</v>
          </cell>
          <cell r="B4868">
            <v>226</v>
          </cell>
        </row>
        <row r="4869">
          <cell r="A4869" t="str">
            <v>1RE2T7750EV4</v>
          </cell>
          <cell r="B4869">
            <v>225</v>
          </cell>
        </row>
        <row r="4870">
          <cell r="A4870" t="str">
            <v>1RE2T7750EV7</v>
          </cell>
          <cell r="B4870">
            <v>207</v>
          </cell>
        </row>
        <row r="4871">
          <cell r="A4871" t="str">
            <v>1RE2T7750M1APL4</v>
          </cell>
          <cell r="B4871">
            <v>206</v>
          </cell>
        </row>
        <row r="4872">
          <cell r="A4872" t="str">
            <v>1RE2T7750NZV4</v>
          </cell>
          <cell r="B4872">
            <v>207</v>
          </cell>
        </row>
        <row r="4873">
          <cell r="A4873" t="str">
            <v>1RE2T7750SPV4</v>
          </cell>
          <cell r="B4873">
            <v>206</v>
          </cell>
        </row>
        <row r="4874">
          <cell r="A4874" t="str">
            <v>1RE2T7750XV4</v>
          </cell>
          <cell r="B4874">
            <v>224</v>
          </cell>
        </row>
        <row r="4875">
          <cell r="A4875" t="str">
            <v>1RE2T7775</v>
          </cell>
          <cell r="B4875">
            <v>46</v>
          </cell>
        </row>
        <row r="4876">
          <cell r="A4876" t="str">
            <v>1RE2TA82492V4</v>
          </cell>
          <cell r="B4876">
            <v>56</v>
          </cell>
        </row>
        <row r="4877">
          <cell r="A4877" t="str">
            <v>1RE2TA82493V4</v>
          </cell>
          <cell r="B4877">
            <v>55</v>
          </cell>
        </row>
        <row r="4878">
          <cell r="A4878" t="str">
            <v>1RE2TAW84861V4</v>
          </cell>
          <cell r="B4878">
            <v>89</v>
          </cell>
        </row>
        <row r="4879">
          <cell r="A4879" t="str">
            <v>1RE2TAW84866V4</v>
          </cell>
          <cell r="B4879">
            <v>99</v>
          </cell>
        </row>
        <row r="4880">
          <cell r="A4880" t="str">
            <v>1RE2TAW84868V4</v>
          </cell>
          <cell r="B4880">
            <v>65</v>
          </cell>
        </row>
        <row r="4881">
          <cell r="A4881" t="str">
            <v>1RE2TAW84870V4</v>
          </cell>
          <cell r="B4881">
            <v>291</v>
          </cell>
        </row>
        <row r="4882">
          <cell r="A4882" t="str">
            <v>1RE2TAW84874V4</v>
          </cell>
          <cell r="B4882">
            <v>314</v>
          </cell>
        </row>
        <row r="4883">
          <cell r="A4883" t="str">
            <v>1RE2TAW84875V4</v>
          </cell>
          <cell r="B4883">
            <v>159</v>
          </cell>
        </row>
        <row r="4884">
          <cell r="A4884" t="str">
            <v>1RE2TAW84876V4</v>
          </cell>
          <cell r="B4884">
            <v>410</v>
          </cell>
        </row>
        <row r="4885">
          <cell r="A4885" t="str">
            <v>1RE2TAW84880V4</v>
          </cell>
          <cell r="B4885">
            <v>143</v>
          </cell>
        </row>
        <row r="4886">
          <cell r="A4886" t="str">
            <v>1RE2TAW84893V4</v>
          </cell>
          <cell r="B4886">
            <v>99</v>
          </cell>
        </row>
        <row r="4887">
          <cell r="A4887" t="str">
            <v>1RE2TAW84896V4</v>
          </cell>
          <cell r="B4887">
            <v>24</v>
          </cell>
        </row>
        <row r="4888">
          <cell r="A4888" t="str">
            <v>1RE2TDA0105CN</v>
          </cell>
          <cell r="B4888">
            <v>48</v>
          </cell>
        </row>
        <row r="4889">
          <cell r="A4889" t="str">
            <v>1RE2TDA0105M1</v>
          </cell>
          <cell r="B4889">
            <v>48</v>
          </cell>
        </row>
        <row r="4890">
          <cell r="A4890" t="str">
            <v>1RE2TDA0105V4</v>
          </cell>
          <cell r="B4890">
            <v>48</v>
          </cell>
        </row>
        <row r="4891">
          <cell r="A4891" t="str">
            <v>1RE2TDA0105XJV4</v>
          </cell>
          <cell r="B4891">
            <v>48</v>
          </cell>
        </row>
        <row r="4892">
          <cell r="A4892" t="str">
            <v>1RE2TDA0105XV4</v>
          </cell>
          <cell r="B4892">
            <v>48</v>
          </cell>
        </row>
        <row r="4893">
          <cell r="A4893" t="str">
            <v>1RE2TDA0143CEV4</v>
          </cell>
          <cell r="B4893">
            <v>481</v>
          </cell>
        </row>
        <row r="4894">
          <cell r="A4894" t="str">
            <v>1RE2TDA0143M1</v>
          </cell>
          <cell r="B4894">
            <v>481</v>
          </cell>
        </row>
        <row r="4895">
          <cell r="A4895" t="str">
            <v>1RE2TDA0143V4</v>
          </cell>
          <cell r="B4895">
            <v>481</v>
          </cell>
        </row>
        <row r="4896">
          <cell r="A4896" t="str">
            <v>1RE2TDA0143XJV4</v>
          </cell>
          <cell r="B4896">
            <v>481</v>
          </cell>
        </row>
        <row r="4897">
          <cell r="A4897" t="str">
            <v>1RE2TDA0144CEV4</v>
          </cell>
          <cell r="B4897">
            <v>590</v>
          </cell>
        </row>
        <row r="4898">
          <cell r="A4898" t="str">
            <v>1RE2TDA0144M1</v>
          </cell>
          <cell r="B4898">
            <v>590</v>
          </cell>
        </row>
        <row r="4899">
          <cell r="A4899" t="str">
            <v>1RE2TDA0144V4</v>
          </cell>
          <cell r="B4899">
            <v>590</v>
          </cell>
        </row>
        <row r="4900">
          <cell r="A4900" t="str">
            <v>1RE2TDA0144XJV4</v>
          </cell>
          <cell r="B4900">
            <v>590</v>
          </cell>
        </row>
        <row r="4901">
          <cell r="A4901" t="str">
            <v>1RE2TDA0161M1</v>
          </cell>
          <cell r="B4901">
            <v>67</v>
          </cell>
        </row>
        <row r="4902">
          <cell r="A4902" t="str">
            <v>1RE2TDA0161V4</v>
          </cell>
          <cell r="B4902">
            <v>67</v>
          </cell>
        </row>
        <row r="4903">
          <cell r="A4903" t="str">
            <v>1RE2TDA0161XEU</v>
          </cell>
          <cell r="B4903">
            <v>67</v>
          </cell>
        </row>
        <row r="4904">
          <cell r="A4904" t="str">
            <v>1RE2TDA0161XJSX</v>
          </cell>
          <cell r="B4904">
            <v>67</v>
          </cell>
        </row>
        <row r="4905">
          <cell r="A4905" t="str">
            <v>1RE2TDA0161XJV4</v>
          </cell>
          <cell r="B4905">
            <v>67</v>
          </cell>
        </row>
        <row r="4906">
          <cell r="A4906" t="str">
            <v>1RE2TDA0161XV4</v>
          </cell>
          <cell r="B4906">
            <v>67</v>
          </cell>
        </row>
        <row r="4907">
          <cell r="A4907" t="str">
            <v>1RE2TDA0170CXV4</v>
          </cell>
          <cell r="B4907">
            <v>501</v>
          </cell>
        </row>
        <row r="4908">
          <cell r="A4908" t="str">
            <v>1RE2TDA0170M1</v>
          </cell>
          <cell r="B4908">
            <v>501</v>
          </cell>
        </row>
        <row r="4909">
          <cell r="A4909" t="str">
            <v>1RE2TDA0170V4</v>
          </cell>
          <cell r="B4909">
            <v>502</v>
          </cell>
        </row>
        <row r="4910">
          <cell r="A4910" t="str">
            <v>1RE2TDA0170XEU</v>
          </cell>
          <cell r="B4910">
            <v>502</v>
          </cell>
        </row>
        <row r="4911">
          <cell r="A4911" t="str">
            <v>1RE2TDA0170XJSX</v>
          </cell>
          <cell r="B4911">
            <v>501</v>
          </cell>
        </row>
        <row r="4912">
          <cell r="A4912" t="str">
            <v>1RE2TDA0170XJV4</v>
          </cell>
          <cell r="B4912">
            <v>501</v>
          </cell>
        </row>
        <row r="4913">
          <cell r="A4913" t="str">
            <v>1RE2TDA0170XJVN</v>
          </cell>
          <cell r="B4913">
            <v>501</v>
          </cell>
        </row>
        <row r="4914">
          <cell r="A4914" t="str">
            <v>1RE2TDA0170XV4</v>
          </cell>
          <cell r="B4914">
            <v>501</v>
          </cell>
        </row>
        <row r="4915">
          <cell r="A4915" t="str">
            <v>1RE2TDA0171CXV4</v>
          </cell>
          <cell r="B4915">
            <v>317</v>
          </cell>
        </row>
        <row r="4916">
          <cell r="A4916" t="str">
            <v>1RE2TDA0171M1</v>
          </cell>
          <cell r="B4916">
            <v>317</v>
          </cell>
        </row>
        <row r="4917">
          <cell r="A4917" t="str">
            <v>1RE2TDA0171V4</v>
          </cell>
          <cell r="B4917">
            <v>317</v>
          </cell>
        </row>
        <row r="4918">
          <cell r="A4918" t="str">
            <v>1RE2TDA0171XEU</v>
          </cell>
          <cell r="B4918">
            <v>318</v>
          </cell>
        </row>
        <row r="4919">
          <cell r="A4919" t="str">
            <v>1RE2TDA0171XJSX</v>
          </cell>
          <cell r="B4919">
            <v>317</v>
          </cell>
        </row>
        <row r="4920">
          <cell r="A4920" t="str">
            <v>1RE2TDA0171XJV4</v>
          </cell>
          <cell r="B4920">
            <v>317</v>
          </cell>
        </row>
        <row r="4921">
          <cell r="A4921" t="str">
            <v>1RE2TDA0171XV4</v>
          </cell>
          <cell r="B4921">
            <v>317</v>
          </cell>
        </row>
        <row r="4922">
          <cell r="A4922" t="str">
            <v>1RE2TDA0172CXV4</v>
          </cell>
          <cell r="B4922">
            <v>595</v>
          </cell>
        </row>
        <row r="4923">
          <cell r="A4923" t="str">
            <v>1RE2TDA0172M1</v>
          </cell>
          <cell r="B4923">
            <v>595</v>
          </cell>
        </row>
        <row r="4924">
          <cell r="A4924" t="str">
            <v>1RE2TDA0172V4</v>
          </cell>
          <cell r="B4924">
            <v>595</v>
          </cell>
        </row>
        <row r="4925">
          <cell r="A4925" t="str">
            <v>1RE2TDA0172XEU</v>
          </cell>
          <cell r="B4925">
            <v>595</v>
          </cell>
        </row>
        <row r="4926">
          <cell r="A4926" t="str">
            <v>1RE2TDA0172XJSX</v>
          </cell>
          <cell r="B4926">
            <v>595</v>
          </cell>
        </row>
        <row r="4927">
          <cell r="A4927" t="str">
            <v>1RE2TDA0172XJV4</v>
          </cell>
          <cell r="B4927">
            <v>595</v>
          </cell>
        </row>
        <row r="4928">
          <cell r="A4928" t="str">
            <v>1RE2TDA0172XJVN</v>
          </cell>
          <cell r="B4928">
            <v>595</v>
          </cell>
        </row>
        <row r="4929">
          <cell r="A4929" t="str">
            <v>1RE2TDA0172XV4</v>
          </cell>
          <cell r="B4929">
            <v>595</v>
          </cell>
        </row>
        <row r="4930">
          <cell r="A4930" t="str">
            <v>1RE2TDA0173CXV4</v>
          </cell>
          <cell r="B4930">
            <v>285</v>
          </cell>
        </row>
        <row r="4931">
          <cell r="A4931" t="str">
            <v>1RE2TDA0173M1</v>
          </cell>
          <cell r="B4931">
            <v>285</v>
          </cell>
        </row>
        <row r="4932">
          <cell r="A4932" t="str">
            <v>1RE2TDA0173V4</v>
          </cell>
          <cell r="B4932">
            <v>285</v>
          </cell>
        </row>
        <row r="4933">
          <cell r="A4933" t="str">
            <v>1RE2TDA0173XEU</v>
          </cell>
          <cell r="B4933">
            <v>286</v>
          </cell>
        </row>
        <row r="4934">
          <cell r="A4934" t="str">
            <v>1RE2TDA0173XJSX</v>
          </cell>
          <cell r="B4934">
            <v>285</v>
          </cell>
        </row>
        <row r="4935">
          <cell r="A4935" t="str">
            <v>1RE2TDA0173XJV4</v>
          </cell>
          <cell r="B4935">
            <v>285</v>
          </cell>
        </row>
        <row r="4936">
          <cell r="A4936" t="str">
            <v>1RE2TDA0173XV4</v>
          </cell>
          <cell r="B4936">
            <v>285</v>
          </cell>
        </row>
        <row r="4937">
          <cell r="A4937" t="str">
            <v>1RE2TDA0174V4</v>
          </cell>
          <cell r="B4937">
            <v>381</v>
          </cell>
        </row>
        <row r="4938">
          <cell r="A4938" t="str">
            <v>1RE2TDA0174XEU</v>
          </cell>
          <cell r="B4938">
            <v>381</v>
          </cell>
        </row>
        <row r="4939">
          <cell r="A4939" t="str">
            <v>1RE2TDA0174XJSX</v>
          </cell>
          <cell r="B4939">
            <v>381</v>
          </cell>
        </row>
        <row r="4940">
          <cell r="A4940" t="str">
            <v>1RE2TDA0174XJV4</v>
          </cell>
          <cell r="B4940">
            <v>381</v>
          </cell>
        </row>
        <row r="4941">
          <cell r="A4941" t="str">
            <v>1RE2TDA0174XV4</v>
          </cell>
          <cell r="B4941">
            <v>381</v>
          </cell>
        </row>
        <row r="4942">
          <cell r="A4942" t="str">
            <v>1RE2TDA0175V4</v>
          </cell>
          <cell r="B4942">
            <v>509</v>
          </cell>
        </row>
        <row r="4943">
          <cell r="A4943" t="str">
            <v>1RE2TDA0175XEU</v>
          </cell>
          <cell r="B4943">
            <v>509</v>
          </cell>
        </row>
        <row r="4944">
          <cell r="A4944" t="str">
            <v>1RE2TDA0175XJSX</v>
          </cell>
          <cell r="B4944">
            <v>511</v>
          </cell>
        </row>
        <row r="4945">
          <cell r="A4945" t="str">
            <v>1RE2TDA0175XJV4</v>
          </cell>
          <cell r="B4945">
            <v>509</v>
          </cell>
        </row>
        <row r="4946">
          <cell r="A4946" t="str">
            <v>1RE2TDA0175XV4</v>
          </cell>
          <cell r="B4946">
            <v>509</v>
          </cell>
        </row>
        <row r="4947">
          <cell r="A4947" t="str">
            <v>1RE2TDA0177CXV4</v>
          </cell>
          <cell r="B4947">
            <v>455</v>
          </cell>
        </row>
        <row r="4948">
          <cell r="A4948" t="str">
            <v>1RE2TDA0177V4</v>
          </cell>
          <cell r="B4948">
            <v>455</v>
          </cell>
        </row>
        <row r="4949">
          <cell r="A4949" t="str">
            <v>1RE2TDA0177XEU</v>
          </cell>
          <cell r="B4949">
            <v>456</v>
          </cell>
        </row>
        <row r="4950">
          <cell r="A4950" t="str">
            <v>1RE2TDA0177XJSX</v>
          </cell>
          <cell r="B4950">
            <v>456</v>
          </cell>
        </row>
        <row r="4951">
          <cell r="A4951" t="str">
            <v>1RE2TDA0177XJV4</v>
          </cell>
          <cell r="B4951">
            <v>455</v>
          </cell>
        </row>
        <row r="4952">
          <cell r="A4952" t="str">
            <v>1RE2TDA0177XV4</v>
          </cell>
          <cell r="B4952">
            <v>455</v>
          </cell>
        </row>
        <row r="4953">
          <cell r="A4953" t="str">
            <v>1RE2TDA0181AGV4</v>
          </cell>
          <cell r="B4953">
            <v>446</v>
          </cell>
        </row>
        <row r="4954">
          <cell r="A4954" t="str">
            <v>1RE2TDA0181ALV4</v>
          </cell>
          <cell r="B4954">
            <v>461</v>
          </cell>
        </row>
        <row r="4955">
          <cell r="A4955" t="str">
            <v>1RE2TDA0181CV4</v>
          </cell>
          <cell r="B4955">
            <v>428</v>
          </cell>
        </row>
        <row r="4956">
          <cell r="A4956" t="str">
            <v>1RE2TDA0181CXV4</v>
          </cell>
          <cell r="B4956">
            <v>443</v>
          </cell>
        </row>
        <row r="4957">
          <cell r="A4957" t="str">
            <v>1RE2TDA0181EV4</v>
          </cell>
          <cell r="B4957">
            <v>446</v>
          </cell>
        </row>
        <row r="4958">
          <cell r="A4958" t="str">
            <v>1RE2TDA0181NEV4</v>
          </cell>
          <cell r="B4958">
            <v>446</v>
          </cell>
        </row>
        <row r="4959">
          <cell r="A4959" t="str">
            <v>1RE2TDA0181V4</v>
          </cell>
          <cell r="B4959">
            <v>428</v>
          </cell>
        </row>
        <row r="4960">
          <cell r="A4960" t="str">
            <v>1RE2TDA0181XSX</v>
          </cell>
          <cell r="B4960">
            <v>446</v>
          </cell>
        </row>
        <row r="4961">
          <cell r="A4961" t="str">
            <v>1RE2TDA0181XV4</v>
          </cell>
          <cell r="B4961">
            <v>446</v>
          </cell>
        </row>
        <row r="4962">
          <cell r="A4962" t="str">
            <v>1RE2TDA0182CV4</v>
          </cell>
          <cell r="B4962">
            <v>505</v>
          </cell>
        </row>
        <row r="4963">
          <cell r="A4963" t="str">
            <v>1RE2TDA0182HKV4</v>
          </cell>
          <cell r="B4963">
            <v>505</v>
          </cell>
        </row>
        <row r="4964">
          <cell r="A4964" t="str">
            <v>1RE2TDA0184CNV4</v>
          </cell>
          <cell r="B4964">
            <v>498</v>
          </cell>
        </row>
        <row r="4965">
          <cell r="A4965" t="str">
            <v>1RE2TDA0184XJV4</v>
          </cell>
          <cell r="B4965">
            <v>498</v>
          </cell>
        </row>
        <row r="4966">
          <cell r="A4966" t="str">
            <v>1RE2TDA0184XV4</v>
          </cell>
          <cell r="B4966">
            <v>498</v>
          </cell>
        </row>
        <row r="4967">
          <cell r="A4967" t="str">
            <v>1RE2TDA0189XJV4</v>
          </cell>
          <cell r="B4967">
            <v>242</v>
          </cell>
        </row>
        <row r="4968">
          <cell r="A4968" t="str">
            <v>1RE2TDA0189XV4</v>
          </cell>
          <cell r="B4968">
            <v>242</v>
          </cell>
        </row>
        <row r="4969">
          <cell r="A4969" t="str">
            <v>1RE2TDA0190CXV4</v>
          </cell>
          <cell r="B4969">
            <v>207</v>
          </cell>
        </row>
        <row r="4970">
          <cell r="A4970" t="str">
            <v>1RE2TDA0190V4</v>
          </cell>
          <cell r="B4970">
            <v>207</v>
          </cell>
        </row>
        <row r="4971">
          <cell r="A4971" t="str">
            <v>1RE2TDA0190XEU</v>
          </cell>
          <cell r="B4971">
            <v>207</v>
          </cell>
        </row>
        <row r="4972">
          <cell r="A4972" t="str">
            <v>1RE2TDA0190XJSX</v>
          </cell>
          <cell r="B4972">
            <v>207</v>
          </cell>
        </row>
        <row r="4973">
          <cell r="A4973" t="str">
            <v>1RE2TDA0190XJV4</v>
          </cell>
          <cell r="B4973">
            <v>207</v>
          </cell>
        </row>
        <row r="4974">
          <cell r="A4974" t="str">
            <v>1RE2TDA0190XJVN</v>
          </cell>
          <cell r="B4974">
            <v>206</v>
          </cell>
        </row>
        <row r="4975">
          <cell r="A4975" t="str">
            <v>1RE2TDA0190XV4</v>
          </cell>
          <cell r="B4975">
            <v>207</v>
          </cell>
        </row>
        <row r="4976">
          <cell r="A4976" t="str">
            <v>1RE2TDA0191CNV4</v>
          </cell>
          <cell r="B4976">
            <v>160</v>
          </cell>
        </row>
        <row r="4977">
          <cell r="A4977" t="str">
            <v>1RE2TDA0191V4</v>
          </cell>
          <cell r="B4977">
            <v>160</v>
          </cell>
        </row>
        <row r="4978">
          <cell r="A4978" t="str">
            <v>1RE2TDA0191XEU</v>
          </cell>
          <cell r="B4978">
            <v>162</v>
          </cell>
        </row>
        <row r="4979">
          <cell r="A4979" t="str">
            <v>1RE2TDA0191XJV4</v>
          </cell>
          <cell r="B4979">
            <v>160</v>
          </cell>
        </row>
        <row r="4980">
          <cell r="A4980" t="str">
            <v>1RE2TDA0191XJV4SX</v>
          </cell>
          <cell r="B4980">
            <v>161</v>
          </cell>
        </row>
        <row r="4981">
          <cell r="A4981" t="str">
            <v>1RE2TDA0191XJVN</v>
          </cell>
          <cell r="B4981">
            <v>160</v>
          </cell>
        </row>
        <row r="4982">
          <cell r="A4982" t="str">
            <v>1RE2TDA0191XV4</v>
          </cell>
          <cell r="B4982">
            <v>160</v>
          </cell>
        </row>
        <row r="4983">
          <cell r="A4983" t="str">
            <v>1RE2TDA0192XEU</v>
          </cell>
          <cell r="B4983">
            <v>223</v>
          </cell>
        </row>
        <row r="4984">
          <cell r="A4984" t="str">
            <v>1RE2TDA0192XJ</v>
          </cell>
          <cell r="B4984">
            <v>118</v>
          </cell>
        </row>
        <row r="4985">
          <cell r="A4985" t="str">
            <v>1RE2TDA0192XJSX</v>
          </cell>
          <cell r="B4985">
            <v>223</v>
          </cell>
        </row>
        <row r="4986">
          <cell r="A4986" t="str">
            <v>1RE2TDA0192XV4</v>
          </cell>
          <cell r="B4986">
            <v>118</v>
          </cell>
        </row>
        <row r="4987">
          <cell r="A4987" t="str">
            <v>1RE2TDA0193CNV4</v>
          </cell>
          <cell r="B4987">
            <v>87</v>
          </cell>
        </row>
        <row r="4988">
          <cell r="A4988" t="str">
            <v>1RE2TDA0193V4</v>
          </cell>
          <cell r="B4988">
            <v>87</v>
          </cell>
        </row>
        <row r="4989">
          <cell r="A4989" t="str">
            <v>1RE2TDA0193XEU</v>
          </cell>
          <cell r="B4989">
            <v>87</v>
          </cell>
        </row>
        <row r="4990">
          <cell r="A4990" t="str">
            <v>1RE2TDA0193XJSX</v>
          </cell>
          <cell r="B4990">
            <v>87</v>
          </cell>
        </row>
        <row r="4991">
          <cell r="A4991" t="str">
            <v>1RE2TDA0193XJV4</v>
          </cell>
          <cell r="B4991">
            <v>87</v>
          </cell>
        </row>
        <row r="4992">
          <cell r="A4992" t="str">
            <v>1RE2TDA0193XV4</v>
          </cell>
          <cell r="B4992">
            <v>87</v>
          </cell>
        </row>
        <row r="4993">
          <cell r="A4993" t="str">
            <v>1RE2TDA0194</v>
          </cell>
          <cell r="B4993">
            <v>161</v>
          </cell>
        </row>
        <row r="4994">
          <cell r="A4994" t="str">
            <v>1RE2TDA0194CN</v>
          </cell>
          <cell r="B4994">
            <v>162</v>
          </cell>
        </row>
        <row r="4995">
          <cell r="A4995" t="str">
            <v>1RE2TDA0194XEU</v>
          </cell>
          <cell r="B4995">
            <v>162</v>
          </cell>
        </row>
        <row r="4996">
          <cell r="A4996" t="str">
            <v>1RE2TDA0194XJ</v>
          </cell>
          <cell r="B4996">
            <v>328</v>
          </cell>
        </row>
        <row r="4997">
          <cell r="A4997" t="str">
            <v>1RE2TDA0194XV4</v>
          </cell>
          <cell r="B4997">
            <v>161</v>
          </cell>
        </row>
        <row r="4998">
          <cell r="A4998" t="str">
            <v>1RE2TDA0196CN</v>
          </cell>
          <cell r="B4998">
            <v>50</v>
          </cell>
        </row>
        <row r="4999">
          <cell r="A4999" t="str">
            <v>1RE2TDA0196V4</v>
          </cell>
          <cell r="B4999">
            <v>50</v>
          </cell>
        </row>
        <row r="5000">
          <cell r="A5000" t="str">
            <v>1RE2TDA0196XEU</v>
          </cell>
          <cell r="B5000">
            <v>50</v>
          </cell>
        </row>
        <row r="5001">
          <cell r="A5001" t="str">
            <v>1RE2TDA0196XJV4</v>
          </cell>
          <cell r="B5001">
            <v>50</v>
          </cell>
        </row>
        <row r="5002">
          <cell r="A5002" t="str">
            <v>1RE2TDA0196XV4</v>
          </cell>
          <cell r="B5002">
            <v>50</v>
          </cell>
        </row>
        <row r="5003">
          <cell r="A5003" t="str">
            <v>1RE2TDA0284CEV4</v>
          </cell>
          <cell r="B5003">
            <v>318</v>
          </cell>
        </row>
        <row r="5004">
          <cell r="A5004" t="str">
            <v>1RE2TDA0284XJSX</v>
          </cell>
          <cell r="B5004">
            <v>318</v>
          </cell>
        </row>
        <row r="5005">
          <cell r="A5005" t="str">
            <v>1RE2TDA0284XJV4</v>
          </cell>
          <cell r="B5005">
            <v>318</v>
          </cell>
        </row>
        <row r="5006">
          <cell r="A5006" t="str">
            <v>1RE2TDA0288CEV4</v>
          </cell>
          <cell r="B5006">
            <v>398</v>
          </cell>
        </row>
        <row r="5007">
          <cell r="A5007" t="str">
            <v>1RE2TDA0288XJSX</v>
          </cell>
          <cell r="B5007">
            <v>398</v>
          </cell>
        </row>
        <row r="5008">
          <cell r="A5008" t="str">
            <v>1RE2TDA0288XJV4</v>
          </cell>
          <cell r="B5008">
            <v>398</v>
          </cell>
        </row>
        <row r="5009">
          <cell r="A5009" t="str">
            <v>1RE2TDA0410CNV4</v>
          </cell>
          <cell r="B5009">
            <v>305</v>
          </cell>
        </row>
        <row r="5010">
          <cell r="A5010" t="str">
            <v>1RE2TDA0410V4</v>
          </cell>
          <cell r="B5010">
            <v>305</v>
          </cell>
        </row>
        <row r="5011">
          <cell r="A5011" t="str">
            <v>1RE2TDA0410XEU</v>
          </cell>
          <cell r="B5011">
            <v>297</v>
          </cell>
        </row>
        <row r="5012">
          <cell r="A5012" t="str">
            <v>1RE2TDA0410XJSX</v>
          </cell>
          <cell r="B5012">
            <v>304</v>
          </cell>
        </row>
        <row r="5013">
          <cell r="A5013" t="str">
            <v>1RE2TDA0410XJV4</v>
          </cell>
          <cell r="B5013">
            <v>298</v>
          </cell>
        </row>
        <row r="5014">
          <cell r="A5014" t="str">
            <v>1RE2TDA0410XV4</v>
          </cell>
          <cell r="B5014">
            <v>304</v>
          </cell>
        </row>
        <row r="5015">
          <cell r="A5015" t="str">
            <v>1RE2TDA0470CNV4</v>
          </cell>
          <cell r="B5015">
            <v>435</v>
          </cell>
        </row>
        <row r="5016">
          <cell r="A5016" t="str">
            <v>1RE2TDA0470V4</v>
          </cell>
          <cell r="B5016">
            <v>437</v>
          </cell>
        </row>
        <row r="5017">
          <cell r="A5017" t="str">
            <v>1RE2TDA0470XEU</v>
          </cell>
          <cell r="B5017">
            <v>437</v>
          </cell>
        </row>
        <row r="5018">
          <cell r="A5018" t="str">
            <v>1RE2TDA0470XJV4</v>
          </cell>
          <cell r="B5018">
            <v>437</v>
          </cell>
        </row>
        <row r="5019">
          <cell r="A5019" t="str">
            <v>1RE2TDA0470XV4</v>
          </cell>
          <cell r="B5019">
            <v>435</v>
          </cell>
        </row>
        <row r="5020">
          <cell r="A5020" t="str">
            <v>1RE2TDA0484V4</v>
          </cell>
          <cell r="B5020">
            <v>434</v>
          </cell>
        </row>
        <row r="5021">
          <cell r="A5021" t="str">
            <v>1RE2TDA0484XEU</v>
          </cell>
          <cell r="B5021">
            <v>434</v>
          </cell>
        </row>
        <row r="5022">
          <cell r="A5022" t="str">
            <v>1RE2TDA0484XJSX</v>
          </cell>
          <cell r="B5022">
            <v>434</v>
          </cell>
        </row>
        <row r="5023">
          <cell r="A5023" t="str">
            <v>1RE2TDA0484XJV4</v>
          </cell>
          <cell r="B5023">
            <v>436</v>
          </cell>
        </row>
        <row r="5024">
          <cell r="A5024" t="str">
            <v>1RE2TDA0484XV4</v>
          </cell>
          <cell r="B5024">
            <v>434</v>
          </cell>
        </row>
        <row r="5025">
          <cell r="A5025" t="str">
            <v>1RE2TDA0490CNV4</v>
          </cell>
          <cell r="B5025">
            <v>443</v>
          </cell>
        </row>
        <row r="5026">
          <cell r="A5026" t="str">
            <v>1RE2TDA0490V4</v>
          </cell>
          <cell r="B5026">
            <v>443</v>
          </cell>
        </row>
        <row r="5027">
          <cell r="A5027" t="str">
            <v>1RE2TDA0490XEU</v>
          </cell>
          <cell r="B5027">
            <v>443</v>
          </cell>
        </row>
        <row r="5028">
          <cell r="A5028" t="str">
            <v>1RE2TDA0490XJSX</v>
          </cell>
          <cell r="B5028">
            <v>443</v>
          </cell>
        </row>
        <row r="5029">
          <cell r="A5029" t="str">
            <v>1RE2TDA0490XJV4</v>
          </cell>
          <cell r="B5029">
            <v>443</v>
          </cell>
        </row>
        <row r="5030">
          <cell r="A5030" t="str">
            <v>1RE2TDA0490XV4</v>
          </cell>
          <cell r="B5030">
            <v>441</v>
          </cell>
        </row>
        <row r="5031">
          <cell r="A5031" t="str">
            <v>1RE2TDA1176</v>
          </cell>
          <cell r="B5031">
            <v>540</v>
          </cell>
        </row>
        <row r="5032">
          <cell r="A5032" t="str">
            <v>1RE2TDA1176CN</v>
          </cell>
          <cell r="B5032">
            <v>540</v>
          </cell>
        </row>
        <row r="5033">
          <cell r="A5033" t="str">
            <v>1RE2TDA1176ML</v>
          </cell>
          <cell r="B5033">
            <v>563</v>
          </cell>
        </row>
        <row r="5034">
          <cell r="A5034" t="str">
            <v>1RE2TDA1176XS1</v>
          </cell>
          <cell r="B5034">
            <v>436</v>
          </cell>
        </row>
        <row r="5035">
          <cell r="A5035" t="str">
            <v>1RE2TDA1178</v>
          </cell>
          <cell r="B5035">
            <v>664</v>
          </cell>
        </row>
        <row r="5036">
          <cell r="A5036" t="str">
            <v>1RE2TDA1178CN</v>
          </cell>
          <cell r="B5036">
            <v>664</v>
          </cell>
        </row>
        <row r="5037">
          <cell r="A5037" t="str">
            <v>1RE2TDA1178ML</v>
          </cell>
          <cell r="B5037">
            <v>687</v>
          </cell>
        </row>
        <row r="5038">
          <cell r="A5038" t="str">
            <v>1RE2TDA1178XS1</v>
          </cell>
          <cell r="B5038">
            <v>544</v>
          </cell>
        </row>
        <row r="5039">
          <cell r="A5039" t="str">
            <v>1RE2TDA1180AG</v>
          </cell>
          <cell r="B5039">
            <v>530</v>
          </cell>
        </row>
        <row r="5040">
          <cell r="A5040" t="str">
            <v>1RE2TDA1180BR</v>
          </cell>
          <cell r="B5040">
            <v>514</v>
          </cell>
        </row>
        <row r="5041">
          <cell r="A5041" t="str">
            <v>1RE2TDA1180CN</v>
          </cell>
          <cell r="B5041">
            <v>530</v>
          </cell>
        </row>
        <row r="5042">
          <cell r="A5042" t="str">
            <v>1RE2TDA1180SX</v>
          </cell>
          <cell r="B5042">
            <v>538</v>
          </cell>
        </row>
        <row r="5043">
          <cell r="A5043" t="str">
            <v>1RE2TDA1180X</v>
          </cell>
          <cell r="B5043">
            <v>544</v>
          </cell>
        </row>
        <row r="5044">
          <cell r="A5044" t="str">
            <v>1RE2TDA1180XSX</v>
          </cell>
          <cell r="B5044">
            <v>530</v>
          </cell>
        </row>
        <row r="5045">
          <cell r="A5045" t="str">
            <v>1RE2TDA1186AG</v>
          </cell>
          <cell r="B5045">
            <v>235</v>
          </cell>
        </row>
        <row r="5046">
          <cell r="A5046" t="str">
            <v>1RE2TDA1186BR</v>
          </cell>
          <cell r="B5046">
            <v>235</v>
          </cell>
        </row>
        <row r="5047">
          <cell r="A5047" t="str">
            <v>1RE2TDA1186CN</v>
          </cell>
          <cell r="B5047">
            <v>235</v>
          </cell>
        </row>
        <row r="5048">
          <cell r="A5048" t="str">
            <v>1RE2TDA1186X</v>
          </cell>
          <cell r="B5048">
            <v>235</v>
          </cell>
        </row>
        <row r="5049">
          <cell r="A5049" t="str">
            <v>1RE2TDA1186XSX</v>
          </cell>
          <cell r="B5049">
            <v>235</v>
          </cell>
        </row>
        <row r="5050">
          <cell r="A5050" t="str">
            <v>1RE2TDA3105M1</v>
          </cell>
          <cell r="B5050">
            <v>40</v>
          </cell>
        </row>
        <row r="5051">
          <cell r="A5051" t="str">
            <v>1RE2TDA3105XJV4</v>
          </cell>
          <cell r="B5051">
            <v>40</v>
          </cell>
        </row>
        <row r="5052">
          <cell r="A5052" t="str">
            <v>1RE2TDA3105XV4</v>
          </cell>
          <cell r="B5052">
            <v>40</v>
          </cell>
        </row>
        <row r="5053">
          <cell r="A5053" t="str">
            <v>1RE2TDA3161M1</v>
          </cell>
          <cell r="B5053">
            <v>89</v>
          </cell>
        </row>
        <row r="5054">
          <cell r="A5054" t="str">
            <v>1RE2TDA3161NEV4</v>
          </cell>
          <cell r="B5054">
            <v>89</v>
          </cell>
        </row>
        <row r="5055">
          <cell r="A5055" t="str">
            <v>1RE2TDA3161XJV4</v>
          </cell>
          <cell r="B5055">
            <v>89</v>
          </cell>
        </row>
        <row r="5056">
          <cell r="A5056" t="str">
            <v>1RE2TDA3162GV4</v>
          </cell>
          <cell r="B5056">
            <v>129</v>
          </cell>
        </row>
        <row r="5057">
          <cell r="A5057" t="str">
            <v>1RE2TDA3166XJV4</v>
          </cell>
          <cell r="B5057">
            <v>99</v>
          </cell>
        </row>
        <row r="5058">
          <cell r="A5058" t="str">
            <v>1RE2TDA3168M1</v>
          </cell>
          <cell r="B5058">
            <v>65</v>
          </cell>
        </row>
        <row r="5059">
          <cell r="A5059" t="str">
            <v>1RE2TDA3168XJV4</v>
          </cell>
          <cell r="B5059">
            <v>65</v>
          </cell>
        </row>
        <row r="5060">
          <cell r="A5060" t="str">
            <v>1RE2TDA3168XV4</v>
          </cell>
          <cell r="B5060">
            <v>65</v>
          </cell>
        </row>
        <row r="5061">
          <cell r="A5061" t="str">
            <v>1RE2TDA3171M1</v>
          </cell>
          <cell r="B5061">
            <v>175</v>
          </cell>
        </row>
        <row r="5062">
          <cell r="A5062" t="str">
            <v>1RE2TDA3171NEV4</v>
          </cell>
          <cell r="B5062">
            <v>175</v>
          </cell>
        </row>
        <row r="5063">
          <cell r="A5063" t="str">
            <v>1RE2TDA3171XJV4</v>
          </cell>
          <cell r="B5063">
            <v>175</v>
          </cell>
        </row>
        <row r="5064">
          <cell r="A5064" t="str">
            <v>1RE2TDA3172M1</v>
          </cell>
          <cell r="B5064">
            <v>394</v>
          </cell>
        </row>
        <row r="5065">
          <cell r="A5065" t="str">
            <v>1RE2TDA3172NEV4</v>
          </cell>
          <cell r="B5065">
            <v>394</v>
          </cell>
        </row>
        <row r="5066">
          <cell r="A5066" t="str">
            <v>1RE2TDA3172XJV4</v>
          </cell>
          <cell r="B5066">
            <v>394</v>
          </cell>
        </row>
        <row r="5067">
          <cell r="A5067" t="str">
            <v>1RE2TDA3173M1</v>
          </cell>
          <cell r="B5067">
            <v>156</v>
          </cell>
        </row>
        <row r="5068">
          <cell r="A5068" t="str">
            <v>1RE2TDA3173NEV4</v>
          </cell>
          <cell r="B5068">
            <v>156</v>
          </cell>
        </row>
        <row r="5069">
          <cell r="A5069" t="str">
            <v>1RE2TDA3173XJV4</v>
          </cell>
          <cell r="B5069">
            <v>156</v>
          </cell>
        </row>
        <row r="5070">
          <cell r="A5070" t="str">
            <v>1RE2TDA3174M1</v>
          </cell>
          <cell r="B5070">
            <v>315</v>
          </cell>
        </row>
        <row r="5071">
          <cell r="A5071" t="str">
            <v>1RE2TDA3174NEV4</v>
          </cell>
          <cell r="B5071">
            <v>315</v>
          </cell>
        </row>
        <row r="5072">
          <cell r="A5072" t="str">
            <v>1RE2TDA3174XJV4</v>
          </cell>
          <cell r="B5072">
            <v>315</v>
          </cell>
        </row>
        <row r="5073">
          <cell r="A5073" t="str">
            <v>1RE2TDA3180AGV4</v>
          </cell>
          <cell r="B5073">
            <v>143</v>
          </cell>
        </row>
        <row r="5074">
          <cell r="A5074" t="str">
            <v>1RE2TDA3180ALV4</v>
          </cell>
          <cell r="B5074">
            <v>135</v>
          </cell>
        </row>
        <row r="5075">
          <cell r="A5075" t="str">
            <v>1RE2TDA3180CV4</v>
          </cell>
          <cell r="B5075">
            <v>143</v>
          </cell>
        </row>
        <row r="5076">
          <cell r="A5076" t="str">
            <v>1RE2TDA3180M1</v>
          </cell>
          <cell r="B5076">
            <v>143</v>
          </cell>
        </row>
        <row r="5077">
          <cell r="A5077" t="str">
            <v>1RE2TDA3180NEV4</v>
          </cell>
          <cell r="B5077">
            <v>143</v>
          </cell>
        </row>
        <row r="5078">
          <cell r="A5078" t="str">
            <v>1RE2TDA3180XV4</v>
          </cell>
          <cell r="B5078">
            <v>143</v>
          </cell>
        </row>
        <row r="5079">
          <cell r="A5079" t="str">
            <v>1RE2TDA3182HKV4</v>
          </cell>
          <cell r="B5079">
            <v>234</v>
          </cell>
        </row>
        <row r="5080">
          <cell r="A5080" t="str">
            <v>1RE2TDA3183NEV4</v>
          </cell>
          <cell r="B5080">
            <v>11</v>
          </cell>
        </row>
        <row r="5081">
          <cell r="A5081" t="str">
            <v>1RE2TDA3188XJV4</v>
          </cell>
          <cell r="B5081">
            <v>463</v>
          </cell>
        </row>
        <row r="5082">
          <cell r="A5082" t="str">
            <v>1RE2TDA3191XJV4</v>
          </cell>
          <cell r="B5082">
            <v>132</v>
          </cell>
        </row>
        <row r="5083">
          <cell r="A5083" t="str">
            <v>1RE2TDA3192XJV4</v>
          </cell>
          <cell r="B5083">
            <v>104</v>
          </cell>
        </row>
        <row r="5084">
          <cell r="A5084" t="str">
            <v>1RE2TDA3193M1</v>
          </cell>
          <cell r="B5084">
            <v>99</v>
          </cell>
        </row>
        <row r="5085">
          <cell r="A5085" t="str">
            <v>1RE2TDA3193XJV4</v>
          </cell>
          <cell r="B5085">
            <v>99</v>
          </cell>
        </row>
        <row r="5086">
          <cell r="A5086" t="str">
            <v>1RE2TDA3193XV4</v>
          </cell>
          <cell r="B5086">
            <v>99</v>
          </cell>
        </row>
        <row r="5087">
          <cell r="A5087" t="str">
            <v>1RE2TDA3194M1</v>
          </cell>
          <cell r="B5087">
            <v>129</v>
          </cell>
        </row>
        <row r="5088">
          <cell r="A5088" t="str">
            <v>1RE2TDA3194XJ</v>
          </cell>
          <cell r="B5088">
            <v>130</v>
          </cell>
        </row>
        <row r="5089">
          <cell r="A5089" t="str">
            <v>1RE2TDA3194XV4</v>
          </cell>
          <cell r="B5089">
            <v>129</v>
          </cell>
        </row>
        <row r="5090">
          <cell r="A5090" t="str">
            <v>1RE2TDA3196M1</v>
          </cell>
          <cell r="B5090">
            <v>24</v>
          </cell>
        </row>
        <row r="5091">
          <cell r="A5091" t="str">
            <v>1RE2TDA3196XJV4</v>
          </cell>
          <cell r="B5091">
            <v>24</v>
          </cell>
        </row>
        <row r="5092">
          <cell r="A5092" t="str">
            <v>1RE2TDA3196XV4</v>
          </cell>
          <cell r="B5092">
            <v>24</v>
          </cell>
        </row>
        <row r="5093">
          <cell r="A5093" t="str">
            <v>1RE2TDA3280CEV4</v>
          </cell>
          <cell r="B5093">
            <v>194</v>
          </cell>
        </row>
        <row r="5094">
          <cell r="A5094" t="str">
            <v>1RE2TDA3280M1</v>
          </cell>
          <cell r="B5094">
            <v>194</v>
          </cell>
        </row>
        <row r="5095">
          <cell r="A5095" t="str">
            <v>1RE2TDA3280XJV4</v>
          </cell>
          <cell r="B5095">
            <v>213</v>
          </cell>
        </row>
        <row r="5096">
          <cell r="A5096" t="str">
            <v>1RE2TDA3283CEV4</v>
          </cell>
          <cell r="B5096">
            <v>138</v>
          </cell>
        </row>
        <row r="5097">
          <cell r="A5097" t="str">
            <v>1RE2TDA3450M1</v>
          </cell>
          <cell r="B5097">
            <v>562</v>
          </cell>
        </row>
        <row r="5098">
          <cell r="A5098" t="str">
            <v>1RE2TDA3450XJ</v>
          </cell>
          <cell r="B5098">
            <v>563</v>
          </cell>
        </row>
        <row r="5099">
          <cell r="A5099" t="str">
            <v>1RE2TDA3450XV4</v>
          </cell>
          <cell r="B5099">
            <v>562</v>
          </cell>
        </row>
        <row r="5100">
          <cell r="A5100" t="str">
            <v>1RE2TDA3451M1</v>
          </cell>
          <cell r="B5100">
            <v>28</v>
          </cell>
        </row>
        <row r="5101">
          <cell r="A5101" t="str">
            <v>1RE2TDA3451XJ</v>
          </cell>
          <cell r="B5101">
            <v>28</v>
          </cell>
        </row>
        <row r="5102">
          <cell r="A5102" t="str">
            <v>1RE2TDA3451XV4</v>
          </cell>
          <cell r="B5102">
            <v>28</v>
          </cell>
        </row>
        <row r="5103">
          <cell r="A5103" t="str">
            <v>1RE2TDA3470M1</v>
          </cell>
          <cell r="B5103">
            <v>447</v>
          </cell>
        </row>
        <row r="5104">
          <cell r="A5104" t="str">
            <v>1RE2TDA3470XJ</v>
          </cell>
          <cell r="B5104">
            <v>448</v>
          </cell>
        </row>
        <row r="5105">
          <cell r="A5105" t="str">
            <v>1RE2TDA3470XV4</v>
          </cell>
          <cell r="B5105">
            <v>447</v>
          </cell>
        </row>
        <row r="5106">
          <cell r="A5106" t="str">
            <v>1RE2TDA3480M1</v>
          </cell>
          <cell r="B5106">
            <v>443</v>
          </cell>
        </row>
        <row r="5107">
          <cell r="A5107" t="str">
            <v>1RE2TDA3480XJV4</v>
          </cell>
          <cell r="B5107">
            <v>414</v>
          </cell>
        </row>
        <row r="5108">
          <cell r="A5108" t="str">
            <v>1RE2TDA3480XV4</v>
          </cell>
          <cell r="B5108">
            <v>413</v>
          </cell>
        </row>
        <row r="5109">
          <cell r="A5109" t="str">
            <v>1RE2TDA5105V4</v>
          </cell>
          <cell r="B5109">
            <v>69</v>
          </cell>
        </row>
        <row r="5110">
          <cell r="A5110" t="str">
            <v>1RE2TDA5161V4</v>
          </cell>
          <cell r="B5110">
            <v>89</v>
          </cell>
        </row>
        <row r="5111">
          <cell r="A5111" t="str">
            <v>1RE2TDA5166V4</v>
          </cell>
          <cell r="B5111">
            <v>99</v>
          </cell>
        </row>
        <row r="5112">
          <cell r="A5112" t="str">
            <v>1RE2TDA5168V4</v>
          </cell>
          <cell r="B5112">
            <v>65</v>
          </cell>
        </row>
        <row r="5113">
          <cell r="A5113" t="str">
            <v>1RE2TDA5170V4</v>
          </cell>
          <cell r="B5113">
            <v>291</v>
          </cell>
        </row>
        <row r="5114">
          <cell r="A5114" t="str">
            <v>1RE2TDA5171V4</v>
          </cell>
          <cell r="B5114">
            <v>175</v>
          </cell>
        </row>
        <row r="5115">
          <cell r="A5115" t="str">
            <v>1RE2TDA5172V4</v>
          </cell>
          <cell r="B5115">
            <v>394</v>
          </cell>
        </row>
        <row r="5116">
          <cell r="A5116" t="str">
            <v>1RE2TDA5173V4</v>
          </cell>
          <cell r="B5116">
            <v>156</v>
          </cell>
        </row>
        <row r="5117">
          <cell r="A5117" t="str">
            <v>1RE2TDA5174V4</v>
          </cell>
          <cell r="B5117">
            <v>315</v>
          </cell>
        </row>
        <row r="5118">
          <cell r="A5118" t="str">
            <v>1RE2TDA5175V4</v>
          </cell>
          <cell r="B5118">
            <v>159</v>
          </cell>
        </row>
        <row r="5119">
          <cell r="A5119" t="str">
            <v>1RE2TDA5176V4</v>
          </cell>
          <cell r="B5119">
            <v>411</v>
          </cell>
        </row>
        <row r="5120">
          <cell r="A5120" t="str">
            <v>1RE2TDA5180V4</v>
          </cell>
          <cell r="B5120">
            <v>143</v>
          </cell>
        </row>
        <row r="5121">
          <cell r="A5121" t="str">
            <v>1RE2TDA5192V4</v>
          </cell>
          <cell r="B5121">
            <v>104</v>
          </cell>
        </row>
        <row r="5122">
          <cell r="A5122" t="str">
            <v>1RE2TDA5193V4</v>
          </cell>
          <cell r="B5122">
            <v>98</v>
          </cell>
        </row>
        <row r="5123">
          <cell r="A5123" t="str">
            <v>1RE2TDA5194</v>
          </cell>
          <cell r="B5123">
            <v>130</v>
          </cell>
        </row>
        <row r="5124">
          <cell r="A5124" t="str">
            <v>1RE2TDA5196V4</v>
          </cell>
          <cell r="B5124">
            <v>98</v>
          </cell>
        </row>
        <row r="5125">
          <cell r="A5125" t="str">
            <v>1RE2TDA5450</v>
          </cell>
          <cell r="B5125">
            <v>563</v>
          </cell>
        </row>
        <row r="5126">
          <cell r="A5126" t="str">
            <v>1RE2TDA5451</v>
          </cell>
          <cell r="B5126">
            <v>28</v>
          </cell>
        </row>
        <row r="5127">
          <cell r="A5127" t="str">
            <v>1RE2TDA5470</v>
          </cell>
          <cell r="B5127">
            <v>448</v>
          </cell>
        </row>
        <row r="5128">
          <cell r="A5128" t="str">
            <v>1RE2TDA5480V4</v>
          </cell>
          <cell r="B5128">
            <v>414</v>
          </cell>
        </row>
        <row r="5129">
          <cell r="A5129" t="str">
            <v>1RE2TDA6105CNV4</v>
          </cell>
          <cell r="B5129">
            <v>39</v>
          </cell>
        </row>
        <row r="5130">
          <cell r="A5130" t="str">
            <v>1RE2TDA6105XJV4</v>
          </cell>
          <cell r="B5130">
            <v>39</v>
          </cell>
        </row>
        <row r="5131">
          <cell r="A5131" t="str">
            <v>1RE2TDA6105XV4</v>
          </cell>
          <cell r="B5131">
            <v>39</v>
          </cell>
        </row>
        <row r="5132">
          <cell r="A5132" t="str">
            <v>1RE2TDA6111CNV4</v>
          </cell>
          <cell r="B5132">
            <v>65</v>
          </cell>
        </row>
        <row r="5133">
          <cell r="A5133" t="str">
            <v>1RE2TDA6111V4</v>
          </cell>
          <cell r="B5133">
            <v>65</v>
          </cell>
        </row>
        <row r="5134">
          <cell r="A5134" t="str">
            <v>1RE2TDA6111XEU</v>
          </cell>
          <cell r="B5134">
            <v>65</v>
          </cell>
        </row>
        <row r="5135">
          <cell r="A5135" t="str">
            <v>1RE2TDA6111XJSX</v>
          </cell>
          <cell r="B5135">
            <v>65</v>
          </cell>
        </row>
        <row r="5136">
          <cell r="A5136" t="str">
            <v>1RE2TDA6111XJV4</v>
          </cell>
          <cell r="B5136">
            <v>65</v>
          </cell>
        </row>
        <row r="5137">
          <cell r="A5137" t="str">
            <v>1RE2TDA6111XJVN</v>
          </cell>
          <cell r="B5137">
            <v>65</v>
          </cell>
        </row>
        <row r="5138">
          <cell r="A5138" t="str">
            <v>1RE2TDA6111XV4</v>
          </cell>
          <cell r="B5138">
            <v>65</v>
          </cell>
        </row>
        <row r="5139">
          <cell r="A5139" t="str">
            <v>1RE2TDA6166CNV4</v>
          </cell>
          <cell r="B5139">
            <v>185</v>
          </cell>
        </row>
        <row r="5140">
          <cell r="A5140" t="str">
            <v>1RE2TDA6166V4</v>
          </cell>
          <cell r="B5140">
            <v>186</v>
          </cell>
        </row>
        <row r="5141">
          <cell r="A5141" t="str">
            <v>1RE2TDA6166XJV4</v>
          </cell>
          <cell r="B5141">
            <v>186</v>
          </cell>
        </row>
        <row r="5142">
          <cell r="A5142" t="str">
            <v>1RE2TDA6166XV4</v>
          </cell>
          <cell r="B5142">
            <v>185</v>
          </cell>
        </row>
        <row r="5143">
          <cell r="A5143" t="str">
            <v>1RE2TDA6174V4</v>
          </cell>
          <cell r="B5143">
            <v>416</v>
          </cell>
        </row>
        <row r="5144">
          <cell r="A5144" t="str">
            <v>1RE2TDA6174XEU</v>
          </cell>
          <cell r="B5144">
            <v>416</v>
          </cell>
        </row>
        <row r="5145">
          <cell r="A5145" t="str">
            <v>1RE2TDA6174XJSX</v>
          </cell>
          <cell r="B5145">
            <v>416</v>
          </cell>
        </row>
        <row r="5146">
          <cell r="A5146" t="str">
            <v>1RE2TDA6174XJV4</v>
          </cell>
          <cell r="B5146">
            <v>416</v>
          </cell>
        </row>
        <row r="5147">
          <cell r="A5147" t="str">
            <v>1RE2TDA6174XV4</v>
          </cell>
          <cell r="B5147">
            <v>415</v>
          </cell>
        </row>
        <row r="5148">
          <cell r="A5148" t="str">
            <v>1RE2TDA6175CXV4</v>
          </cell>
          <cell r="B5148">
            <v>502</v>
          </cell>
        </row>
        <row r="5149">
          <cell r="A5149" t="str">
            <v>1RE2TDA6175V4</v>
          </cell>
          <cell r="B5149">
            <v>502</v>
          </cell>
        </row>
        <row r="5150">
          <cell r="A5150" t="str">
            <v>1RE2TDA6175XJSX</v>
          </cell>
          <cell r="B5150">
            <v>503</v>
          </cell>
        </row>
        <row r="5151">
          <cell r="A5151" t="str">
            <v>1RE2TDA6175XJV4</v>
          </cell>
          <cell r="B5151">
            <v>502</v>
          </cell>
        </row>
        <row r="5152">
          <cell r="A5152" t="str">
            <v>1RE2TDA6175XV4</v>
          </cell>
          <cell r="B5152">
            <v>502</v>
          </cell>
        </row>
        <row r="5153">
          <cell r="A5153" t="str">
            <v>1RE2TDA6178</v>
          </cell>
          <cell r="B5153">
            <v>693</v>
          </cell>
        </row>
        <row r="5154">
          <cell r="A5154" t="str">
            <v>1RE2TDA6178XJ</v>
          </cell>
          <cell r="B5154">
            <v>694</v>
          </cell>
        </row>
        <row r="5155">
          <cell r="A5155" t="str">
            <v>1RE2TDA6181AGV4</v>
          </cell>
          <cell r="B5155">
            <v>525</v>
          </cell>
        </row>
        <row r="5156">
          <cell r="A5156" t="str">
            <v>1RE2TDA6181ALV4</v>
          </cell>
          <cell r="B5156">
            <v>540</v>
          </cell>
        </row>
        <row r="5157">
          <cell r="A5157" t="str">
            <v>1RE2TDA6181CAV4</v>
          </cell>
          <cell r="B5157">
            <v>507</v>
          </cell>
        </row>
        <row r="5158">
          <cell r="A5158" t="str">
            <v>1RE2TDA6181CV4</v>
          </cell>
          <cell r="B5158">
            <v>508</v>
          </cell>
        </row>
        <row r="5159">
          <cell r="A5159" t="str">
            <v>1RE2TDA6181CXV4</v>
          </cell>
          <cell r="B5159">
            <v>523</v>
          </cell>
        </row>
        <row r="5160">
          <cell r="A5160" t="str">
            <v>1RE2TDA6181EV4</v>
          </cell>
          <cell r="B5160">
            <v>525</v>
          </cell>
        </row>
        <row r="5161">
          <cell r="A5161" t="str">
            <v>1RE2TDA6181NEV4</v>
          </cell>
          <cell r="B5161">
            <v>525</v>
          </cell>
        </row>
        <row r="5162">
          <cell r="A5162" t="str">
            <v>1RE2TDA6181V4</v>
          </cell>
          <cell r="B5162">
            <v>507</v>
          </cell>
        </row>
        <row r="5163">
          <cell r="A5163" t="str">
            <v>1RE2TDA6181XSX</v>
          </cell>
          <cell r="B5163">
            <v>526</v>
          </cell>
        </row>
        <row r="5164">
          <cell r="A5164" t="str">
            <v>1RE2TDA6181XV4</v>
          </cell>
          <cell r="B5164">
            <v>525</v>
          </cell>
        </row>
        <row r="5165">
          <cell r="A5165" t="str">
            <v>1RE2TDE0110CN</v>
          </cell>
          <cell r="B5165">
            <v>116</v>
          </cell>
        </row>
        <row r="5166">
          <cell r="A5166" t="str">
            <v>1RE2TDE0110M1</v>
          </cell>
          <cell r="B5166">
            <v>115</v>
          </cell>
        </row>
        <row r="5167">
          <cell r="A5167" t="str">
            <v>1RE2TDE0110V4</v>
          </cell>
          <cell r="B5167">
            <v>116</v>
          </cell>
        </row>
        <row r="5168">
          <cell r="A5168" t="str">
            <v>1RE2TDE0110XEU</v>
          </cell>
          <cell r="B5168">
            <v>116</v>
          </cell>
        </row>
        <row r="5169">
          <cell r="A5169" t="str">
            <v>1RE2TDE0110XJ</v>
          </cell>
          <cell r="B5169">
            <v>116</v>
          </cell>
        </row>
        <row r="5170">
          <cell r="A5170" t="str">
            <v>1RE2TDE0110XJSX</v>
          </cell>
          <cell r="B5170">
            <v>116</v>
          </cell>
        </row>
        <row r="5171">
          <cell r="A5171" t="str">
            <v>1RE2TDE0110XV4</v>
          </cell>
          <cell r="B5171">
            <v>115</v>
          </cell>
        </row>
        <row r="5172">
          <cell r="A5172" t="str">
            <v>1RE2TDE0111CN</v>
          </cell>
          <cell r="B5172">
            <v>116</v>
          </cell>
        </row>
        <row r="5173">
          <cell r="A5173" t="str">
            <v>1RE2TDE0111M1</v>
          </cell>
          <cell r="B5173">
            <v>114</v>
          </cell>
        </row>
        <row r="5174">
          <cell r="A5174" t="str">
            <v>1RE2TDE0111V4</v>
          </cell>
          <cell r="B5174">
            <v>116</v>
          </cell>
        </row>
        <row r="5175">
          <cell r="A5175" t="str">
            <v>1RE2TDE0111XEU</v>
          </cell>
          <cell r="B5175">
            <v>116</v>
          </cell>
        </row>
        <row r="5176">
          <cell r="A5176" t="str">
            <v>1RE2TDE0111XJ</v>
          </cell>
          <cell r="B5176">
            <v>116</v>
          </cell>
        </row>
        <row r="5177">
          <cell r="A5177" t="str">
            <v>1RE2TDE0111XJSX</v>
          </cell>
          <cell r="B5177">
            <v>116</v>
          </cell>
        </row>
        <row r="5178">
          <cell r="A5178" t="str">
            <v>1RE2TDE0111XV4</v>
          </cell>
          <cell r="B5178">
            <v>116</v>
          </cell>
        </row>
        <row r="5179">
          <cell r="A5179" t="str">
            <v>1RE2TE82492NEV4</v>
          </cell>
          <cell r="B5179">
            <v>56</v>
          </cell>
        </row>
        <row r="5180">
          <cell r="A5180" t="str">
            <v>1RE2TE82492NEV7</v>
          </cell>
          <cell r="B5180">
            <v>56</v>
          </cell>
        </row>
        <row r="5181">
          <cell r="A5181" t="str">
            <v>1RE2TE82492XEU</v>
          </cell>
          <cell r="B5181">
            <v>56</v>
          </cell>
        </row>
        <row r="5182">
          <cell r="A5182" t="str">
            <v>1RE2TE82492XSX</v>
          </cell>
          <cell r="B5182">
            <v>56</v>
          </cell>
        </row>
        <row r="5183">
          <cell r="A5183" t="str">
            <v>1RE2TE82492XV4</v>
          </cell>
          <cell r="B5183">
            <v>56</v>
          </cell>
        </row>
        <row r="5184">
          <cell r="A5184" t="str">
            <v>1RE2TE82493CNV4</v>
          </cell>
          <cell r="B5184">
            <v>55</v>
          </cell>
        </row>
        <row r="5185">
          <cell r="A5185" t="str">
            <v>1RE2TE82493XV4</v>
          </cell>
          <cell r="B5185">
            <v>74</v>
          </cell>
        </row>
        <row r="5186">
          <cell r="A5186" t="str">
            <v>1RE2TE82494NEV4</v>
          </cell>
          <cell r="B5186">
            <v>55</v>
          </cell>
        </row>
        <row r="5187">
          <cell r="A5187" t="str">
            <v>1RE2TE82494NEV7</v>
          </cell>
          <cell r="B5187">
            <v>55</v>
          </cell>
        </row>
        <row r="5188">
          <cell r="A5188" t="str">
            <v>1RE2TE82494XEU</v>
          </cell>
          <cell r="B5188">
            <v>56</v>
          </cell>
        </row>
        <row r="5189">
          <cell r="A5189" t="str">
            <v>1RE2TE82494XSX</v>
          </cell>
          <cell r="B5189">
            <v>55</v>
          </cell>
        </row>
        <row r="5190">
          <cell r="A5190" t="str">
            <v>1RE2TE82494XV4</v>
          </cell>
          <cell r="B5190">
            <v>55</v>
          </cell>
        </row>
        <row r="5191">
          <cell r="A5191" t="str">
            <v>1RE2TP4NA7745AA</v>
          </cell>
          <cell r="B5191">
            <v>15</v>
          </cell>
        </row>
        <row r="5192">
          <cell r="A5192" t="str">
            <v>1RE2TP4NA7746AA</v>
          </cell>
          <cell r="B5192">
            <v>16</v>
          </cell>
        </row>
        <row r="5193">
          <cell r="A5193" t="str">
            <v>1RE2TP4NA7955AA-1</v>
          </cell>
          <cell r="B5193">
            <v>18</v>
          </cell>
        </row>
        <row r="5194">
          <cell r="A5194" t="str">
            <v>1RE2TP4NA7977AA-1</v>
          </cell>
          <cell r="B5194">
            <v>41</v>
          </cell>
        </row>
        <row r="5195">
          <cell r="A5195" t="str">
            <v>1RE2TP4NH1250BM</v>
          </cell>
          <cell r="B5195">
            <v>825</v>
          </cell>
        </row>
        <row r="5196">
          <cell r="A5196" t="str">
            <v>1RE2TP4NH1250BN</v>
          </cell>
          <cell r="B5196">
            <v>726</v>
          </cell>
        </row>
        <row r="5197">
          <cell r="A5197" t="str">
            <v>1RE2TP4NH1250BP</v>
          </cell>
          <cell r="B5197">
            <v>714</v>
          </cell>
        </row>
        <row r="5198">
          <cell r="A5198" t="str">
            <v>1RE2TP4NH1250EM</v>
          </cell>
          <cell r="B5198">
            <v>851</v>
          </cell>
        </row>
        <row r="5199">
          <cell r="A5199" t="str">
            <v>1RE2TP4NH1250EN</v>
          </cell>
          <cell r="B5199">
            <v>752</v>
          </cell>
        </row>
        <row r="5200">
          <cell r="A5200" t="str">
            <v>1RE2TP4NH1250EP</v>
          </cell>
          <cell r="B5200">
            <v>740</v>
          </cell>
        </row>
        <row r="5201">
          <cell r="A5201" t="str">
            <v>1RE2TP4NH1258BX</v>
          </cell>
          <cell r="B5201">
            <v>700</v>
          </cell>
        </row>
        <row r="5202">
          <cell r="A5202" t="str">
            <v>1RE2TP4NH1258EX</v>
          </cell>
          <cell r="B5202">
            <v>750</v>
          </cell>
        </row>
        <row r="5203">
          <cell r="A5203" t="str">
            <v>1RE2TP4NH1266EA-1</v>
          </cell>
          <cell r="B5203">
            <v>921</v>
          </cell>
        </row>
        <row r="5204">
          <cell r="A5204" t="str">
            <v>1RE2TP4NH1266EC-1</v>
          </cell>
          <cell r="B5204">
            <v>860</v>
          </cell>
        </row>
        <row r="5205">
          <cell r="A5205" t="str">
            <v>1RE2TP4NH1266ED-1</v>
          </cell>
          <cell r="B5205">
            <v>831</v>
          </cell>
        </row>
        <row r="5206">
          <cell r="A5206" t="str">
            <v>1RE2TP4NH1266EE-1</v>
          </cell>
          <cell r="B5206">
            <v>808</v>
          </cell>
        </row>
        <row r="5207">
          <cell r="A5207" t="str">
            <v>1RE2TP4NH1266EF-1</v>
          </cell>
          <cell r="B5207">
            <v>780</v>
          </cell>
        </row>
        <row r="5208">
          <cell r="A5208" t="str">
            <v>1RE2WT115R1ZA</v>
          </cell>
          <cell r="B5208">
            <v>142</v>
          </cell>
        </row>
        <row r="5209">
          <cell r="A5209" t="str">
            <v>1RH1334PCB00-AREB</v>
          </cell>
          <cell r="B5209">
            <v>10</v>
          </cell>
        </row>
        <row r="5210">
          <cell r="A5210" t="str">
            <v>1RH1603L6P10AP1-T1</v>
          </cell>
          <cell r="B5210">
            <v>2</v>
          </cell>
        </row>
        <row r="5211">
          <cell r="A5211" t="str">
            <v>1RH1A603L3E6AAP</v>
          </cell>
          <cell r="B5211">
            <v>4</v>
          </cell>
        </row>
        <row r="5212">
          <cell r="A5212" t="str">
            <v>1RH1A603L3E6AAP-P1</v>
          </cell>
          <cell r="B5212">
            <v>5</v>
          </cell>
        </row>
        <row r="5213">
          <cell r="A5213" t="str">
            <v>1RH1A603L3E6AAP-P2</v>
          </cell>
          <cell r="B5213">
            <v>5</v>
          </cell>
        </row>
        <row r="5214">
          <cell r="A5214" t="str">
            <v>1RH1A603L3E8AAP</v>
          </cell>
          <cell r="B5214">
            <v>4</v>
          </cell>
        </row>
        <row r="5215">
          <cell r="A5215" t="str">
            <v>1RH1A603L3E8AAP-P1</v>
          </cell>
          <cell r="B5215">
            <v>5</v>
          </cell>
        </row>
        <row r="5216">
          <cell r="A5216" t="str">
            <v>1RH1A603L3E8AAP-P2</v>
          </cell>
          <cell r="B5216">
            <v>5</v>
          </cell>
        </row>
        <row r="5217">
          <cell r="A5217" t="str">
            <v>1RH1A603L3F0AAP</v>
          </cell>
          <cell r="B5217">
            <v>4</v>
          </cell>
        </row>
        <row r="5218">
          <cell r="A5218" t="str">
            <v>1RH1A603L3F0AAP-P1</v>
          </cell>
          <cell r="B5218">
            <v>5</v>
          </cell>
        </row>
        <row r="5219">
          <cell r="A5219" t="str">
            <v>1RH1A603L3F0AAP-P2</v>
          </cell>
          <cell r="B5219">
            <v>5</v>
          </cell>
        </row>
        <row r="5220">
          <cell r="A5220" t="str">
            <v>1RH1A603L3F6AEU</v>
          </cell>
          <cell r="B5220">
            <v>4</v>
          </cell>
        </row>
        <row r="5221">
          <cell r="A5221" t="str">
            <v>1RH1A603L3F6AEU-P1</v>
          </cell>
          <cell r="B5221">
            <v>5</v>
          </cell>
        </row>
        <row r="5222">
          <cell r="A5222" t="str">
            <v>1RH1A603L3F6AEU-P2</v>
          </cell>
          <cell r="B5222">
            <v>5</v>
          </cell>
        </row>
        <row r="5223">
          <cell r="A5223" t="str">
            <v>1RH1A603L3F7AEU</v>
          </cell>
          <cell r="B5223">
            <v>4</v>
          </cell>
        </row>
        <row r="5224">
          <cell r="A5224" t="str">
            <v>1RH1A603L3F7AEU-P1</v>
          </cell>
          <cell r="B5224">
            <v>5</v>
          </cell>
        </row>
        <row r="5225">
          <cell r="A5225" t="str">
            <v>1RH1A603L3F7AEU-P2</v>
          </cell>
          <cell r="B5225">
            <v>5</v>
          </cell>
        </row>
        <row r="5226">
          <cell r="A5226" t="str">
            <v>1RH1A603L3F9ABP</v>
          </cell>
          <cell r="B5226">
            <v>4</v>
          </cell>
        </row>
        <row r="5227">
          <cell r="A5227" t="str">
            <v>1RH1A603L3F9ABP-P1</v>
          </cell>
          <cell r="B5227">
            <v>5</v>
          </cell>
        </row>
        <row r="5228">
          <cell r="A5228" t="str">
            <v>1RH1A603L3F9ABP-P2</v>
          </cell>
          <cell r="B5228">
            <v>5</v>
          </cell>
        </row>
        <row r="5229">
          <cell r="A5229" t="str">
            <v>1RH1A603L3F9AWT</v>
          </cell>
          <cell r="B5229">
            <v>4</v>
          </cell>
        </row>
        <row r="5230">
          <cell r="A5230" t="str">
            <v>1RH1A603L3F9AWT-P1</v>
          </cell>
          <cell r="B5230">
            <v>5</v>
          </cell>
        </row>
        <row r="5231">
          <cell r="A5231" t="str">
            <v>1RH1A603L3F9AWT-P2</v>
          </cell>
          <cell r="B5231">
            <v>5</v>
          </cell>
        </row>
        <row r="5232">
          <cell r="A5232" t="str">
            <v>1RH1A603L3G0ABP</v>
          </cell>
          <cell r="B5232">
            <v>4</v>
          </cell>
        </row>
        <row r="5233">
          <cell r="A5233" t="str">
            <v>1RH1A603L3G0ABP-P1</v>
          </cell>
          <cell r="B5233">
            <v>5</v>
          </cell>
        </row>
        <row r="5234">
          <cell r="A5234" t="str">
            <v>1RH1A603L3G0ABP-P2</v>
          </cell>
          <cell r="B5234">
            <v>5</v>
          </cell>
        </row>
        <row r="5235">
          <cell r="A5235" t="str">
            <v>1RH1A603L3G1AEU</v>
          </cell>
          <cell r="B5235">
            <v>5</v>
          </cell>
        </row>
        <row r="5236">
          <cell r="A5236" t="str">
            <v>1RH1A603L3G1AEU-P1</v>
          </cell>
          <cell r="B5236">
            <v>5</v>
          </cell>
        </row>
        <row r="5237">
          <cell r="A5237" t="str">
            <v>1RH1A603L3G1AEU-P2</v>
          </cell>
          <cell r="B5237">
            <v>5</v>
          </cell>
        </row>
        <row r="5238">
          <cell r="A5238" t="str">
            <v>1RH1A603L3G2AEU</v>
          </cell>
          <cell r="B5238">
            <v>4</v>
          </cell>
        </row>
        <row r="5239">
          <cell r="A5239" t="str">
            <v>1RH1A603L3G2AEU-P1</v>
          </cell>
          <cell r="B5239">
            <v>5</v>
          </cell>
        </row>
        <row r="5240">
          <cell r="A5240" t="str">
            <v>1RH1A603L3G2AEU-P2</v>
          </cell>
          <cell r="B5240">
            <v>5</v>
          </cell>
        </row>
        <row r="5241">
          <cell r="A5241" t="str">
            <v>1RH1A603L3G80RP</v>
          </cell>
          <cell r="B5241">
            <v>15</v>
          </cell>
        </row>
        <row r="5242">
          <cell r="A5242" t="str">
            <v>1RH1A603L3G80RP-P1</v>
          </cell>
          <cell r="B5242">
            <v>15</v>
          </cell>
        </row>
        <row r="5243">
          <cell r="A5243" t="str">
            <v>1RH1A603L3G81RP</v>
          </cell>
          <cell r="B5243">
            <v>15</v>
          </cell>
        </row>
        <row r="5244">
          <cell r="A5244" t="str">
            <v>1RH1A603L3G8AAP</v>
          </cell>
          <cell r="B5244">
            <v>15</v>
          </cell>
        </row>
        <row r="5245">
          <cell r="A5245" t="str">
            <v>1RH1A603L3G8AAP-P1</v>
          </cell>
          <cell r="B5245">
            <v>16</v>
          </cell>
        </row>
        <row r="5246">
          <cell r="A5246" t="str">
            <v>1RH1A603L3G8AAP-P2</v>
          </cell>
          <cell r="B5246">
            <v>15</v>
          </cell>
        </row>
        <row r="5247">
          <cell r="A5247" t="str">
            <v>1RH1A603L3G8ABP</v>
          </cell>
          <cell r="B5247">
            <v>14</v>
          </cell>
        </row>
        <row r="5248">
          <cell r="A5248" t="str">
            <v>1RH1A603L3G8ABP-P1</v>
          </cell>
          <cell r="B5248">
            <v>15</v>
          </cell>
        </row>
        <row r="5249">
          <cell r="A5249" t="str">
            <v>1RH1A603L3G8ABP-P2</v>
          </cell>
          <cell r="B5249">
            <v>14</v>
          </cell>
        </row>
        <row r="5250">
          <cell r="A5250" t="str">
            <v>1RH1A603L3G8AYP</v>
          </cell>
          <cell r="B5250">
            <v>14</v>
          </cell>
        </row>
        <row r="5251">
          <cell r="A5251" t="str">
            <v>1RH1A603L3G8AYP-P1</v>
          </cell>
          <cell r="B5251">
            <v>15</v>
          </cell>
        </row>
        <row r="5252">
          <cell r="A5252" t="str">
            <v>1RH1A603L3G8AYP-P2</v>
          </cell>
          <cell r="B5252">
            <v>14</v>
          </cell>
        </row>
        <row r="5253">
          <cell r="A5253" t="str">
            <v>1RH1A603L3G90P3</v>
          </cell>
          <cell r="B5253">
            <v>13</v>
          </cell>
        </row>
        <row r="5254">
          <cell r="A5254" t="str">
            <v>1RH1A603L3G90P3-P1</v>
          </cell>
          <cell r="B5254">
            <v>15</v>
          </cell>
        </row>
        <row r="5255">
          <cell r="A5255" t="str">
            <v>1RH1A603L-3G9A</v>
          </cell>
          <cell r="B5255">
            <v>14</v>
          </cell>
        </row>
        <row r="5256">
          <cell r="A5256" t="str">
            <v>1RH1A603L3G9AP1</v>
          </cell>
          <cell r="B5256">
            <v>14</v>
          </cell>
        </row>
        <row r="5257">
          <cell r="A5257" t="str">
            <v>1RH1A603L-3G9A-P1</v>
          </cell>
          <cell r="B5257">
            <v>15</v>
          </cell>
        </row>
        <row r="5258">
          <cell r="A5258" t="str">
            <v>1RH1A603L3G9AP1-P1</v>
          </cell>
          <cell r="B5258">
            <v>15</v>
          </cell>
        </row>
        <row r="5259">
          <cell r="A5259" t="str">
            <v>1RH1A603L3G9AP1-P2</v>
          </cell>
          <cell r="B5259">
            <v>14</v>
          </cell>
        </row>
        <row r="5260">
          <cell r="A5260" t="str">
            <v>1RH1A603L-3G9A-P2</v>
          </cell>
          <cell r="B5260">
            <v>14</v>
          </cell>
        </row>
        <row r="5261">
          <cell r="A5261" t="str">
            <v>1RH1A603L3H7AAP</v>
          </cell>
          <cell r="B5261">
            <v>4</v>
          </cell>
        </row>
        <row r="5262">
          <cell r="A5262" t="str">
            <v>1RH1A603L3H7AAP-P1</v>
          </cell>
          <cell r="B5262">
            <v>5</v>
          </cell>
        </row>
        <row r="5263">
          <cell r="A5263" t="str">
            <v>1RH1A603L3H7AAP-P2</v>
          </cell>
          <cell r="B5263">
            <v>5</v>
          </cell>
        </row>
        <row r="5264">
          <cell r="A5264" t="str">
            <v>1RH1A603L3H8AAP</v>
          </cell>
          <cell r="B5264">
            <v>4</v>
          </cell>
        </row>
        <row r="5265">
          <cell r="A5265" t="str">
            <v>1RH1A603L3H8AAP-P1</v>
          </cell>
          <cell r="B5265">
            <v>5</v>
          </cell>
        </row>
        <row r="5266">
          <cell r="A5266" t="str">
            <v>1RH1A603L3H8AAP-P2</v>
          </cell>
          <cell r="B5266">
            <v>5</v>
          </cell>
        </row>
        <row r="5267">
          <cell r="A5267" t="str">
            <v>1RH1A603L3H9AAP</v>
          </cell>
          <cell r="B5267">
            <v>4</v>
          </cell>
        </row>
        <row r="5268">
          <cell r="A5268" t="str">
            <v>1RH1A603L3H9AAP-P1</v>
          </cell>
          <cell r="B5268">
            <v>5</v>
          </cell>
        </row>
        <row r="5269">
          <cell r="A5269" t="str">
            <v>1RH1A603L3H9AAP-P2</v>
          </cell>
          <cell r="B5269">
            <v>5</v>
          </cell>
        </row>
        <row r="5270">
          <cell r="A5270" t="str">
            <v>1RH1A603L-3J0A</v>
          </cell>
          <cell r="B5270">
            <v>8</v>
          </cell>
        </row>
        <row r="5271">
          <cell r="A5271" t="str">
            <v>1RH1A603L3J0AP1</v>
          </cell>
          <cell r="B5271">
            <v>8</v>
          </cell>
        </row>
        <row r="5272">
          <cell r="A5272" t="str">
            <v>1RH1A603L-3J0A-P1</v>
          </cell>
          <cell r="B5272">
            <v>8</v>
          </cell>
        </row>
        <row r="5273">
          <cell r="A5273" t="str">
            <v>1RH1A603L3J0AP2</v>
          </cell>
          <cell r="B5273">
            <v>8</v>
          </cell>
        </row>
        <row r="5274">
          <cell r="A5274" t="str">
            <v>1RH1A603L-3J0A-P2</v>
          </cell>
          <cell r="B5274">
            <v>8</v>
          </cell>
        </row>
        <row r="5275">
          <cell r="A5275" t="str">
            <v>1RH1A603L3J1AP2</v>
          </cell>
          <cell r="B5275">
            <v>8</v>
          </cell>
        </row>
        <row r="5276">
          <cell r="A5276" t="str">
            <v>1RH1A603L3J1AP2-P1</v>
          </cell>
          <cell r="B5276">
            <v>8</v>
          </cell>
        </row>
        <row r="5277">
          <cell r="A5277" t="str">
            <v>1RH1A603L3J1AP2-P2</v>
          </cell>
          <cell r="B5277">
            <v>8</v>
          </cell>
        </row>
        <row r="5278">
          <cell r="A5278" t="str">
            <v>1RH1A603L-3J2A</v>
          </cell>
          <cell r="B5278">
            <v>8</v>
          </cell>
        </row>
        <row r="5279">
          <cell r="A5279" t="str">
            <v>1RH1A603L3J2AP3</v>
          </cell>
          <cell r="B5279">
            <v>8</v>
          </cell>
        </row>
        <row r="5280">
          <cell r="A5280" t="str">
            <v>1RH1A603L3J2AP5</v>
          </cell>
          <cell r="B5280">
            <v>8</v>
          </cell>
        </row>
        <row r="5281">
          <cell r="A5281" t="str">
            <v>1RH1A603L-3J3A</v>
          </cell>
          <cell r="B5281">
            <v>7</v>
          </cell>
        </row>
        <row r="5282">
          <cell r="A5282" t="str">
            <v>1RH1A603L3J3AP1</v>
          </cell>
          <cell r="B5282">
            <v>7</v>
          </cell>
        </row>
        <row r="5283">
          <cell r="A5283" t="str">
            <v>1RH1A603L-3J3A-P1</v>
          </cell>
          <cell r="B5283">
            <v>7</v>
          </cell>
        </row>
        <row r="5284">
          <cell r="A5284" t="str">
            <v>1RH1A603L-3J3A-P2</v>
          </cell>
          <cell r="B5284">
            <v>7</v>
          </cell>
        </row>
        <row r="5285">
          <cell r="A5285" t="str">
            <v>1RH1A603L3J90QP</v>
          </cell>
          <cell r="B5285">
            <v>8</v>
          </cell>
        </row>
        <row r="5286">
          <cell r="A5286" t="str">
            <v>1RH1A603L3J9ABP</v>
          </cell>
          <cell r="B5286">
            <v>9</v>
          </cell>
        </row>
        <row r="5287">
          <cell r="A5287" t="str">
            <v>1RH1A603L3J9ABP-P1</v>
          </cell>
          <cell r="B5287">
            <v>9</v>
          </cell>
        </row>
        <row r="5288">
          <cell r="A5288" t="str">
            <v>1RH1A603L3J9ABP-P2</v>
          </cell>
          <cell r="B5288">
            <v>9</v>
          </cell>
        </row>
        <row r="5289">
          <cell r="A5289" t="str">
            <v>1RH1A603L3K4ATP</v>
          </cell>
          <cell r="B5289">
            <v>4</v>
          </cell>
        </row>
        <row r="5290">
          <cell r="A5290" t="str">
            <v>1RH1A603L3K4ATP-P1</v>
          </cell>
          <cell r="B5290">
            <v>5</v>
          </cell>
        </row>
        <row r="5291">
          <cell r="A5291" t="str">
            <v>1RH1A603L3K4ATP-P2</v>
          </cell>
          <cell r="B5291">
            <v>5</v>
          </cell>
        </row>
        <row r="5292">
          <cell r="A5292" t="str">
            <v>1RH1A603L-3K50</v>
          </cell>
          <cell r="B5292">
            <v>8</v>
          </cell>
        </row>
        <row r="5293">
          <cell r="A5293" t="str">
            <v>1RH1A603L-3K50-P1</v>
          </cell>
          <cell r="B5293">
            <v>8</v>
          </cell>
        </row>
        <row r="5294">
          <cell r="A5294" t="str">
            <v>1RH1A603L-3K50-P2</v>
          </cell>
          <cell r="B5294">
            <v>8</v>
          </cell>
        </row>
        <row r="5295">
          <cell r="A5295" t="str">
            <v>1RH1A603Y3E6AAP</v>
          </cell>
          <cell r="B5295">
            <v>4</v>
          </cell>
        </row>
        <row r="5296">
          <cell r="A5296" t="str">
            <v>1RH1A603Y3E6AAP-P1</v>
          </cell>
          <cell r="B5296">
            <v>4</v>
          </cell>
        </row>
        <row r="5297">
          <cell r="A5297" t="str">
            <v>1RH1A603Y3E6AAP-P2</v>
          </cell>
          <cell r="B5297">
            <v>4</v>
          </cell>
        </row>
        <row r="5298">
          <cell r="A5298" t="str">
            <v>1RH1A603Y3E6ACP</v>
          </cell>
          <cell r="B5298">
            <v>4</v>
          </cell>
        </row>
        <row r="5299">
          <cell r="A5299" t="str">
            <v>1RH1A603Y3E6ACP-P1</v>
          </cell>
          <cell r="B5299">
            <v>4</v>
          </cell>
        </row>
        <row r="5300">
          <cell r="A5300" t="str">
            <v>1RH1A603Y3E6ACP-P2</v>
          </cell>
          <cell r="B5300">
            <v>4</v>
          </cell>
        </row>
        <row r="5301">
          <cell r="A5301" t="str">
            <v>1RH1A603Y3F0AAP</v>
          </cell>
          <cell r="B5301">
            <v>4</v>
          </cell>
        </row>
        <row r="5302">
          <cell r="A5302" t="str">
            <v>1RH1A603Y3F0AAP-P1</v>
          </cell>
          <cell r="B5302">
            <v>4</v>
          </cell>
        </row>
        <row r="5303">
          <cell r="A5303" t="str">
            <v>1RH1A603Y3F0AAP-P2</v>
          </cell>
          <cell r="B5303">
            <v>4</v>
          </cell>
        </row>
        <row r="5304">
          <cell r="A5304" t="str">
            <v>1RH1A603Y3F0ACP</v>
          </cell>
          <cell r="B5304">
            <v>4</v>
          </cell>
        </row>
        <row r="5305">
          <cell r="A5305" t="str">
            <v>1RH1A603Y3F0ACP-P1</v>
          </cell>
          <cell r="B5305">
            <v>4</v>
          </cell>
        </row>
        <row r="5306">
          <cell r="A5306" t="str">
            <v>1RH1A603Y3F0ACP-P2</v>
          </cell>
          <cell r="B5306">
            <v>4</v>
          </cell>
        </row>
        <row r="5307">
          <cell r="A5307" t="str">
            <v>1RH1A603Y3F9ABP</v>
          </cell>
          <cell r="B5307">
            <v>4</v>
          </cell>
        </row>
        <row r="5308">
          <cell r="A5308" t="str">
            <v>1RH1A603Y3F9ABP-P1</v>
          </cell>
          <cell r="B5308">
            <v>4</v>
          </cell>
        </row>
        <row r="5309">
          <cell r="A5309" t="str">
            <v>1RH1A603Y3F9ABP-P2</v>
          </cell>
          <cell r="B5309">
            <v>4</v>
          </cell>
        </row>
        <row r="5310">
          <cell r="A5310" t="str">
            <v>1RH1A603Y3F9AMP</v>
          </cell>
          <cell r="B5310">
            <v>4</v>
          </cell>
        </row>
        <row r="5311">
          <cell r="A5311" t="str">
            <v>1RH1A603Y3F9AMP-P1</v>
          </cell>
          <cell r="B5311">
            <v>4</v>
          </cell>
        </row>
        <row r="5312">
          <cell r="A5312" t="str">
            <v>1RH1A603Y3F9AMP-P2</v>
          </cell>
          <cell r="B5312">
            <v>4</v>
          </cell>
        </row>
        <row r="5313">
          <cell r="A5313" t="str">
            <v>1RH1A603Y3G1AEU</v>
          </cell>
          <cell r="B5313">
            <v>4</v>
          </cell>
        </row>
        <row r="5314">
          <cell r="A5314" t="str">
            <v>1RH1A603Y3G1AEU-P1</v>
          </cell>
          <cell r="B5314">
            <v>4</v>
          </cell>
        </row>
        <row r="5315">
          <cell r="A5315" t="str">
            <v>1RH1A603Y3G1AEU-P2</v>
          </cell>
          <cell r="B5315">
            <v>4</v>
          </cell>
        </row>
        <row r="5316">
          <cell r="A5316" t="str">
            <v>1RH1A603Y-3J0A</v>
          </cell>
          <cell r="B5316">
            <v>14</v>
          </cell>
        </row>
        <row r="5317">
          <cell r="A5317" t="str">
            <v>1RH1A603Y-3J0A-P1</v>
          </cell>
          <cell r="B5317">
            <v>14</v>
          </cell>
        </row>
        <row r="5318">
          <cell r="A5318" t="str">
            <v>1RH1A603Y-3J0A-P2</v>
          </cell>
          <cell r="B5318">
            <v>14</v>
          </cell>
        </row>
        <row r="5319">
          <cell r="A5319" t="str">
            <v>1RH1A603Y-3J3A</v>
          </cell>
          <cell r="B5319">
            <v>11</v>
          </cell>
        </row>
        <row r="5320">
          <cell r="A5320" t="str">
            <v>1RH1A603Y-3J3A-P1</v>
          </cell>
          <cell r="B5320">
            <v>11</v>
          </cell>
        </row>
        <row r="5321">
          <cell r="A5321" t="str">
            <v>1RH1A603Y-3J3A-P2</v>
          </cell>
          <cell r="B5321">
            <v>11</v>
          </cell>
        </row>
        <row r="5322">
          <cell r="A5322" t="str">
            <v>1RH1A603Y-3J8A</v>
          </cell>
          <cell r="B5322">
            <v>13</v>
          </cell>
        </row>
        <row r="5323">
          <cell r="A5323" t="str">
            <v>1RH1A603Y-3J8A-P1</v>
          </cell>
          <cell r="B5323">
            <v>13</v>
          </cell>
        </row>
        <row r="5324">
          <cell r="A5324" t="str">
            <v>1RH1A603Y-3J8A-P2</v>
          </cell>
          <cell r="B5324">
            <v>13</v>
          </cell>
        </row>
        <row r="5325">
          <cell r="A5325" t="str">
            <v>1RH1A603Y3J9ABP</v>
          </cell>
          <cell r="B5325">
            <v>15</v>
          </cell>
        </row>
        <row r="5326">
          <cell r="A5326" t="str">
            <v>1RH1A603Y3J9ABP-P1</v>
          </cell>
          <cell r="B5326">
            <v>15</v>
          </cell>
        </row>
        <row r="5327">
          <cell r="A5327" t="str">
            <v>1RH1A603Y3J9ABP-P2</v>
          </cell>
          <cell r="B5327">
            <v>15</v>
          </cell>
        </row>
        <row r="5328">
          <cell r="A5328" t="str">
            <v>1RH1ARBP01A00382</v>
          </cell>
          <cell r="B5328">
            <v>9</v>
          </cell>
        </row>
        <row r="5329">
          <cell r="A5329" t="str">
            <v>1RH1ARBP01A00420</v>
          </cell>
          <cell r="B5329">
            <v>10</v>
          </cell>
        </row>
        <row r="5330">
          <cell r="A5330" t="str">
            <v>1RH1ARBP01A00850</v>
          </cell>
          <cell r="B5330">
            <v>10</v>
          </cell>
        </row>
        <row r="5331">
          <cell r="A5331" t="str">
            <v>1RH1ARBP0DA01470</v>
          </cell>
          <cell r="B5331">
            <v>11</v>
          </cell>
        </row>
        <row r="5332">
          <cell r="A5332" t="str">
            <v>1RH1ARBP0DA01940</v>
          </cell>
          <cell r="B5332">
            <v>10</v>
          </cell>
        </row>
        <row r="5333">
          <cell r="A5333" t="str">
            <v>1RH1ARBP0DA01950</v>
          </cell>
          <cell r="B5333">
            <v>10</v>
          </cell>
        </row>
        <row r="5334">
          <cell r="A5334" t="str">
            <v>1RH1ARBP0DA02071</v>
          </cell>
          <cell r="B5334">
            <v>13</v>
          </cell>
        </row>
        <row r="5335">
          <cell r="A5335" t="str">
            <v>1RH1ARBP0DA02260</v>
          </cell>
          <cell r="B5335">
            <v>13</v>
          </cell>
        </row>
        <row r="5336">
          <cell r="A5336" t="str">
            <v>1RH1ARBP0DA02270</v>
          </cell>
          <cell r="B5336">
            <v>10</v>
          </cell>
        </row>
        <row r="5337">
          <cell r="A5337" t="str">
            <v>1RH1ARBPC1A01971</v>
          </cell>
          <cell r="B5337">
            <v>10</v>
          </cell>
        </row>
        <row r="5338">
          <cell r="A5338" t="str">
            <v>1RH1ARBPC1A01975</v>
          </cell>
          <cell r="B5338">
            <v>10</v>
          </cell>
        </row>
        <row r="5339">
          <cell r="A5339" t="str">
            <v>1RH1ARBPC1A03913</v>
          </cell>
          <cell r="B5339">
            <v>18</v>
          </cell>
        </row>
        <row r="5340">
          <cell r="A5340" t="str">
            <v>1RH1ARBPC1A04390</v>
          </cell>
          <cell r="B5340">
            <v>10</v>
          </cell>
        </row>
        <row r="5341">
          <cell r="A5341" t="str">
            <v>1RH1ARBPC1A04740</v>
          </cell>
          <cell r="B5341">
            <v>10</v>
          </cell>
        </row>
        <row r="5342">
          <cell r="A5342" t="str">
            <v>1RH1ARBPC1A07102</v>
          </cell>
          <cell r="B5342">
            <v>16</v>
          </cell>
        </row>
        <row r="5343">
          <cell r="A5343" t="str">
            <v>1RH1ARBPC1A07121</v>
          </cell>
          <cell r="B5343">
            <v>16</v>
          </cell>
        </row>
        <row r="5344">
          <cell r="A5344" t="str">
            <v>1RH1ARBPC1A07170</v>
          </cell>
          <cell r="B5344">
            <v>13</v>
          </cell>
        </row>
        <row r="5345">
          <cell r="A5345" t="str">
            <v>1RH1ARBPC1A07511</v>
          </cell>
          <cell r="B5345">
            <v>17</v>
          </cell>
        </row>
        <row r="5346">
          <cell r="A5346" t="str">
            <v>1RH1ARBPC1A07521</v>
          </cell>
          <cell r="B5346">
            <v>17</v>
          </cell>
        </row>
        <row r="5347">
          <cell r="A5347" t="str">
            <v>1RH1ARBPC1A07541</v>
          </cell>
          <cell r="B5347">
            <v>16</v>
          </cell>
        </row>
        <row r="5348">
          <cell r="A5348" t="str">
            <v>1RH1ARBPC1A08234</v>
          </cell>
          <cell r="B5348">
            <v>19</v>
          </cell>
        </row>
        <row r="5349">
          <cell r="A5349" t="str">
            <v>1RH1ARBPC1A08410</v>
          </cell>
          <cell r="B5349">
            <v>16</v>
          </cell>
        </row>
        <row r="5350">
          <cell r="A5350" t="str">
            <v>1RH1ARBPC1A08563</v>
          </cell>
          <cell r="B5350">
            <v>24</v>
          </cell>
        </row>
        <row r="5351">
          <cell r="A5351" t="str">
            <v>1RH1ARBPC1A08802</v>
          </cell>
          <cell r="B5351">
            <v>21</v>
          </cell>
        </row>
        <row r="5352">
          <cell r="A5352" t="str">
            <v>1RH1ARBPC1A08942</v>
          </cell>
          <cell r="B5352">
            <v>14</v>
          </cell>
        </row>
        <row r="5353">
          <cell r="A5353" t="str">
            <v>1RH1ARBPC1A09003</v>
          </cell>
          <cell r="B5353">
            <v>16</v>
          </cell>
        </row>
        <row r="5354">
          <cell r="A5354" t="str">
            <v>1RH1ARBPC1A09142</v>
          </cell>
          <cell r="B5354">
            <v>20</v>
          </cell>
        </row>
        <row r="5355">
          <cell r="A5355" t="str">
            <v>1RH1ARBPC1A09151</v>
          </cell>
          <cell r="B5355">
            <v>16</v>
          </cell>
        </row>
        <row r="5356">
          <cell r="A5356" t="str">
            <v>1RH1ARBPC1A09173</v>
          </cell>
          <cell r="B5356">
            <v>16</v>
          </cell>
        </row>
        <row r="5357">
          <cell r="A5357" t="str">
            <v>1RH1ARBPC1A09263</v>
          </cell>
          <cell r="B5357">
            <v>24</v>
          </cell>
        </row>
        <row r="5358">
          <cell r="A5358" t="str">
            <v>1RH1ARBPC1A09503</v>
          </cell>
          <cell r="B5358">
            <v>19</v>
          </cell>
        </row>
        <row r="5359">
          <cell r="A5359" t="str">
            <v>1RH1ARBPC1A09504</v>
          </cell>
          <cell r="B5359">
            <v>19</v>
          </cell>
        </row>
        <row r="5360">
          <cell r="A5360" t="str">
            <v>1RH1ARBPC1A09714</v>
          </cell>
          <cell r="B5360">
            <v>24</v>
          </cell>
        </row>
        <row r="5361">
          <cell r="A5361" t="str">
            <v>1RH1ARBPC1A09831</v>
          </cell>
          <cell r="B5361">
            <v>16</v>
          </cell>
        </row>
        <row r="5362">
          <cell r="A5362" t="str">
            <v>1RH1ARBPC1A09851</v>
          </cell>
          <cell r="B5362">
            <v>16</v>
          </cell>
        </row>
        <row r="5363">
          <cell r="A5363" t="str">
            <v>1RH1ARBPC1A09893</v>
          </cell>
          <cell r="B5363">
            <v>16</v>
          </cell>
        </row>
        <row r="5364">
          <cell r="A5364" t="str">
            <v>1RH1ARBPC1A09951</v>
          </cell>
          <cell r="B5364">
            <v>16</v>
          </cell>
        </row>
        <row r="5365">
          <cell r="A5365" t="str">
            <v>1RH1ARBPC1A09974</v>
          </cell>
          <cell r="B5365">
            <v>21</v>
          </cell>
        </row>
        <row r="5366">
          <cell r="A5366" t="str">
            <v>1RH1ARBPC1A09982</v>
          </cell>
          <cell r="B5366">
            <v>24</v>
          </cell>
        </row>
        <row r="5367">
          <cell r="A5367" t="str">
            <v>1RH1ARBPC1A09984</v>
          </cell>
          <cell r="B5367">
            <v>21</v>
          </cell>
        </row>
        <row r="5368">
          <cell r="A5368" t="str">
            <v>1RH1ARBPC1A09992</v>
          </cell>
          <cell r="B5368">
            <v>24</v>
          </cell>
        </row>
        <row r="5369">
          <cell r="A5369" t="str">
            <v>1RH1ARBPC1A09994</v>
          </cell>
          <cell r="B5369">
            <v>20</v>
          </cell>
        </row>
        <row r="5370">
          <cell r="A5370" t="str">
            <v>1RH1ARBPC1A10002</v>
          </cell>
          <cell r="B5370">
            <v>21</v>
          </cell>
        </row>
        <row r="5371">
          <cell r="A5371" t="str">
            <v>1RH1ARBPC1A10004</v>
          </cell>
          <cell r="B5371">
            <v>20</v>
          </cell>
        </row>
        <row r="5372">
          <cell r="A5372" t="str">
            <v>1RH1ARBPC1A10012</v>
          </cell>
          <cell r="B5372">
            <v>17</v>
          </cell>
        </row>
        <row r="5373">
          <cell r="A5373" t="str">
            <v>1RH1ARBPC1A10013</v>
          </cell>
          <cell r="B5373">
            <v>17</v>
          </cell>
        </row>
        <row r="5374">
          <cell r="A5374" t="str">
            <v>1RH1ARBPC1A10021</v>
          </cell>
          <cell r="B5374">
            <v>21</v>
          </cell>
        </row>
        <row r="5375">
          <cell r="A5375" t="str">
            <v>1RH1ARBPC1A10654</v>
          </cell>
          <cell r="B5375">
            <v>21</v>
          </cell>
        </row>
        <row r="5376">
          <cell r="A5376" t="str">
            <v>1RH1ARBPC1A10663</v>
          </cell>
          <cell r="B5376">
            <v>24</v>
          </cell>
        </row>
        <row r="5377">
          <cell r="A5377" t="str">
            <v>1RH1ARBPC1A10670</v>
          </cell>
          <cell r="B5377">
            <v>16</v>
          </cell>
        </row>
        <row r="5378">
          <cell r="A5378" t="str">
            <v>1RH1ARBPC1A10772</v>
          </cell>
          <cell r="B5378">
            <v>20</v>
          </cell>
        </row>
        <row r="5379">
          <cell r="A5379" t="str">
            <v>1RH1ARBPC1A10773</v>
          </cell>
          <cell r="B5379">
            <v>20</v>
          </cell>
        </row>
        <row r="5380">
          <cell r="A5380" t="str">
            <v>1RH1ARBPC1A10774</v>
          </cell>
          <cell r="B5380">
            <v>20</v>
          </cell>
        </row>
        <row r="5381">
          <cell r="A5381" t="str">
            <v>1RH1ARBPC1A10781</v>
          </cell>
          <cell r="B5381">
            <v>13</v>
          </cell>
        </row>
        <row r="5382">
          <cell r="A5382" t="str">
            <v>1RH1ARBPC1A10783</v>
          </cell>
          <cell r="B5382">
            <v>20</v>
          </cell>
        </row>
        <row r="5383">
          <cell r="A5383" t="str">
            <v>1RH1ARBPC1A10791</v>
          </cell>
          <cell r="B5383">
            <v>19</v>
          </cell>
        </row>
        <row r="5384">
          <cell r="A5384" t="str">
            <v>1RH1ARBPC1A10830</v>
          </cell>
          <cell r="B5384">
            <v>16</v>
          </cell>
        </row>
        <row r="5385">
          <cell r="A5385" t="str">
            <v>1RH1ARBPC1A10910</v>
          </cell>
          <cell r="B5385">
            <v>16</v>
          </cell>
        </row>
        <row r="5386">
          <cell r="A5386" t="str">
            <v>1RH1ARBPC1A11051</v>
          </cell>
          <cell r="B5386">
            <v>20</v>
          </cell>
        </row>
        <row r="5387">
          <cell r="A5387" t="str">
            <v>1RH1ARBPC1A11060</v>
          </cell>
          <cell r="B5387">
            <v>24</v>
          </cell>
        </row>
        <row r="5388">
          <cell r="A5388" t="str">
            <v>1RH1ARBPC1A11061</v>
          </cell>
          <cell r="B5388">
            <v>23</v>
          </cell>
        </row>
        <row r="5389">
          <cell r="A5389" t="str">
            <v>1RH1ARBPC1A11190</v>
          </cell>
          <cell r="B5389">
            <v>16</v>
          </cell>
        </row>
        <row r="5390">
          <cell r="A5390" t="str">
            <v>1RH1ARBPC1A11230</v>
          </cell>
          <cell r="B5390">
            <v>16</v>
          </cell>
        </row>
        <row r="5391">
          <cell r="A5391" t="str">
            <v>1RH1ARBPC1A11250</v>
          </cell>
          <cell r="B5391">
            <v>16</v>
          </cell>
        </row>
        <row r="5392">
          <cell r="A5392" t="str">
            <v>1RH1ARBPC1A11251</v>
          </cell>
          <cell r="B5392">
            <v>17</v>
          </cell>
        </row>
        <row r="5393">
          <cell r="A5393" t="str">
            <v>1RH1ARBPC1A11390</v>
          </cell>
          <cell r="B5393">
            <v>16</v>
          </cell>
        </row>
        <row r="5394">
          <cell r="A5394" t="str">
            <v>1RH1ARBPC1A11400</v>
          </cell>
          <cell r="B5394">
            <v>16</v>
          </cell>
        </row>
        <row r="5395">
          <cell r="A5395" t="str">
            <v>1RH1ARBPC1A11410</v>
          </cell>
          <cell r="B5395">
            <v>16</v>
          </cell>
        </row>
        <row r="5396">
          <cell r="A5396" t="str">
            <v>1RH1ARBPC1A11450</v>
          </cell>
          <cell r="B5396">
            <v>24</v>
          </cell>
        </row>
        <row r="5397">
          <cell r="A5397" t="str">
            <v>1RH1ARBPC1A11451</v>
          </cell>
          <cell r="B5397">
            <v>23</v>
          </cell>
        </row>
        <row r="5398">
          <cell r="A5398" t="str">
            <v>1RH1ARBPC1A11460</v>
          </cell>
          <cell r="B5398">
            <v>19</v>
          </cell>
        </row>
        <row r="5399">
          <cell r="A5399" t="str">
            <v>1RH1ARBPC1A11461</v>
          </cell>
          <cell r="B5399">
            <v>17</v>
          </cell>
        </row>
        <row r="5400">
          <cell r="A5400" t="str">
            <v>1RH1ARBPC1A11462</v>
          </cell>
          <cell r="B5400">
            <v>17</v>
          </cell>
        </row>
        <row r="5401">
          <cell r="A5401" t="str">
            <v>1RH1ARBPC1A11620</v>
          </cell>
          <cell r="B5401">
            <v>14</v>
          </cell>
        </row>
        <row r="5402">
          <cell r="A5402" t="str">
            <v>1RH1ARBPC1A11620T</v>
          </cell>
          <cell r="B5402">
            <v>24</v>
          </cell>
        </row>
        <row r="5403">
          <cell r="A5403" t="str">
            <v>1RH1ARBPC1A11622</v>
          </cell>
          <cell r="B5403">
            <v>24</v>
          </cell>
        </row>
        <row r="5404">
          <cell r="A5404" t="str">
            <v>1RH1ARBPC1A11790</v>
          </cell>
          <cell r="B5404">
            <v>17</v>
          </cell>
        </row>
        <row r="5405">
          <cell r="A5405" t="str">
            <v>1RH1ARBPC1A11791</v>
          </cell>
          <cell r="B5405">
            <v>17</v>
          </cell>
        </row>
        <row r="5406">
          <cell r="A5406" t="str">
            <v>1RH1ARBPC1A11800T1</v>
          </cell>
          <cell r="B5406">
            <v>20</v>
          </cell>
        </row>
        <row r="5407">
          <cell r="A5407" t="str">
            <v>1RH1ARBPC1A11802</v>
          </cell>
          <cell r="B5407">
            <v>20</v>
          </cell>
        </row>
        <row r="5408">
          <cell r="A5408" t="str">
            <v>1RH1ARBPC1A11810</v>
          </cell>
          <cell r="B5408">
            <v>23</v>
          </cell>
        </row>
        <row r="5409">
          <cell r="A5409" t="str">
            <v>1RH1ARBPC1A12350</v>
          </cell>
          <cell r="B5409">
            <v>18</v>
          </cell>
        </row>
        <row r="5410">
          <cell r="A5410" t="str">
            <v>1RH1ARBPC1A12360</v>
          </cell>
          <cell r="B5410">
            <v>16</v>
          </cell>
        </row>
        <row r="5411">
          <cell r="A5411" t="str">
            <v>1RH1ARBPC1A12370</v>
          </cell>
          <cell r="B5411">
            <v>16</v>
          </cell>
        </row>
        <row r="5412">
          <cell r="A5412" t="str">
            <v>1RH1ARBPC1A12400</v>
          </cell>
          <cell r="B5412">
            <v>16</v>
          </cell>
        </row>
        <row r="5413">
          <cell r="A5413" t="str">
            <v>1RH1ARBPC1A12410</v>
          </cell>
          <cell r="B5413">
            <v>16</v>
          </cell>
        </row>
        <row r="5414">
          <cell r="A5414" t="str">
            <v>1RH1ARBPC1A12420</v>
          </cell>
          <cell r="B5414">
            <v>16</v>
          </cell>
        </row>
        <row r="5415">
          <cell r="A5415" t="str">
            <v>1RH1ARBPC1A12580</v>
          </cell>
          <cell r="B5415">
            <v>16</v>
          </cell>
        </row>
        <row r="5416">
          <cell r="A5416" t="str">
            <v>1RH1ARBPC1A12590</v>
          </cell>
          <cell r="B5416">
            <v>16</v>
          </cell>
        </row>
        <row r="5417">
          <cell r="A5417" t="str">
            <v>1RH1ARBPC1A12610</v>
          </cell>
          <cell r="B5417">
            <v>16</v>
          </cell>
        </row>
        <row r="5418">
          <cell r="A5418" t="str">
            <v>1RH1ARBPC1A12620</v>
          </cell>
          <cell r="B5418">
            <v>18</v>
          </cell>
        </row>
        <row r="5419">
          <cell r="A5419" t="str">
            <v>1RH1ARBPC1A12630</v>
          </cell>
          <cell r="B5419">
            <v>24</v>
          </cell>
        </row>
        <row r="5420">
          <cell r="A5420" t="str">
            <v>1RH1ARBPC1A12630T4</v>
          </cell>
          <cell r="B5420">
            <v>24</v>
          </cell>
        </row>
        <row r="5421">
          <cell r="A5421" t="str">
            <v>1RH1ARBPC1A12680</v>
          </cell>
          <cell r="B5421">
            <v>19</v>
          </cell>
        </row>
        <row r="5422">
          <cell r="A5422" t="str">
            <v>1RH1ARBPC1A12750</v>
          </cell>
          <cell r="B5422">
            <v>27</v>
          </cell>
        </row>
        <row r="5423">
          <cell r="A5423" t="str">
            <v>1RH1ARBPC1A12751</v>
          </cell>
          <cell r="B5423">
            <v>24</v>
          </cell>
        </row>
        <row r="5424">
          <cell r="A5424" t="str">
            <v>1RH1ARBPC1A12752</v>
          </cell>
          <cell r="B5424">
            <v>28</v>
          </cell>
        </row>
        <row r="5425">
          <cell r="A5425" t="str">
            <v>1RH1ARBPC1A12753</v>
          </cell>
          <cell r="B5425">
            <v>28</v>
          </cell>
        </row>
        <row r="5426">
          <cell r="A5426" t="str">
            <v>1RH1ARBPC1A12910</v>
          </cell>
          <cell r="B5426">
            <v>24</v>
          </cell>
        </row>
        <row r="5427">
          <cell r="A5427" t="str">
            <v>1RH1ARBPLLA00341</v>
          </cell>
          <cell r="B5427">
            <v>2</v>
          </cell>
        </row>
        <row r="5428">
          <cell r="A5428" t="str">
            <v>1RH1ARR000A18180</v>
          </cell>
          <cell r="B5428">
            <v>10</v>
          </cell>
        </row>
        <row r="5429">
          <cell r="A5429" t="str">
            <v>1RH1ARR000A18190</v>
          </cell>
          <cell r="B5429">
            <v>10</v>
          </cell>
        </row>
        <row r="5430">
          <cell r="A5430" t="str">
            <v>1RH1ARR000A18200</v>
          </cell>
          <cell r="B5430">
            <v>13</v>
          </cell>
        </row>
        <row r="5431">
          <cell r="A5431" t="str">
            <v>1RH1BP01A00421-TH1</v>
          </cell>
          <cell r="B5431">
            <v>10</v>
          </cell>
        </row>
        <row r="5432">
          <cell r="A5432" t="str">
            <v>1RH1BP01A00421-TW1</v>
          </cell>
          <cell r="B5432">
            <v>10</v>
          </cell>
        </row>
        <row r="5433">
          <cell r="A5433" t="str">
            <v>1RH1C1A11621-T4</v>
          </cell>
          <cell r="B5433">
            <v>24</v>
          </cell>
        </row>
        <row r="5434">
          <cell r="A5434" t="str">
            <v>1RH1D820V4</v>
          </cell>
          <cell r="B5434">
            <v>67</v>
          </cell>
        </row>
        <row r="5435">
          <cell r="A5435" t="str">
            <v>1RH1D880BV4</v>
          </cell>
          <cell r="B5435">
            <v>66</v>
          </cell>
        </row>
        <row r="5436">
          <cell r="A5436" t="str">
            <v>1RH1D921CV4</v>
          </cell>
          <cell r="B5436">
            <v>50</v>
          </cell>
        </row>
        <row r="5437">
          <cell r="A5437" t="str">
            <v>1RH1D923AV4</v>
          </cell>
          <cell r="B5437">
            <v>27</v>
          </cell>
        </row>
        <row r="5438">
          <cell r="A5438" t="str">
            <v>1RH1D924V4</v>
          </cell>
          <cell r="B5438">
            <v>7</v>
          </cell>
        </row>
        <row r="5439">
          <cell r="A5439" t="str">
            <v>1RH1D926V4</v>
          </cell>
          <cell r="B5439">
            <v>16</v>
          </cell>
        </row>
        <row r="5440">
          <cell r="A5440" t="str">
            <v>1RH1D931AV4</v>
          </cell>
          <cell r="B5440">
            <v>55</v>
          </cell>
        </row>
        <row r="5441">
          <cell r="A5441" t="str">
            <v>1RH1D935V4</v>
          </cell>
          <cell r="B5441">
            <v>96</v>
          </cell>
        </row>
        <row r="5442">
          <cell r="A5442" t="str">
            <v>1RH1DPLB1227</v>
          </cell>
          <cell r="B5442">
            <v>13</v>
          </cell>
        </row>
        <row r="5443">
          <cell r="A5443" t="str">
            <v>1RH1F220V4</v>
          </cell>
          <cell r="B5443">
            <v>25</v>
          </cell>
        </row>
        <row r="5444">
          <cell r="A5444" t="str">
            <v>1RH1F221V4</v>
          </cell>
          <cell r="B5444">
            <v>13</v>
          </cell>
        </row>
        <row r="5445">
          <cell r="A5445" t="str">
            <v>1RH1F230V4</v>
          </cell>
          <cell r="B5445">
            <v>18</v>
          </cell>
        </row>
        <row r="5446">
          <cell r="A5446" t="str">
            <v>1RH1F231V4</v>
          </cell>
          <cell r="B5446">
            <v>8</v>
          </cell>
        </row>
        <row r="5447">
          <cell r="A5447" t="str">
            <v>1RH1F232V4</v>
          </cell>
          <cell r="B5447">
            <v>20</v>
          </cell>
        </row>
        <row r="5448">
          <cell r="A5448" t="str">
            <v>1RH1F233</v>
          </cell>
          <cell r="B5448">
            <v>8</v>
          </cell>
        </row>
        <row r="5449">
          <cell r="A5449" t="str">
            <v>1RH1F233K</v>
          </cell>
          <cell r="B5449">
            <v>8</v>
          </cell>
        </row>
        <row r="5450">
          <cell r="A5450" t="str">
            <v>1RH1F603L370AEU</v>
          </cell>
          <cell r="B5450">
            <v>6</v>
          </cell>
        </row>
        <row r="5451">
          <cell r="A5451" t="str">
            <v>1RH1F603L370AHP</v>
          </cell>
          <cell r="B5451">
            <v>6</v>
          </cell>
        </row>
        <row r="5452">
          <cell r="A5452" t="str">
            <v>1RH1F603L6P1AAP1</v>
          </cell>
          <cell r="B5452">
            <v>4</v>
          </cell>
        </row>
        <row r="5453">
          <cell r="A5453" t="str">
            <v>1RH1F603L9J90BZS</v>
          </cell>
          <cell r="B5453">
            <v>5</v>
          </cell>
        </row>
        <row r="5454">
          <cell r="A5454" t="str">
            <v>1RH1F603L9J9ABZ</v>
          </cell>
          <cell r="B5454">
            <v>6</v>
          </cell>
        </row>
        <row r="5455">
          <cell r="A5455" t="str">
            <v>1RH1F603LBS7AAP</v>
          </cell>
          <cell r="B5455">
            <v>11</v>
          </cell>
        </row>
        <row r="5456">
          <cell r="A5456" t="str">
            <v>1RH1F603LCE5AP1</v>
          </cell>
          <cell r="B5456">
            <v>6</v>
          </cell>
        </row>
        <row r="5457">
          <cell r="A5457" t="str">
            <v>1RH1F603LCE6AP1</v>
          </cell>
          <cell r="B5457">
            <v>6</v>
          </cell>
        </row>
        <row r="5458">
          <cell r="A5458" t="str">
            <v>1RH1F603LCE7AEP</v>
          </cell>
          <cell r="B5458">
            <v>11</v>
          </cell>
        </row>
        <row r="5459">
          <cell r="A5459" t="str">
            <v>1RH1H603L3J80P1</v>
          </cell>
          <cell r="B5459">
            <v>10</v>
          </cell>
        </row>
        <row r="5460">
          <cell r="A5460" t="str">
            <v>1RH1H603L3J81P1</v>
          </cell>
          <cell r="B5460">
            <v>10</v>
          </cell>
        </row>
        <row r="5461">
          <cell r="A5461" t="str">
            <v>1RH1H603L3J81P1-PP</v>
          </cell>
          <cell r="B5461">
            <v>10</v>
          </cell>
        </row>
        <row r="5462">
          <cell r="A5462" t="str">
            <v>1RH1H603L3K20BP</v>
          </cell>
          <cell r="B5462">
            <v>36</v>
          </cell>
        </row>
        <row r="5463">
          <cell r="A5463" t="str">
            <v>1RH1H603L3K20BP-P1</v>
          </cell>
          <cell r="B5463">
            <v>36</v>
          </cell>
        </row>
        <row r="5464">
          <cell r="A5464" t="str">
            <v>1RH1H603L6P10AP1</v>
          </cell>
          <cell r="B5464">
            <v>2</v>
          </cell>
        </row>
        <row r="5465">
          <cell r="A5465" t="str">
            <v>1RH1H603Y-3J00</v>
          </cell>
          <cell r="B5465">
            <v>11</v>
          </cell>
        </row>
        <row r="5466">
          <cell r="A5466" t="str">
            <v>1RH1H603Y-3K20</v>
          </cell>
          <cell r="B5466">
            <v>4</v>
          </cell>
        </row>
        <row r="5467">
          <cell r="A5467" t="str">
            <v>1RH1H603Y3K20BP</v>
          </cell>
          <cell r="B5467">
            <v>4</v>
          </cell>
        </row>
        <row r="5468">
          <cell r="A5468" t="str">
            <v>1RH1H603Y3K20BP-P1</v>
          </cell>
          <cell r="B5468">
            <v>4</v>
          </cell>
        </row>
        <row r="5469">
          <cell r="A5469" t="str">
            <v>1RH1H603Y3K20BPP1T</v>
          </cell>
          <cell r="B5469">
            <v>4</v>
          </cell>
        </row>
        <row r="5470">
          <cell r="A5470" t="str">
            <v>1RH1H603Y-3K20FES2</v>
          </cell>
          <cell r="B5470">
            <v>4</v>
          </cell>
        </row>
        <row r="5471">
          <cell r="A5471" t="str">
            <v>1RH1H603Y-3K20-P1</v>
          </cell>
          <cell r="B5471">
            <v>4</v>
          </cell>
        </row>
        <row r="5472">
          <cell r="A5472" t="str">
            <v>1RH1H603Y-3K20P2</v>
          </cell>
          <cell r="B5472">
            <v>4</v>
          </cell>
        </row>
        <row r="5473">
          <cell r="A5473" t="str">
            <v>1RH1H603Y-3K20-P2</v>
          </cell>
          <cell r="B5473">
            <v>4</v>
          </cell>
        </row>
        <row r="5474">
          <cell r="A5474" t="str">
            <v>1RH1H603Y-3K20PP1</v>
          </cell>
          <cell r="B5474">
            <v>4</v>
          </cell>
        </row>
        <row r="5475">
          <cell r="A5475" t="str">
            <v>1RH1H603Y-3K20PP2</v>
          </cell>
          <cell r="B5475">
            <v>4</v>
          </cell>
        </row>
        <row r="5476">
          <cell r="A5476" t="str">
            <v>1RH1H653L-3K20FES1</v>
          </cell>
          <cell r="B5476">
            <v>36</v>
          </cell>
        </row>
        <row r="5477">
          <cell r="A5477" t="str">
            <v>1RH1H683L-3K20</v>
          </cell>
          <cell r="B5477">
            <v>33</v>
          </cell>
        </row>
        <row r="5478">
          <cell r="A5478" t="str">
            <v>1RH1H683L3K20BP-FE</v>
          </cell>
          <cell r="B5478">
            <v>36</v>
          </cell>
        </row>
        <row r="5479">
          <cell r="A5479" t="str">
            <v>1RH1H683L3K20BPP1T</v>
          </cell>
          <cell r="B5479">
            <v>36</v>
          </cell>
        </row>
        <row r="5480">
          <cell r="A5480" t="str">
            <v>1RH1H683L-3K20FES2</v>
          </cell>
          <cell r="B5480">
            <v>36</v>
          </cell>
        </row>
        <row r="5481">
          <cell r="A5481" t="str">
            <v>1RH1H683L-3K20-P2</v>
          </cell>
          <cell r="B5481">
            <v>35</v>
          </cell>
        </row>
        <row r="5482">
          <cell r="A5482" t="str">
            <v>1RH1H683L-3K20PP1</v>
          </cell>
          <cell r="B5482">
            <v>35</v>
          </cell>
        </row>
        <row r="5483">
          <cell r="A5483" t="str">
            <v>1RH1H683L-3K20-PP1</v>
          </cell>
          <cell r="B5483">
            <v>34</v>
          </cell>
        </row>
        <row r="5484">
          <cell r="A5484" t="str">
            <v>1RH1H683L-3K20PP2</v>
          </cell>
          <cell r="B5484">
            <v>35</v>
          </cell>
        </row>
        <row r="5485">
          <cell r="A5485" t="str">
            <v>1RH1H683L-3K20-PP2</v>
          </cell>
          <cell r="B5485">
            <v>34</v>
          </cell>
        </row>
        <row r="5486">
          <cell r="A5486" t="str">
            <v>1RH1HT82460XS1</v>
          </cell>
          <cell r="B5486">
            <v>4</v>
          </cell>
        </row>
        <row r="5487">
          <cell r="A5487" t="str">
            <v>1RH1HT82480</v>
          </cell>
          <cell r="B5487">
            <v>5</v>
          </cell>
        </row>
        <row r="5488">
          <cell r="A5488" t="str">
            <v>1RH1HT82480AGR1</v>
          </cell>
          <cell r="B5488">
            <v>1</v>
          </cell>
        </row>
        <row r="5489">
          <cell r="A5489" t="str">
            <v>1RH1HT82480AGS3</v>
          </cell>
          <cell r="B5489">
            <v>5</v>
          </cell>
        </row>
        <row r="5490">
          <cell r="A5490" t="str">
            <v>1RH1HT82480ALR1</v>
          </cell>
          <cell r="B5490">
            <v>1</v>
          </cell>
        </row>
        <row r="5491">
          <cell r="A5491" t="str">
            <v>1RH1HT82480ALS3</v>
          </cell>
          <cell r="B5491">
            <v>9</v>
          </cell>
        </row>
        <row r="5492">
          <cell r="A5492" t="str">
            <v>1RH1HT82480BR</v>
          </cell>
          <cell r="B5492">
            <v>5</v>
          </cell>
        </row>
        <row r="5493">
          <cell r="A5493" t="str">
            <v>1RH1HT82480BRR1</v>
          </cell>
          <cell r="B5493">
            <v>1</v>
          </cell>
        </row>
        <row r="5494">
          <cell r="A5494" t="str">
            <v>1RH1HT82480BRS3</v>
          </cell>
          <cell r="B5494">
            <v>5</v>
          </cell>
        </row>
        <row r="5495">
          <cell r="A5495" t="str">
            <v>1RH1HT82480NZR1</v>
          </cell>
          <cell r="B5495">
            <v>1</v>
          </cell>
        </row>
        <row r="5496">
          <cell r="A5496" t="str">
            <v>1RH1HT82480NZS3</v>
          </cell>
          <cell r="B5496">
            <v>5</v>
          </cell>
        </row>
        <row r="5497">
          <cell r="A5497" t="str">
            <v>1RH1HT82480R1</v>
          </cell>
          <cell r="B5497">
            <v>1</v>
          </cell>
        </row>
        <row r="5498">
          <cell r="A5498" t="str">
            <v>1RH1HT82480S3</v>
          </cell>
          <cell r="B5498">
            <v>5</v>
          </cell>
        </row>
        <row r="5499">
          <cell r="A5499" t="str">
            <v>1RH1HT82480SA</v>
          </cell>
          <cell r="B5499">
            <v>5</v>
          </cell>
        </row>
        <row r="5500">
          <cell r="A5500" t="str">
            <v>1RH1HT82480SAR1</v>
          </cell>
          <cell r="B5500">
            <v>1</v>
          </cell>
        </row>
        <row r="5501">
          <cell r="A5501" t="str">
            <v>1RH1HT82480SAS3</v>
          </cell>
          <cell r="B5501">
            <v>5</v>
          </cell>
        </row>
        <row r="5502">
          <cell r="A5502" t="str">
            <v>1RH1HT82480SX</v>
          </cell>
          <cell r="B5502">
            <v>5</v>
          </cell>
        </row>
        <row r="5503">
          <cell r="A5503" t="str">
            <v>1RH1HT82480SXR1</v>
          </cell>
          <cell r="B5503">
            <v>1</v>
          </cell>
        </row>
        <row r="5504">
          <cell r="A5504" t="str">
            <v>1RH1HT82480SXS3</v>
          </cell>
          <cell r="B5504">
            <v>5</v>
          </cell>
        </row>
        <row r="5505">
          <cell r="A5505" t="str">
            <v>1RH1HT82480TWR1</v>
          </cell>
          <cell r="B5505">
            <v>1</v>
          </cell>
        </row>
        <row r="5506">
          <cell r="A5506" t="str">
            <v>1RH1HT82480TWS3</v>
          </cell>
          <cell r="B5506">
            <v>5</v>
          </cell>
        </row>
        <row r="5507">
          <cell r="A5507" t="str">
            <v>1RH1HT82480X</v>
          </cell>
          <cell r="B5507">
            <v>5</v>
          </cell>
        </row>
        <row r="5508">
          <cell r="A5508" t="str">
            <v>1RH1HT82480XR1</v>
          </cell>
          <cell r="B5508">
            <v>1</v>
          </cell>
        </row>
        <row r="5509">
          <cell r="A5509" t="str">
            <v>1RH1HT82480XS1</v>
          </cell>
          <cell r="B5509">
            <v>5</v>
          </cell>
        </row>
        <row r="5510">
          <cell r="A5510" t="str">
            <v>1RH1HT82480XS2</v>
          </cell>
          <cell r="B5510">
            <v>5</v>
          </cell>
        </row>
        <row r="5511">
          <cell r="A5511" t="str">
            <v>1RH1HT82480XS3</v>
          </cell>
          <cell r="B5511">
            <v>5</v>
          </cell>
        </row>
        <row r="5512">
          <cell r="A5512" t="str">
            <v>1RH1J603L3J8AP2</v>
          </cell>
          <cell r="B5512">
            <v>9</v>
          </cell>
        </row>
        <row r="5513">
          <cell r="A5513" t="str">
            <v>1RH1J603L3J8AP2FES</v>
          </cell>
          <cell r="B5513">
            <v>9</v>
          </cell>
        </row>
        <row r="5514">
          <cell r="A5514" t="str">
            <v>1RH1J603L3J8AP2-P1</v>
          </cell>
          <cell r="B5514">
            <v>9</v>
          </cell>
        </row>
        <row r="5515">
          <cell r="A5515" t="str">
            <v>1RH1J603L3J8AP2-P2</v>
          </cell>
          <cell r="B5515">
            <v>9</v>
          </cell>
        </row>
        <row r="5516">
          <cell r="A5516" t="str">
            <v>1RH1LP1282ZAL4-S1</v>
          </cell>
          <cell r="B5516">
            <v>81</v>
          </cell>
        </row>
        <row r="5517">
          <cell r="A5517" t="str">
            <v>1RH1LP1537ZA-S1</v>
          </cell>
          <cell r="B5517">
            <v>81</v>
          </cell>
        </row>
        <row r="5518">
          <cell r="A5518" t="str">
            <v>1RH1LP2017EXZA</v>
          </cell>
          <cell r="B5518">
            <v>6</v>
          </cell>
        </row>
        <row r="5519">
          <cell r="A5519" t="str">
            <v>1RH1LP2288ZA</v>
          </cell>
          <cell r="B5519">
            <v>8</v>
          </cell>
        </row>
        <row r="5520">
          <cell r="A5520" t="str">
            <v>1RH1LP2554ZA</v>
          </cell>
          <cell r="B5520">
            <v>6</v>
          </cell>
        </row>
        <row r="5521">
          <cell r="A5521" t="str">
            <v>1RH1LP2555ZA</v>
          </cell>
          <cell r="B5521">
            <v>1</v>
          </cell>
        </row>
        <row r="5522">
          <cell r="A5522" t="str">
            <v>1RH1LP2557ZA</v>
          </cell>
          <cell r="B5522">
            <v>26</v>
          </cell>
        </row>
        <row r="5523">
          <cell r="A5523" t="str">
            <v>1RH1LP2558ZA</v>
          </cell>
          <cell r="B5523">
            <v>14</v>
          </cell>
        </row>
        <row r="5524">
          <cell r="A5524" t="str">
            <v>1RH1LP2559ZA</v>
          </cell>
          <cell r="B5524">
            <v>14</v>
          </cell>
        </row>
        <row r="5525">
          <cell r="A5525" t="str">
            <v>1RH1LP2560ZA</v>
          </cell>
          <cell r="B5525">
            <v>13</v>
          </cell>
        </row>
        <row r="5526">
          <cell r="A5526" t="str">
            <v>1RH1LP2561ZA</v>
          </cell>
          <cell r="B5526">
            <v>49</v>
          </cell>
        </row>
        <row r="5527">
          <cell r="A5527" t="str">
            <v>1RH1LP2567ZA</v>
          </cell>
          <cell r="B5527">
            <v>17</v>
          </cell>
        </row>
        <row r="5528">
          <cell r="A5528" t="str">
            <v>1RH1LP2568ZA</v>
          </cell>
          <cell r="B5528">
            <v>14</v>
          </cell>
        </row>
        <row r="5529">
          <cell r="A5529" t="str">
            <v>1RH1LP2569ZA</v>
          </cell>
          <cell r="B5529">
            <v>17</v>
          </cell>
        </row>
        <row r="5530">
          <cell r="A5530" t="str">
            <v>1RH1LP2573ZA</v>
          </cell>
          <cell r="B5530">
            <v>2</v>
          </cell>
        </row>
        <row r="5531">
          <cell r="A5531" t="str">
            <v>1RH1LP2573ZAR1</v>
          </cell>
          <cell r="B5531">
            <v>2</v>
          </cell>
        </row>
        <row r="5532">
          <cell r="A5532" t="str">
            <v>1RH1LP2573ZAS1</v>
          </cell>
          <cell r="B5532">
            <v>5</v>
          </cell>
        </row>
        <row r="5533">
          <cell r="A5533" t="str">
            <v>1RH1LP2573ZAS2</v>
          </cell>
          <cell r="B5533">
            <v>2</v>
          </cell>
        </row>
        <row r="5534">
          <cell r="A5534" t="str">
            <v>1RH1LP2574ZA</v>
          </cell>
          <cell r="B5534">
            <v>2</v>
          </cell>
        </row>
        <row r="5535">
          <cell r="A5535" t="str">
            <v>1RH1LP2574ZAR1</v>
          </cell>
          <cell r="B5535">
            <v>2</v>
          </cell>
        </row>
        <row r="5536">
          <cell r="A5536" t="str">
            <v>1RH1LP2574ZAS1</v>
          </cell>
          <cell r="B5536">
            <v>2</v>
          </cell>
        </row>
        <row r="5537">
          <cell r="A5537" t="str">
            <v>1RH1LP2574ZAS2</v>
          </cell>
          <cell r="B5537">
            <v>2</v>
          </cell>
        </row>
        <row r="5538">
          <cell r="A5538" t="str">
            <v>1RH1LP2575ZA</v>
          </cell>
          <cell r="B5538">
            <v>2</v>
          </cell>
        </row>
        <row r="5539">
          <cell r="A5539" t="str">
            <v>1RH1LP2575ZAR1</v>
          </cell>
          <cell r="B5539">
            <v>2</v>
          </cell>
        </row>
        <row r="5540">
          <cell r="A5540" t="str">
            <v>1RH1LP2575ZAS1</v>
          </cell>
          <cell r="B5540">
            <v>2</v>
          </cell>
        </row>
        <row r="5541">
          <cell r="A5541" t="str">
            <v>1RH1LP2575ZAS2</v>
          </cell>
          <cell r="B5541">
            <v>2</v>
          </cell>
        </row>
        <row r="5542">
          <cell r="A5542" t="str">
            <v>1RH1LP2577ZA</v>
          </cell>
          <cell r="B5542">
            <v>11</v>
          </cell>
        </row>
        <row r="5543">
          <cell r="A5543" t="str">
            <v>1RH1LP2577ZAR1</v>
          </cell>
          <cell r="B5543">
            <v>11</v>
          </cell>
        </row>
        <row r="5544">
          <cell r="A5544" t="str">
            <v>1RH1LP2577ZAR2</v>
          </cell>
          <cell r="B5544">
            <v>11</v>
          </cell>
        </row>
        <row r="5545">
          <cell r="A5545" t="str">
            <v>1RH1LP2578ZA</v>
          </cell>
          <cell r="B5545">
            <v>15</v>
          </cell>
        </row>
        <row r="5546">
          <cell r="A5546" t="str">
            <v>1RH1LP2578ZAR1</v>
          </cell>
          <cell r="B5546">
            <v>15</v>
          </cell>
        </row>
        <row r="5547">
          <cell r="A5547" t="str">
            <v>1RH1LP2578ZAR2</v>
          </cell>
          <cell r="B5547">
            <v>15</v>
          </cell>
        </row>
        <row r="5548">
          <cell r="A5548" t="str">
            <v>1RH1LP2579ZA</v>
          </cell>
          <cell r="B5548">
            <v>15</v>
          </cell>
        </row>
        <row r="5549">
          <cell r="A5549" t="str">
            <v>1RH1LP2579ZAS1</v>
          </cell>
          <cell r="B5549">
            <v>15</v>
          </cell>
        </row>
        <row r="5550">
          <cell r="A5550" t="str">
            <v>1RH1LP2580ZAS1</v>
          </cell>
          <cell r="B5550">
            <v>15</v>
          </cell>
        </row>
        <row r="5551">
          <cell r="A5551" t="str">
            <v>1RH1LP2581ZA</v>
          </cell>
          <cell r="B5551">
            <v>15</v>
          </cell>
        </row>
        <row r="5552">
          <cell r="A5552" t="str">
            <v>1RH1LP2581ZAR2</v>
          </cell>
          <cell r="B5552">
            <v>15</v>
          </cell>
        </row>
        <row r="5553">
          <cell r="A5553" t="str">
            <v>1RH1LP2582ZA</v>
          </cell>
          <cell r="B5553">
            <v>15</v>
          </cell>
        </row>
        <row r="5554">
          <cell r="A5554" t="str">
            <v>1RH1LP2582ZAR2</v>
          </cell>
          <cell r="B5554">
            <v>15</v>
          </cell>
        </row>
        <row r="5555">
          <cell r="A5555" t="str">
            <v>1RH1LP2583ZA</v>
          </cell>
          <cell r="B5555">
            <v>11</v>
          </cell>
        </row>
        <row r="5556">
          <cell r="A5556" t="str">
            <v>1RH1LP2584ZA</v>
          </cell>
          <cell r="B5556">
            <v>15</v>
          </cell>
        </row>
        <row r="5557">
          <cell r="A5557" t="str">
            <v>1RH1LP2584ZAR2</v>
          </cell>
          <cell r="B5557">
            <v>15</v>
          </cell>
        </row>
        <row r="5558">
          <cell r="A5558" t="str">
            <v>1RH1LP2585ZAS1</v>
          </cell>
          <cell r="B5558">
            <v>15</v>
          </cell>
        </row>
        <row r="5559">
          <cell r="A5559" t="str">
            <v>1RH1LP2587ZA</v>
          </cell>
          <cell r="B5559">
            <v>15</v>
          </cell>
        </row>
        <row r="5560">
          <cell r="A5560" t="str">
            <v>1RH1LP2589ZA</v>
          </cell>
          <cell r="B5560">
            <v>15</v>
          </cell>
        </row>
        <row r="5561">
          <cell r="A5561" t="str">
            <v>1RH1LP2594ZA</v>
          </cell>
          <cell r="B5561">
            <v>15</v>
          </cell>
        </row>
        <row r="5562">
          <cell r="A5562" t="str">
            <v>1RH1LP2595ZA</v>
          </cell>
          <cell r="B5562">
            <v>15</v>
          </cell>
        </row>
        <row r="5563">
          <cell r="A5563" t="str">
            <v>1RH1LP2598ZAS1</v>
          </cell>
          <cell r="B5563">
            <v>70</v>
          </cell>
        </row>
        <row r="5564">
          <cell r="A5564" t="str">
            <v>1RH1LP2600ZA</v>
          </cell>
          <cell r="B5564">
            <v>2</v>
          </cell>
        </row>
        <row r="5565">
          <cell r="A5565" t="str">
            <v>1RH1LP2601ZA</v>
          </cell>
          <cell r="B5565">
            <v>2</v>
          </cell>
        </row>
        <row r="5566">
          <cell r="A5566" t="str">
            <v>1RH1LPFG510RAAZA</v>
          </cell>
          <cell r="B5566">
            <v>6</v>
          </cell>
        </row>
        <row r="5567">
          <cell r="A5567" t="str">
            <v>1RH1LPFG510RDAZA</v>
          </cell>
          <cell r="B5567">
            <v>5</v>
          </cell>
        </row>
        <row r="5568">
          <cell r="A5568" t="str">
            <v>1RH1LPFG510REAZB</v>
          </cell>
          <cell r="B5568">
            <v>4</v>
          </cell>
        </row>
        <row r="5569">
          <cell r="A5569" t="str">
            <v>1RH1LPFG520RAAWA</v>
          </cell>
          <cell r="B5569">
            <v>8</v>
          </cell>
        </row>
        <row r="5570">
          <cell r="A5570" t="str">
            <v>1RH1LPFG520RAAXA</v>
          </cell>
          <cell r="B5570">
            <v>9</v>
          </cell>
        </row>
        <row r="5571">
          <cell r="A5571" t="str">
            <v>1RH1LPFG520RAAYA</v>
          </cell>
          <cell r="B5571">
            <v>8</v>
          </cell>
        </row>
        <row r="5572">
          <cell r="A5572" t="str">
            <v>1RH1LPFG520RAAYAT1</v>
          </cell>
          <cell r="B5572">
            <v>9</v>
          </cell>
        </row>
        <row r="5573">
          <cell r="A5573" t="str">
            <v>1RH1LPFG520RAAZA</v>
          </cell>
          <cell r="B5573">
            <v>8</v>
          </cell>
        </row>
        <row r="5574">
          <cell r="A5574" t="str">
            <v>1RH1LPFG520RBAZA</v>
          </cell>
          <cell r="B5574">
            <v>6</v>
          </cell>
        </row>
        <row r="5575">
          <cell r="A5575" t="str">
            <v>1RH1LPFG520RDAYA</v>
          </cell>
          <cell r="B5575">
            <v>7</v>
          </cell>
        </row>
        <row r="5576">
          <cell r="A5576" t="str">
            <v>1RH1LPFG520RDAZA</v>
          </cell>
          <cell r="B5576">
            <v>7</v>
          </cell>
        </row>
        <row r="5577">
          <cell r="A5577" t="str">
            <v>1RH1LPFG520REAYA</v>
          </cell>
          <cell r="B5577">
            <v>6</v>
          </cell>
        </row>
        <row r="5578">
          <cell r="A5578" t="str">
            <v>1RH1LPFG520REAZA</v>
          </cell>
          <cell r="B5578">
            <v>6</v>
          </cell>
        </row>
        <row r="5579">
          <cell r="A5579" t="str">
            <v>1RH1LPFG810RAMUA</v>
          </cell>
          <cell r="B5579">
            <v>12</v>
          </cell>
        </row>
        <row r="5580">
          <cell r="A5580" t="str">
            <v>1RH1LPFG810RAMVA</v>
          </cell>
          <cell r="B5580">
            <v>12</v>
          </cell>
        </row>
        <row r="5581">
          <cell r="A5581" t="str">
            <v>1RH1LPFG810RAMWA</v>
          </cell>
          <cell r="B5581">
            <v>12</v>
          </cell>
        </row>
        <row r="5582">
          <cell r="A5582" t="str">
            <v>1RH1LPFG810RAMXA</v>
          </cell>
          <cell r="B5582">
            <v>12</v>
          </cell>
        </row>
        <row r="5583">
          <cell r="A5583" t="str">
            <v>1RH1LPFG810RAMYA</v>
          </cell>
          <cell r="B5583">
            <v>12</v>
          </cell>
        </row>
        <row r="5584">
          <cell r="A5584" t="str">
            <v>1RH1LPFG810RAMZAK4</v>
          </cell>
          <cell r="B5584">
            <v>12</v>
          </cell>
        </row>
        <row r="5585">
          <cell r="A5585" t="str">
            <v>1RH1LPFG810RDMUA</v>
          </cell>
          <cell r="B5585">
            <v>10</v>
          </cell>
        </row>
        <row r="5586">
          <cell r="A5586" t="str">
            <v>1RH1LPFG810RDMVA</v>
          </cell>
          <cell r="B5586">
            <v>10</v>
          </cell>
        </row>
        <row r="5587">
          <cell r="A5587" t="str">
            <v>1RH1LPFG810RDMWA</v>
          </cell>
          <cell r="B5587">
            <v>10</v>
          </cell>
        </row>
        <row r="5588">
          <cell r="A5588" t="str">
            <v>1RH1LPFG810RDMXA</v>
          </cell>
          <cell r="B5588">
            <v>10</v>
          </cell>
        </row>
        <row r="5589">
          <cell r="A5589" t="str">
            <v>1RH1LPFG810RDMYA</v>
          </cell>
          <cell r="B5589">
            <v>10</v>
          </cell>
        </row>
        <row r="5590">
          <cell r="A5590" t="str">
            <v>1RH1LPFG810RDMZAK4</v>
          </cell>
          <cell r="B5590">
            <v>10</v>
          </cell>
        </row>
        <row r="5591">
          <cell r="A5591" t="str">
            <v>1RH1LPFG810REMUA</v>
          </cell>
          <cell r="B5591">
            <v>9</v>
          </cell>
        </row>
        <row r="5592">
          <cell r="A5592" t="str">
            <v>1RH1LPFG810REMVA</v>
          </cell>
          <cell r="B5592">
            <v>9</v>
          </cell>
        </row>
        <row r="5593">
          <cell r="A5593" t="str">
            <v>1RH1LPFG810REMWA</v>
          </cell>
          <cell r="B5593">
            <v>9</v>
          </cell>
        </row>
        <row r="5594">
          <cell r="A5594" t="str">
            <v>1RH1LPFG810REMXA</v>
          </cell>
          <cell r="B5594">
            <v>9</v>
          </cell>
        </row>
        <row r="5595">
          <cell r="A5595" t="str">
            <v>1RH1LPFG810REMYA</v>
          </cell>
          <cell r="B5595">
            <v>9</v>
          </cell>
        </row>
        <row r="5596">
          <cell r="A5596" t="str">
            <v>1RH1LPFG810REMZAK4</v>
          </cell>
          <cell r="B5596">
            <v>9</v>
          </cell>
        </row>
        <row r="5597">
          <cell r="A5597" t="str">
            <v>1RH1LPHT82460XS1</v>
          </cell>
          <cell r="B5597">
            <v>4</v>
          </cell>
        </row>
        <row r="5598">
          <cell r="A5598" t="str">
            <v>1RH1LPHT82480AGR1</v>
          </cell>
          <cell r="B5598">
            <v>5</v>
          </cell>
        </row>
        <row r="5599">
          <cell r="A5599" t="str">
            <v>1RH1LPHT82480AGS5</v>
          </cell>
          <cell r="B5599">
            <v>5</v>
          </cell>
        </row>
        <row r="5600">
          <cell r="A5600" t="str">
            <v>1RH1LPHT82480AGS6</v>
          </cell>
          <cell r="B5600">
            <v>5</v>
          </cell>
        </row>
        <row r="5601">
          <cell r="A5601" t="str">
            <v>1RH1LPHT82480AGZA</v>
          </cell>
          <cell r="B5601">
            <v>5</v>
          </cell>
        </row>
        <row r="5602">
          <cell r="A5602" t="str">
            <v>1RH1LPHT82480ALR1</v>
          </cell>
          <cell r="B5602">
            <v>9</v>
          </cell>
        </row>
        <row r="5603">
          <cell r="A5603" t="str">
            <v>1RH1LPHT82480ALS5</v>
          </cell>
          <cell r="B5603">
            <v>9</v>
          </cell>
        </row>
        <row r="5604">
          <cell r="A5604" t="str">
            <v>1RH1LPHT82480ALS6</v>
          </cell>
          <cell r="B5604">
            <v>5</v>
          </cell>
        </row>
        <row r="5605">
          <cell r="A5605" t="str">
            <v>1RH1LPHT82480BRR1</v>
          </cell>
          <cell r="B5605">
            <v>5</v>
          </cell>
        </row>
        <row r="5606">
          <cell r="A5606" t="str">
            <v>1RH1LPHT82480BRS5</v>
          </cell>
          <cell r="B5606">
            <v>5</v>
          </cell>
        </row>
        <row r="5607">
          <cell r="A5607" t="str">
            <v>1RH1LPHT82480BRS6</v>
          </cell>
          <cell r="B5607">
            <v>5</v>
          </cell>
        </row>
        <row r="5608">
          <cell r="A5608" t="str">
            <v>1RH1LPHT82480BRZA</v>
          </cell>
          <cell r="B5608">
            <v>5</v>
          </cell>
        </row>
        <row r="5609">
          <cell r="A5609" t="str">
            <v>1RH1LPHT82480MR1</v>
          </cell>
          <cell r="B5609">
            <v>5</v>
          </cell>
        </row>
        <row r="5610">
          <cell r="A5610" t="str">
            <v>1RH1LPHT82480MS6</v>
          </cell>
          <cell r="B5610">
            <v>5</v>
          </cell>
        </row>
        <row r="5611">
          <cell r="A5611" t="str">
            <v>1RH1LPHT82480MZA</v>
          </cell>
          <cell r="B5611">
            <v>5</v>
          </cell>
        </row>
        <row r="5612">
          <cell r="A5612" t="str">
            <v>1RH1LPHT82480NZR1</v>
          </cell>
          <cell r="B5612">
            <v>5</v>
          </cell>
        </row>
        <row r="5613">
          <cell r="A5613" t="str">
            <v>1RH1LPHT82480NZS5</v>
          </cell>
          <cell r="B5613">
            <v>5</v>
          </cell>
        </row>
        <row r="5614">
          <cell r="A5614" t="str">
            <v>1RH1LPHT82480NZS6</v>
          </cell>
          <cell r="B5614">
            <v>5</v>
          </cell>
        </row>
        <row r="5615">
          <cell r="A5615" t="str">
            <v>1RH1LPHT82480NZZA</v>
          </cell>
          <cell r="B5615">
            <v>5</v>
          </cell>
        </row>
        <row r="5616">
          <cell r="A5616" t="str">
            <v>1RH1LPHT82480SAR1</v>
          </cell>
          <cell r="B5616">
            <v>5</v>
          </cell>
        </row>
        <row r="5617">
          <cell r="A5617" t="str">
            <v>1RH1LPHT82480SAS5</v>
          </cell>
          <cell r="B5617">
            <v>5</v>
          </cell>
        </row>
        <row r="5618">
          <cell r="A5618" t="str">
            <v>1RH1LPHT82480SAS6</v>
          </cell>
          <cell r="B5618">
            <v>5</v>
          </cell>
        </row>
        <row r="5619">
          <cell r="A5619" t="str">
            <v>1RH1LPHT82480SAZA</v>
          </cell>
          <cell r="B5619">
            <v>5</v>
          </cell>
        </row>
        <row r="5620">
          <cell r="A5620" t="str">
            <v>1RH1LPHT82480SXZA</v>
          </cell>
          <cell r="B5620">
            <v>5</v>
          </cell>
        </row>
        <row r="5621">
          <cell r="A5621" t="str">
            <v>1RH1LPHT82480TWR1</v>
          </cell>
          <cell r="B5621">
            <v>5</v>
          </cell>
        </row>
        <row r="5622">
          <cell r="A5622" t="str">
            <v>1RH1LPHT82480TWS5</v>
          </cell>
          <cell r="B5622">
            <v>5</v>
          </cell>
        </row>
        <row r="5623">
          <cell r="A5623" t="str">
            <v>1RH1LPHT82480TWS6</v>
          </cell>
          <cell r="B5623">
            <v>5</v>
          </cell>
        </row>
        <row r="5624">
          <cell r="A5624" t="str">
            <v>1RH1LPHT82480TWZA</v>
          </cell>
          <cell r="B5624">
            <v>5</v>
          </cell>
        </row>
        <row r="5625">
          <cell r="A5625" t="str">
            <v>1RH1LPHT82480XR1</v>
          </cell>
          <cell r="B5625">
            <v>5</v>
          </cell>
        </row>
        <row r="5626">
          <cell r="A5626" t="str">
            <v>1RH1LPHT82480XS1</v>
          </cell>
          <cell r="B5626">
            <v>5</v>
          </cell>
        </row>
        <row r="5627">
          <cell r="A5627" t="str">
            <v>1RH1LPHT82480XS2</v>
          </cell>
          <cell r="B5627">
            <v>5</v>
          </cell>
        </row>
        <row r="5628">
          <cell r="A5628" t="str">
            <v>1RH1LPHT82480XS3</v>
          </cell>
          <cell r="B5628">
            <v>5</v>
          </cell>
        </row>
        <row r="5629">
          <cell r="A5629" t="str">
            <v>1RH1LPHT82480XS4</v>
          </cell>
          <cell r="B5629">
            <v>5</v>
          </cell>
        </row>
        <row r="5630">
          <cell r="A5630" t="str">
            <v>1RH1LPHT82480XS5</v>
          </cell>
          <cell r="B5630">
            <v>5</v>
          </cell>
        </row>
        <row r="5631">
          <cell r="A5631" t="str">
            <v>1RH1LPHT82480XS6</v>
          </cell>
          <cell r="B5631">
            <v>5</v>
          </cell>
        </row>
        <row r="5632">
          <cell r="A5632" t="str">
            <v>1RH1LPHT82480XZA</v>
          </cell>
          <cell r="B5632">
            <v>5</v>
          </cell>
        </row>
        <row r="5633">
          <cell r="A5633" t="str">
            <v>1RH1LPHTS32AG1ZA</v>
          </cell>
          <cell r="B5633">
            <v>5</v>
          </cell>
        </row>
        <row r="5634">
          <cell r="A5634" t="str">
            <v>1RH1LPHTS32AG1ZAR1</v>
          </cell>
          <cell r="B5634">
            <v>1</v>
          </cell>
        </row>
        <row r="5635">
          <cell r="A5635" t="str">
            <v>1RH1LPHTS32AG1ZAS3</v>
          </cell>
          <cell r="B5635">
            <v>5</v>
          </cell>
        </row>
        <row r="5636">
          <cell r="A5636" t="str">
            <v>1RH1LPHTS32AG2R1</v>
          </cell>
          <cell r="B5636">
            <v>5</v>
          </cell>
        </row>
        <row r="5637">
          <cell r="A5637" t="str">
            <v>1RH1LPHTS32AG2S3</v>
          </cell>
          <cell r="B5637">
            <v>5</v>
          </cell>
        </row>
        <row r="5638">
          <cell r="A5638" t="str">
            <v>1RH1LPHTS32AG2S5</v>
          </cell>
          <cell r="B5638">
            <v>5</v>
          </cell>
        </row>
        <row r="5639">
          <cell r="A5639" t="str">
            <v>1RH1LPHTS32AG2S6</v>
          </cell>
          <cell r="B5639">
            <v>5</v>
          </cell>
        </row>
        <row r="5640">
          <cell r="A5640" t="str">
            <v>1RH1LPHTS32AG2ZA</v>
          </cell>
          <cell r="B5640">
            <v>5</v>
          </cell>
        </row>
        <row r="5641">
          <cell r="A5641" t="str">
            <v>1RH1LPHTS32AL1ZAR1</v>
          </cell>
          <cell r="B5641">
            <v>1</v>
          </cell>
        </row>
        <row r="5642">
          <cell r="A5642" t="str">
            <v>1RH1LPHTS32AL1ZAS3</v>
          </cell>
          <cell r="B5642">
            <v>9</v>
          </cell>
        </row>
        <row r="5643">
          <cell r="A5643" t="str">
            <v>1RH1LPHTS32AL2R1</v>
          </cell>
          <cell r="B5643">
            <v>9</v>
          </cell>
        </row>
        <row r="5644">
          <cell r="A5644" t="str">
            <v>1RH1LPHTS32AL2S5</v>
          </cell>
          <cell r="B5644">
            <v>9</v>
          </cell>
        </row>
        <row r="5645">
          <cell r="A5645" t="str">
            <v>1RH1LPHTS32AL2S6</v>
          </cell>
          <cell r="B5645">
            <v>9</v>
          </cell>
        </row>
        <row r="5646">
          <cell r="A5646" t="str">
            <v>1RH1LPHTS32BR1ZA</v>
          </cell>
          <cell r="B5646">
            <v>5</v>
          </cell>
        </row>
        <row r="5647">
          <cell r="A5647" t="str">
            <v>1RH1LPHTS32BR1ZAR1</v>
          </cell>
          <cell r="B5647">
            <v>1</v>
          </cell>
        </row>
        <row r="5648">
          <cell r="A5648" t="str">
            <v>1RH1LPHTS32BR1ZAS3</v>
          </cell>
          <cell r="B5648">
            <v>5</v>
          </cell>
        </row>
        <row r="5649">
          <cell r="A5649" t="str">
            <v>1RH1LPHTS32BR2R1</v>
          </cell>
          <cell r="B5649">
            <v>5</v>
          </cell>
        </row>
        <row r="5650">
          <cell r="A5650" t="str">
            <v>1RH1LPHTS32BR2S5</v>
          </cell>
          <cell r="B5650">
            <v>5</v>
          </cell>
        </row>
        <row r="5651">
          <cell r="A5651" t="str">
            <v>1RH1LPHTS32BR2S6</v>
          </cell>
          <cell r="B5651">
            <v>5</v>
          </cell>
        </row>
        <row r="5652">
          <cell r="A5652" t="str">
            <v>1RH1LPHTS32BR2ZA</v>
          </cell>
          <cell r="B5652">
            <v>5</v>
          </cell>
        </row>
        <row r="5653">
          <cell r="A5653" t="str">
            <v>1RH1LPHTS32LA1ZA</v>
          </cell>
          <cell r="B5653">
            <v>5</v>
          </cell>
        </row>
        <row r="5654">
          <cell r="A5654" t="str">
            <v>1RH1LPHTS32LA1ZAR1</v>
          </cell>
          <cell r="B5654">
            <v>1</v>
          </cell>
        </row>
        <row r="5655">
          <cell r="A5655" t="str">
            <v>1RH1LPHTS32LA1ZAS2</v>
          </cell>
          <cell r="B5655">
            <v>5</v>
          </cell>
        </row>
        <row r="5656">
          <cell r="A5656" t="str">
            <v>1RH1LPHTS32LA1ZAS3</v>
          </cell>
          <cell r="B5656">
            <v>5</v>
          </cell>
        </row>
        <row r="5657">
          <cell r="A5657" t="str">
            <v>1RH1LPHTS32LA2R1</v>
          </cell>
          <cell r="B5657">
            <v>5</v>
          </cell>
        </row>
        <row r="5658">
          <cell r="A5658" t="str">
            <v>1RH1LPHTS32LA2S3</v>
          </cell>
          <cell r="B5658">
            <v>5</v>
          </cell>
        </row>
        <row r="5659">
          <cell r="A5659" t="str">
            <v>1RH1LPHTS32LA2S4</v>
          </cell>
          <cell r="B5659">
            <v>5</v>
          </cell>
        </row>
        <row r="5660">
          <cell r="A5660" t="str">
            <v>1RH1LPHTS32LA2S5</v>
          </cell>
          <cell r="B5660">
            <v>5</v>
          </cell>
        </row>
        <row r="5661">
          <cell r="A5661" t="str">
            <v>1RH1LPHTS32LA2S6</v>
          </cell>
          <cell r="B5661">
            <v>5</v>
          </cell>
        </row>
        <row r="5662">
          <cell r="A5662" t="str">
            <v>1RH1LPHTS32LA2ZA</v>
          </cell>
          <cell r="B5662">
            <v>5</v>
          </cell>
        </row>
        <row r="5663">
          <cell r="A5663" t="str">
            <v>1RH1LPHTS32M1ZAR1</v>
          </cell>
          <cell r="B5663">
            <v>1</v>
          </cell>
        </row>
        <row r="5664">
          <cell r="A5664" t="str">
            <v>1RH1LPHTS32M1ZAS3</v>
          </cell>
          <cell r="B5664">
            <v>5</v>
          </cell>
        </row>
        <row r="5665">
          <cell r="A5665" t="str">
            <v>1RH1LPHTS32M2R1</v>
          </cell>
          <cell r="B5665">
            <v>5</v>
          </cell>
        </row>
        <row r="5666">
          <cell r="A5666" t="str">
            <v>1RH1LPHTS32M2S3</v>
          </cell>
          <cell r="B5666">
            <v>5</v>
          </cell>
        </row>
        <row r="5667">
          <cell r="A5667" t="str">
            <v>1RH1LPHTS32M2S5</v>
          </cell>
          <cell r="B5667">
            <v>5</v>
          </cell>
        </row>
        <row r="5668">
          <cell r="A5668" t="str">
            <v>1RH1LPHTS32M2S6</v>
          </cell>
          <cell r="B5668">
            <v>5</v>
          </cell>
        </row>
        <row r="5669">
          <cell r="A5669" t="str">
            <v>1RH1LPHTS32M2ZA</v>
          </cell>
          <cell r="B5669">
            <v>5</v>
          </cell>
        </row>
        <row r="5670">
          <cell r="A5670" t="str">
            <v>1RH1LPHTS32ML1ZAR1</v>
          </cell>
          <cell r="B5670">
            <v>1</v>
          </cell>
        </row>
        <row r="5671">
          <cell r="A5671" t="str">
            <v>1RH1LPHTS32ML1ZAS3</v>
          </cell>
          <cell r="B5671">
            <v>5</v>
          </cell>
        </row>
        <row r="5672">
          <cell r="A5672" t="str">
            <v>1RH1LPHTS32ML2R1</v>
          </cell>
          <cell r="B5672">
            <v>5</v>
          </cell>
        </row>
        <row r="5673">
          <cell r="A5673" t="str">
            <v>1RH1LPHTS32ML2S5</v>
          </cell>
          <cell r="B5673">
            <v>5</v>
          </cell>
        </row>
        <row r="5674">
          <cell r="A5674" t="str">
            <v>1RH1LPHTS32ML2S6</v>
          </cell>
          <cell r="B5674">
            <v>5</v>
          </cell>
        </row>
        <row r="5675">
          <cell r="A5675" t="str">
            <v>1RH1LPHTS32ML2ZA</v>
          </cell>
          <cell r="B5675">
            <v>5</v>
          </cell>
        </row>
        <row r="5676">
          <cell r="A5676" t="str">
            <v>1RH1LPHTS32NZ1ZAR1</v>
          </cell>
          <cell r="B5676">
            <v>1</v>
          </cell>
        </row>
        <row r="5677">
          <cell r="A5677" t="str">
            <v>1RH1LPHTS32NZ1ZAS3</v>
          </cell>
          <cell r="B5677">
            <v>5</v>
          </cell>
        </row>
        <row r="5678">
          <cell r="A5678" t="str">
            <v>1RH1LPHTS32NZ2R1</v>
          </cell>
          <cell r="B5678">
            <v>5</v>
          </cell>
        </row>
        <row r="5679">
          <cell r="A5679" t="str">
            <v>1RH1LPHTS32NZ2S5</v>
          </cell>
          <cell r="B5679">
            <v>5</v>
          </cell>
        </row>
        <row r="5680">
          <cell r="A5680" t="str">
            <v>1RH1LPHTS32NZ2S6</v>
          </cell>
          <cell r="B5680">
            <v>5</v>
          </cell>
        </row>
        <row r="5681">
          <cell r="A5681" t="str">
            <v>1RH1LPHTS32NZ2ZA</v>
          </cell>
          <cell r="B5681">
            <v>5</v>
          </cell>
        </row>
        <row r="5682">
          <cell r="A5682" t="str">
            <v>1RH1LPHTS32SA1ZA</v>
          </cell>
          <cell r="B5682">
            <v>5</v>
          </cell>
        </row>
        <row r="5683">
          <cell r="A5683" t="str">
            <v>1RH1LPHTS32SA1ZAR1</v>
          </cell>
          <cell r="B5683">
            <v>1</v>
          </cell>
        </row>
        <row r="5684">
          <cell r="A5684" t="str">
            <v>1RH1LPHTS32SA1ZAS3</v>
          </cell>
          <cell r="B5684">
            <v>5</v>
          </cell>
        </row>
        <row r="5685">
          <cell r="A5685" t="str">
            <v>1RH1LPHTS32SA2R1</v>
          </cell>
          <cell r="B5685">
            <v>5</v>
          </cell>
        </row>
        <row r="5686">
          <cell r="A5686" t="str">
            <v>1RH1LPHTS32SA2S5</v>
          </cell>
          <cell r="B5686">
            <v>5</v>
          </cell>
        </row>
        <row r="5687">
          <cell r="A5687" t="str">
            <v>1RH1LPHTS32SA2S6</v>
          </cell>
          <cell r="B5687">
            <v>5</v>
          </cell>
        </row>
        <row r="5688">
          <cell r="A5688" t="str">
            <v>1RH1LPHTS32SA2ZA</v>
          </cell>
          <cell r="B5688">
            <v>5</v>
          </cell>
        </row>
        <row r="5689">
          <cell r="A5689" t="str">
            <v>1RH1LPHTS32SX2ZA</v>
          </cell>
          <cell r="B5689">
            <v>5</v>
          </cell>
        </row>
        <row r="5690">
          <cell r="A5690" t="str">
            <v>1RH1LPHTS32TW1ZAR1</v>
          </cell>
          <cell r="B5690">
            <v>1</v>
          </cell>
        </row>
        <row r="5691">
          <cell r="A5691" t="str">
            <v>1RH1LPHTS32TW1ZAS3</v>
          </cell>
          <cell r="B5691">
            <v>5</v>
          </cell>
        </row>
        <row r="5692">
          <cell r="A5692" t="str">
            <v>1RH1LPHTS32TW2R1</v>
          </cell>
          <cell r="B5692">
            <v>5</v>
          </cell>
        </row>
        <row r="5693">
          <cell r="A5693" t="str">
            <v>1RH1LPHTS32TW2S5</v>
          </cell>
          <cell r="B5693">
            <v>5</v>
          </cell>
        </row>
        <row r="5694">
          <cell r="A5694" t="str">
            <v>1RH1LPHTS32TW2S6</v>
          </cell>
          <cell r="B5694">
            <v>5</v>
          </cell>
        </row>
        <row r="5695">
          <cell r="A5695" t="str">
            <v>1RH1LPHTS32TW2ZA</v>
          </cell>
          <cell r="B5695">
            <v>5</v>
          </cell>
        </row>
        <row r="5696">
          <cell r="A5696" t="str">
            <v>1RH1LPHTSBASELAS1</v>
          </cell>
          <cell r="B5696">
            <v>5</v>
          </cell>
        </row>
        <row r="5697">
          <cell r="A5697" t="str">
            <v>1RH1LPMB2110RUKZA</v>
          </cell>
          <cell r="B5697">
            <v>14</v>
          </cell>
        </row>
        <row r="5698">
          <cell r="A5698" t="str">
            <v>1RH1LPMB2120CXMZA</v>
          </cell>
          <cell r="B5698">
            <v>7</v>
          </cell>
        </row>
        <row r="5699">
          <cell r="A5699" t="str">
            <v>1RH1LPMB2120GMYA</v>
          </cell>
          <cell r="B5699">
            <v>14</v>
          </cell>
        </row>
        <row r="5700">
          <cell r="A5700" t="str">
            <v>1RH1LPMB2120GMZA</v>
          </cell>
          <cell r="B5700">
            <v>14</v>
          </cell>
        </row>
        <row r="5701">
          <cell r="A5701" t="str">
            <v>1RH1LPMB2120HXMYA</v>
          </cell>
          <cell r="B5701">
            <v>7</v>
          </cell>
        </row>
        <row r="5702">
          <cell r="A5702" t="str">
            <v>1RH1LPMB2120HXMZA</v>
          </cell>
          <cell r="B5702">
            <v>7</v>
          </cell>
        </row>
        <row r="5703">
          <cell r="A5703" t="str">
            <v>1RH1LPMB2120JTMYA</v>
          </cell>
          <cell r="B5703">
            <v>14</v>
          </cell>
        </row>
        <row r="5704">
          <cell r="A5704" t="str">
            <v>1RH1LPMB2120JTMZA</v>
          </cell>
          <cell r="B5704">
            <v>14</v>
          </cell>
        </row>
        <row r="5705">
          <cell r="A5705" t="str">
            <v>1RH1LPMB2120SXMZA</v>
          </cell>
          <cell r="B5705">
            <v>7</v>
          </cell>
        </row>
        <row r="5706">
          <cell r="A5706" t="str">
            <v>1RH1LPMB2123CNM-R1</v>
          </cell>
          <cell r="B5706">
            <v>6</v>
          </cell>
        </row>
        <row r="5707">
          <cell r="A5707" t="str">
            <v>1RH1LPMB2123CNMZA</v>
          </cell>
          <cell r="B5707">
            <v>6</v>
          </cell>
        </row>
        <row r="5708">
          <cell r="A5708" t="str">
            <v>1RH1LPMB2128CNMZA</v>
          </cell>
          <cell r="B5708">
            <v>6</v>
          </cell>
        </row>
        <row r="5709">
          <cell r="A5709" t="str">
            <v>1RH1LPMB2128TWMZA</v>
          </cell>
          <cell r="B5709">
            <v>7</v>
          </cell>
        </row>
        <row r="5710">
          <cell r="A5710" t="str">
            <v>1RH1LPMB2130CXK-R1</v>
          </cell>
          <cell r="B5710">
            <v>36</v>
          </cell>
        </row>
        <row r="5711">
          <cell r="A5711" t="str">
            <v>1RH1LPMB2130CXKZA</v>
          </cell>
          <cell r="B5711">
            <v>36</v>
          </cell>
        </row>
        <row r="5712">
          <cell r="A5712" t="str">
            <v>1RH1LPMB2130CXM-R1</v>
          </cell>
          <cell r="B5712">
            <v>7</v>
          </cell>
        </row>
        <row r="5713">
          <cell r="A5713" t="str">
            <v>1RH1LPMB2130CXMZA</v>
          </cell>
          <cell r="B5713">
            <v>7</v>
          </cell>
        </row>
        <row r="5714">
          <cell r="A5714" t="str">
            <v>1RH1LPMB2130GMYA</v>
          </cell>
          <cell r="B5714">
            <v>14</v>
          </cell>
        </row>
        <row r="5715">
          <cell r="A5715" t="str">
            <v>1RH1LPMB2130GMZA</v>
          </cell>
          <cell r="B5715">
            <v>14</v>
          </cell>
        </row>
        <row r="5716">
          <cell r="A5716" t="str">
            <v>1RH1LPMB2130HXMYA</v>
          </cell>
          <cell r="B5716">
            <v>7</v>
          </cell>
        </row>
        <row r="5717">
          <cell r="A5717" t="str">
            <v>1RH1LPMB2130HXMZA</v>
          </cell>
          <cell r="B5717">
            <v>7</v>
          </cell>
        </row>
        <row r="5718">
          <cell r="A5718" t="str">
            <v>1RH1LPMB2130JTMYA</v>
          </cell>
          <cell r="B5718">
            <v>14</v>
          </cell>
        </row>
        <row r="5719">
          <cell r="A5719" t="str">
            <v>1RH1LPMB2130JTMZA</v>
          </cell>
          <cell r="B5719">
            <v>14</v>
          </cell>
        </row>
        <row r="5720">
          <cell r="A5720" t="str">
            <v>1RH1LPMB2130LAMZA</v>
          </cell>
          <cell r="B5720">
            <v>8</v>
          </cell>
        </row>
        <row r="5721">
          <cell r="A5721" t="str">
            <v>1RH1LPMB2130RUMZA</v>
          </cell>
          <cell r="B5721">
            <v>6</v>
          </cell>
        </row>
        <row r="5722">
          <cell r="A5722" t="str">
            <v>1RH1LPMB2130SXMZA</v>
          </cell>
          <cell r="B5722">
            <v>7</v>
          </cell>
        </row>
        <row r="5723">
          <cell r="A5723" t="str">
            <v>1RH1LPMB2133CNM-R1</v>
          </cell>
          <cell r="B5723">
            <v>6</v>
          </cell>
        </row>
        <row r="5724">
          <cell r="A5724" t="str">
            <v>1RH1LPMB2133CNMZA</v>
          </cell>
          <cell r="B5724">
            <v>6</v>
          </cell>
        </row>
        <row r="5725">
          <cell r="A5725" t="str">
            <v>1RH1LPMB2137CXMZA</v>
          </cell>
          <cell r="B5725">
            <v>7</v>
          </cell>
        </row>
        <row r="5726">
          <cell r="A5726" t="str">
            <v>1RH1LPMB2137RUMZA</v>
          </cell>
          <cell r="B5726">
            <v>6</v>
          </cell>
        </row>
        <row r="5727">
          <cell r="A5727" t="str">
            <v>1RH1LPMB2138CNM-R1</v>
          </cell>
          <cell r="B5727">
            <v>6</v>
          </cell>
        </row>
        <row r="5728">
          <cell r="A5728" t="str">
            <v>1RH1LPMB2138CNMZA</v>
          </cell>
          <cell r="B5728">
            <v>6</v>
          </cell>
        </row>
        <row r="5729">
          <cell r="A5729" t="str">
            <v>1RH1LPMB2170CXM-R1</v>
          </cell>
          <cell r="B5729">
            <v>7</v>
          </cell>
        </row>
        <row r="5730">
          <cell r="A5730" t="str">
            <v>1RH1LPMB2170CXMZA</v>
          </cell>
          <cell r="B5730">
            <v>7</v>
          </cell>
        </row>
        <row r="5731">
          <cell r="A5731" t="str">
            <v>1RH1LPMB2170GMYA</v>
          </cell>
          <cell r="B5731">
            <v>14</v>
          </cell>
        </row>
        <row r="5732">
          <cell r="A5732" t="str">
            <v>1RH1LPMB2170GMZA</v>
          </cell>
          <cell r="B5732">
            <v>14</v>
          </cell>
        </row>
        <row r="5733">
          <cell r="A5733" t="str">
            <v>1RH1LPMB2170HXMYA</v>
          </cell>
          <cell r="B5733">
            <v>7</v>
          </cell>
        </row>
        <row r="5734">
          <cell r="A5734" t="str">
            <v>1RH1LPMB2170HXMZA</v>
          </cell>
          <cell r="B5734">
            <v>7</v>
          </cell>
        </row>
        <row r="5735">
          <cell r="A5735" t="str">
            <v>1RH1LPMB2170JTMYA</v>
          </cell>
          <cell r="B5735">
            <v>14</v>
          </cell>
        </row>
        <row r="5736">
          <cell r="A5736" t="str">
            <v>1RH1LPMB2170JTMZA</v>
          </cell>
          <cell r="B5736">
            <v>14</v>
          </cell>
        </row>
        <row r="5737">
          <cell r="A5737" t="str">
            <v>1RH1LPMB2170LAMZA</v>
          </cell>
          <cell r="B5737">
            <v>8</v>
          </cell>
        </row>
        <row r="5738">
          <cell r="A5738" t="str">
            <v>1RH1LPMB2170RUMZA</v>
          </cell>
          <cell r="B5738">
            <v>6</v>
          </cell>
        </row>
        <row r="5739">
          <cell r="A5739" t="str">
            <v>1RH1LPMB2170SXMZA</v>
          </cell>
          <cell r="B5739">
            <v>7</v>
          </cell>
        </row>
        <row r="5740">
          <cell r="A5740" t="str">
            <v>1RH1LPMB2173CNM-R1</v>
          </cell>
          <cell r="B5740">
            <v>6</v>
          </cell>
        </row>
        <row r="5741">
          <cell r="A5741" t="str">
            <v>1RH1LPMB2173CNMZA</v>
          </cell>
          <cell r="B5741">
            <v>6</v>
          </cell>
        </row>
        <row r="5742">
          <cell r="A5742" t="str">
            <v>1RH1LPMB2177CXM-R1</v>
          </cell>
          <cell r="B5742">
            <v>7</v>
          </cell>
        </row>
        <row r="5743">
          <cell r="A5743" t="str">
            <v>1RH1LPMB2177CXMZA</v>
          </cell>
          <cell r="B5743">
            <v>7</v>
          </cell>
        </row>
        <row r="5744">
          <cell r="A5744" t="str">
            <v>1RH1LPMB2177RUMZA</v>
          </cell>
          <cell r="B5744">
            <v>6</v>
          </cell>
        </row>
        <row r="5745">
          <cell r="A5745" t="str">
            <v>1RH1LPMB2178CNMZA</v>
          </cell>
          <cell r="B5745">
            <v>6</v>
          </cell>
        </row>
        <row r="5746">
          <cell r="A5746" t="str">
            <v>1RH1LPMB2178TWMZA</v>
          </cell>
          <cell r="B5746">
            <v>7</v>
          </cell>
        </row>
        <row r="5747">
          <cell r="A5747" t="str">
            <v>1RH1LPMB535JTM-S1</v>
          </cell>
          <cell r="B5747">
            <v>11</v>
          </cell>
        </row>
        <row r="5748">
          <cell r="A5748" t="str">
            <v>1RH1LPMB536CNMZA</v>
          </cell>
          <cell r="B5748">
            <v>8</v>
          </cell>
        </row>
        <row r="5749">
          <cell r="A5749" t="str">
            <v>1RH1LPMB536CXK-R1</v>
          </cell>
          <cell r="B5749">
            <v>46</v>
          </cell>
        </row>
        <row r="5750">
          <cell r="A5750" t="str">
            <v>1RH1LPMB536CXKZA</v>
          </cell>
          <cell r="B5750">
            <v>46</v>
          </cell>
        </row>
        <row r="5751">
          <cell r="A5751" t="str">
            <v>1RH1LPMB536CXM-R1</v>
          </cell>
          <cell r="B5751">
            <v>11</v>
          </cell>
        </row>
        <row r="5752">
          <cell r="A5752" t="str">
            <v>1RH1LPMB536CXMZA</v>
          </cell>
          <cell r="B5752">
            <v>8</v>
          </cell>
        </row>
        <row r="5753">
          <cell r="A5753" t="str">
            <v>1RH1LPMB536LAMZA</v>
          </cell>
          <cell r="B5753">
            <v>9</v>
          </cell>
        </row>
        <row r="5754">
          <cell r="A5754" t="str">
            <v>1RH1LPMB536RUMZA</v>
          </cell>
          <cell r="B5754">
            <v>7</v>
          </cell>
        </row>
        <row r="5755">
          <cell r="A5755" t="str">
            <v>1RH1LPMB536TWMZA</v>
          </cell>
          <cell r="B5755">
            <v>7</v>
          </cell>
        </row>
        <row r="5756">
          <cell r="A5756" t="str">
            <v>1RH1LPMB537EUMZA</v>
          </cell>
          <cell r="B5756">
            <v>11</v>
          </cell>
        </row>
        <row r="5757">
          <cell r="A5757" t="str">
            <v>1RH1LPMB537JTM-R1</v>
          </cell>
          <cell r="B5757">
            <v>11</v>
          </cell>
        </row>
        <row r="5758">
          <cell r="A5758" t="str">
            <v>1RH1LPMB537JTMZA</v>
          </cell>
          <cell r="B5758">
            <v>8</v>
          </cell>
        </row>
        <row r="5759">
          <cell r="A5759" t="str">
            <v>1RH1LPMB539CNMZA</v>
          </cell>
          <cell r="B5759">
            <v>8</v>
          </cell>
        </row>
        <row r="5760">
          <cell r="A5760" t="str">
            <v>1RH1LPMB545CXMZA</v>
          </cell>
          <cell r="B5760">
            <v>8</v>
          </cell>
        </row>
        <row r="5761">
          <cell r="A5761" t="str">
            <v>1RH1LPMB545EUMZA</v>
          </cell>
          <cell r="B5761">
            <v>11</v>
          </cell>
        </row>
        <row r="5762">
          <cell r="A5762" t="str">
            <v>1RH1LPMB545JTC-R1</v>
          </cell>
          <cell r="B5762">
            <v>4</v>
          </cell>
        </row>
        <row r="5763">
          <cell r="A5763" t="str">
            <v>1RH1LPMB545JTC-T1</v>
          </cell>
          <cell r="B5763">
            <v>4</v>
          </cell>
        </row>
        <row r="5764">
          <cell r="A5764" t="str">
            <v>1RH1LPMB545JTCYA</v>
          </cell>
          <cell r="B5764">
            <v>1</v>
          </cell>
        </row>
        <row r="5765">
          <cell r="A5765" t="str">
            <v>1RH1LPMB545JTCZA</v>
          </cell>
          <cell r="B5765">
            <v>1</v>
          </cell>
        </row>
        <row r="5766">
          <cell r="A5766" t="str">
            <v>1RH1LPMB545JTK-R1</v>
          </cell>
          <cell r="B5766">
            <v>23</v>
          </cell>
        </row>
        <row r="5767">
          <cell r="A5767" t="str">
            <v>1RH1LPMB545JTK-T1</v>
          </cell>
          <cell r="B5767">
            <v>23</v>
          </cell>
        </row>
        <row r="5768">
          <cell r="A5768" t="str">
            <v>1RH1LPMB545JTKZA</v>
          </cell>
          <cell r="B5768">
            <v>24</v>
          </cell>
        </row>
        <row r="5769">
          <cell r="A5769" t="str">
            <v>1RH1LPMB545JTM-R1</v>
          </cell>
          <cell r="B5769">
            <v>11</v>
          </cell>
        </row>
        <row r="5770">
          <cell r="A5770" t="str">
            <v>1RH1LPMB545JTM-S1</v>
          </cell>
          <cell r="B5770">
            <v>11</v>
          </cell>
        </row>
        <row r="5771">
          <cell r="A5771" t="str">
            <v>1RH1LPMB545JTM-T1</v>
          </cell>
          <cell r="B5771">
            <v>11</v>
          </cell>
        </row>
        <row r="5772">
          <cell r="A5772" t="str">
            <v>1RH1LPMB545JTMZA</v>
          </cell>
          <cell r="B5772">
            <v>8</v>
          </cell>
        </row>
        <row r="5773">
          <cell r="A5773" t="str">
            <v>1RH1LPMB545LAMZA</v>
          </cell>
          <cell r="B5773">
            <v>9</v>
          </cell>
        </row>
        <row r="5774">
          <cell r="A5774" t="str">
            <v>1RH1LPMB545RUMZA</v>
          </cell>
          <cell r="B5774">
            <v>7</v>
          </cell>
        </row>
        <row r="5775">
          <cell r="A5775" t="str">
            <v>1RH1LPN1058YW-S1</v>
          </cell>
          <cell r="B5775">
            <v>2</v>
          </cell>
        </row>
        <row r="5776">
          <cell r="A5776" t="str">
            <v>1RH1LPN30BX2ASICS1</v>
          </cell>
          <cell r="B5776">
            <v>17</v>
          </cell>
        </row>
        <row r="5777">
          <cell r="A5777" t="str">
            <v>1RH1LPN32BX2ASICS1</v>
          </cell>
          <cell r="B5777">
            <v>10</v>
          </cell>
        </row>
        <row r="5778">
          <cell r="A5778" t="str">
            <v>1RH1LPN70BX2ASICS1</v>
          </cell>
          <cell r="B5778">
            <v>8</v>
          </cell>
        </row>
        <row r="5779">
          <cell r="A5779" t="str">
            <v>1RH1LPN70BX2ASICS2</v>
          </cell>
          <cell r="B5779">
            <v>8</v>
          </cell>
        </row>
        <row r="5780">
          <cell r="A5780" t="str">
            <v>1RH1LPN70BX2ASICS3</v>
          </cell>
          <cell r="B5780">
            <v>6</v>
          </cell>
        </row>
        <row r="5781">
          <cell r="A5781" t="str">
            <v>1RH1LPN70BX2ASICS4</v>
          </cell>
          <cell r="B5781">
            <v>8</v>
          </cell>
        </row>
        <row r="5782">
          <cell r="A5782" t="str">
            <v>1RH1LPN72BX2ASICS1</v>
          </cell>
          <cell r="B5782">
            <v>2</v>
          </cell>
        </row>
        <row r="5783">
          <cell r="A5783" t="str">
            <v>1RH1LPN72BX2ASICS2</v>
          </cell>
          <cell r="B5783">
            <v>2</v>
          </cell>
        </row>
        <row r="5784">
          <cell r="A5784" t="str">
            <v>1RH1LPN72BX2ASICS3</v>
          </cell>
          <cell r="B5784">
            <v>2</v>
          </cell>
        </row>
        <row r="5785">
          <cell r="A5785" t="str">
            <v>1RH1LPN72BX2ASICS4</v>
          </cell>
          <cell r="B5785">
            <v>2</v>
          </cell>
        </row>
        <row r="5786">
          <cell r="A5786" t="str">
            <v>1RH1LPNS300BX2S2</v>
          </cell>
          <cell r="B5786">
            <v>29</v>
          </cell>
        </row>
        <row r="5787">
          <cell r="A5787" t="str">
            <v>1RH1LPNS300BX2S3</v>
          </cell>
          <cell r="B5787">
            <v>29</v>
          </cell>
        </row>
        <row r="5788">
          <cell r="A5788" t="str">
            <v>1RH1LPNS300BX2S4</v>
          </cell>
          <cell r="B5788">
            <v>17</v>
          </cell>
        </row>
        <row r="5789">
          <cell r="A5789" t="str">
            <v>1RH1LPNS300BX2YA</v>
          </cell>
          <cell r="B5789">
            <v>17</v>
          </cell>
        </row>
        <row r="5790">
          <cell r="A5790" t="str">
            <v>1RH1LPNS300BX2ZA</v>
          </cell>
          <cell r="B5790">
            <v>17</v>
          </cell>
        </row>
        <row r="5791">
          <cell r="A5791" t="str">
            <v>1RH1LPNS300SX2ZA</v>
          </cell>
          <cell r="B5791">
            <v>17</v>
          </cell>
        </row>
        <row r="5792">
          <cell r="A5792" t="str">
            <v>1RH1LPNS320BX2S2</v>
          </cell>
          <cell r="B5792">
            <v>10</v>
          </cell>
        </row>
        <row r="5793">
          <cell r="A5793" t="str">
            <v>1RH1LPNS320BX2S3</v>
          </cell>
          <cell r="B5793">
            <v>10</v>
          </cell>
        </row>
        <row r="5794">
          <cell r="A5794" t="str">
            <v>1RH1LPNS320BX2S4</v>
          </cell>
          <cell r="B5794">
            <v>10</v>
          </cell>
        </row>
        <row r="5795">
          <cell r="A5795" t="str">
            <v>1RH1LPNS320BX2YA</v>
          </cell>
          <cell r="B5795">
            <v>10</v>
          </cell>
        </row>
        <row r="5796">
          <cell r="A5796" t="str">
            <v>1RH1LPNS320BX2ZA</v>
          </cell>
          <cell r="B5796">
            <v>10</v>
          </cell>
        </row>
        <row r="5797">
          <cell r="A5797" t="str">
            <v>1RH1LPNS500AG2S4</v>
          </cell>
          <cell r="B5797">
            <v>17</v>
          </cell>
        </row>
        <row r="5798">
          <cell r="A5798" t="str">
            <v>1RH1LPNS500AG2ZA</v>
          </cell>
          <cell r="B5798">
            <v>17</v>
          </cell>
        </row>
        <row r="5799">
          <cell r="A5799" t="str">
            <v>1RH1LPNS500BR2S4</v>
          </cell>
          <cell r="B5799">
            <v>23</v>
          </cell>
        </row>
        <row r="5800">
          <cell r="A5800" t="str">
            <v>1RH1LPNS500BR2YA</v>
          </cell>
          <cell r="B5800">
            <v>23</v>
          </cell>
        </row>
        <row r="5801">
          <cell r="A5801" t="str">
            <v>1RH1LPNS500BR2ZA</v>
          </cell>
          <cell r="B5801">
            <v>23</v>
          </cell>
        </row>
        <row r="5802">
          <cell r="A5802" t="str">
            <v>1RH1LPNS500BX2ASS1</v>
          </cell>
          <cell r="B5802">
            <v>17</v>
          </cell>
        </row>
        <row r="5803">
          <cell r="A5803" t="str">
            <v>1RH1LPNS500BX2ASS2</v>
          </cell>
          <cell r="B5803">
            <v>17</v>
          </cell>
        </row>
        <row r="5804">
          <cell r="A5804" t="str">
            <v>1RH1LPNS500BX2ASS3</v>
          </cell>
          <cell r="B5804">
            <v>17</v>
          </cell>
        </row>
        <row r="5805">
          <cell r="A5805" t="str">
            <v>1RH1LPNS500BX2ASS4</v>
          </cell>
          <cell r="B5805">
            <v>17</v>
          </cell>
        </row>
        <row r="5806">
          <cell r="A5806" t="str">
            <v>1RH1LPNS500BX2S1</v>
          </cell>
          <cell r="B5806">
            <v>29</v>
          </cell>
        </row>
        <row r="5807">
          <cell r="A5807" t="str">
            <v>1RH1LPNS500BX2S2</v>
          </cell>
          <cell r="B5807">
            <v>29</v>
          </cell>
        </row>
        <row r="5808">
          <cell r="A5808" t="str">
            <v>1RH1LPNS500BX2S3</v>
          </cell>
          <cell r="B5808">
            <v>29</v>
          </cell>
        </row>
        <row r="5809">
          <cell r="A5809" t="str">
            <v>1RH1LPNS500BX2S4</v>
          </cell>
          <cell r="B5809">
            <v>17</v>
          </cell>
        </row>
        <row r="5810">
          <cell r="A5810" t="str">
            <v>1RH1LPNS500BX2S5</v>
          </cell>
          <cell r="B5810">
            <v>17</v>
          </cell>
        </row>
        <row r="5811">
          <cell r="A5811" t="str">
            <v>1RH1LPNS500BX2S7</v>
          </cell>
          <cell r="B5811">
            <v>17</v>
          </cell>
        </row>
        <row r="5812">
          <cell r="A5812" t="str">
            <v>1RH1LPNS500BX2YA</v>
          </cell>
          <cell r="B5812">
            <v>17</v>
          </cell>
        </row>
        <row r="5813">
          <cell r="A5813" t="str">
            <v>1RH1LPNS500BX2ZA</v>
          </cell>
          <cell r="B5813">
            <v>17</v>
          </cell>
        </row>
        <row r="5814">
          <cell r="A5814" t="str">
            <v>1RH1LPNS500SA2YA</v>
          </cell>
          <cell r="B5814">
            <v>17</v>
          </cell>
        </row>
        <row r="5815">
          <cell r="A5815" t="str">
            <v>1RH1LPNS500SA2ZA</v>
          </cell>
          <cell r="B5815">
            <v>17</v>
          </cell>
        </row>
        <row r="5816">
          <cell r="A5816" t="str">
            <v>1RH1LPNS5162XS5</v>
          </cell>
          <cell r="B5816">
            <v>12</v>
          </cell>
        </row>
        <row r="5817">
          <cell r="A5817" t="str">
            <v>1RH1LPNS5170XS5</v>
          </cell>
          <cell r="B5817">
            <v>10</v>
          </cell>
        </row>
        <row r="5818">
          <cell r="A5818" t="str">
            <v>1RH1LPNS5171XS5</v>
          </cell>
          <cell r="B5818">
            <v>16</v>
          </cell>
        </row>
        <row r="5819">
          <cell r="A5819" t="str">
            <v>1RH1LPNS5172XS5</v>
          </cell>
          <cell r="B5819">
            <v>32</v>
          </cell>
        </row>
        <row r="5820">
          <cell r="A5820" t="str">
            <v>1RH1LPNS5172XZA</v>
          </cell>
          <cell r="B5820">
            <v>32</v>
          </cell>
        </row>
        <row r="5821">
          <cell r="A5821" t="str">
            <v>1RH1LPNS5173X-S3</v>
          </cell>
          <cell r="B5821">
            <v>4</v>
          </cell>
        </row>
        <row r="5822">
          <cell r="A5822" t="str">
            <v>1RH1LPNS5173XS5</v>
          </cell>
          <cell r="B5822">
            <v>4</v>
          </cell>
        </row>
        <row r="5823">
          <cell r="A5823" t="str">
            <v>1RH1LPNS5174X-S3</v>
          </cell>
          <cell r="B5823">
            <v>8</v>
          </cell>
        </row>
        <row r="5824">
          <cell r="A5824" t="str">
            <v>1RH1LPNS5174X-S4</v>
          </cell>
          <cell r="B5824">
            <v>8</v>
          </cell>
        </row>
        <row r="5825">
          <cell r="A5825" t="str">
            <v>1RH1LPNS5174XS5</v>
          </cell>
          <cell r="B5825">
            <v>8</v>
          </cell>
        </row>
        <row r="5826">
          <cell r="A5826" t="str">
            <v>1RH1LPNS5180XS5</v>
          </cell>
          <cell r="B5826">
            <v>1</v>
          </cell>
        </row>
        <row r="5827">
          <cell r="A5827" t="str">
            <v>1RH1LPNS520BX2ASS1</v>
          </cell>
          <cell r="B5827">
            <v>10</v>
          </cell>
        </row>
        <row r="5828">
          <cell r="A5828" t="str">
            <v>1RH1LPNS520BX2ASS2</v>
          </cell>
          <cell r="B5828">
            <v>10</v>
          </cell>
        </row>
        <row r="5829">
          <cell r="A5829" t="str">
            <v>1RH1LPNS520BX2ASS3</v>
          </cell>
          <cell r="B5829">
            <v>10</v>
          </cell>
        </row>
        <row r="5830">
          <cell r="A5830" t="str">
            <v>1RH1LPNS520BX2ASS4</v>
          </cell>
          <cell r="B5830">
            <v>10</v>
          </cell>
        </row>
        <row r="5831">
          <cell r="A5831" t="str">
            <v>1RH1LPNS520BX2S2</v>
          </cell>
          <cell r="B5831">
            <v>10</v>
          </cell>
        </row>
        <row r="5832">
          <cell r="A5832" t="str">
            <v>1RH1LPNS520BX2S3</v>
          </cell>
          <cell r="B5832">
            <v>10</v>
          </cell>
        </row>
        <row r="5833">
          <cell r="A5833" t="str">
            <v>1RH1LPNS520BX2S4</v>
          </cell>
          <cell r="B5833">
            <v>10</v>
          </cell>
        </row>
        <row r="5834">
          <cell r="A5834" t="str">
            <v>1RH1LPNS520BX2S5</v>
          </cell>
          <cell r="B5834">
            <v>10</v>
          </cell>
        </row>
        <row r="5835">
          <cell r="A5835" t="str">
            <v>1RH1LPNS520BX2YA</v>
          </cell>
          <cell r="B5835">
            <v>10</v>
          </cell>
        </row>
        <row r="5836">
          <cell r="A5836" t="str">
            <v>1RH1LPNS520BX2ZA</v>
          </cell>
          <cell r="B5836">
            <v>10</v>
          </cell>
        </row>
        <row r="5837">
          <cell r="A5837" t="str">
            <v>1RH1LPNS5290CES5</v>
          </cell>
          <cell r="B5837">
            <v>5</v>
          </cell>
        </row>
        <row r="5838">
          <cell r="A5838" t="str">
            <v>1RH1LPNS700AL2ZA</v>
          </cell>
          <cell r="B5838">
            <v>8</v>
          </cell>
        </row>
        <row r="5839">
          <cell r="A5839" t="str">
            <v>1RH1LPNS700BX2-S1</v>
          </cell>
          <cell r="B5839">
            <v>9</v>
          </cell>
        </row>
        <row r="5840">
          <cell r="A5840" t="str">
            <v>1RH1LPNS700BX2-S2</v>
          </cell>
          <cell r="B5840">
            <v>8</v>
          </cell>
        </row>
        <row r="5841">
          <cell r="A5841" t="str">
            <v>1RH1LPNS700BX2-S3</v>
          </cell>
          <cell r="B5841">
            <v>8</v>
          </cell>
        </row>
        <row r="5842">
          <cell r="A5842" t="str">
            <v>1RH1LPNS700BX2-S4</v>
          </cell>
          <cell r="B5842">
            <v>8</v>
          </cell>
        </row>
        <row r="5843">
          <cell r="A5843" t="str">
            <v>1RH1LPNS700BX2ZA</v>
          </cell>
          <cell r="B5843">
            <v>8</v>
          </cell>
        </row>
        <row r="5844">
          <cell r="A5844" t="str">
            <v>1RH1LPNS700M2ZA</v>
          </cell>
          <cell r="B5844">
            <v>8</v>
          </cell>
        </row>
        <row r="5845">
          <cell r="A5845" t="str">
            <v>1RH1LPNS720BX2-S1</v>
          </cell>
          <cell r="B5845">
            <v>2</v>
          </cell>
        </row>
        <row r="5846">
          <cell r="A5846" t="str">
            <v>1RH1LPNS720BX2-S2</v>
          </cell>
          <cell r="B5846">
            <v>2</v>
          </cell>
        </row>
        <row r="5847">
          <cell r="A5847" t="str">
            <v>1RH1LPNS720BX2-S3</v>
          </cell>
          <cell r="B5847">
            <v>2</v>
          </cell>
        </row>
        <row r="5848">
          <cell r="A5848" t="str">
            <v>1RH1LPNS720BX2-S4</v>
          </cell>
          <cell r="B5848">
            <v>2</v>
          </cell>
        </row>
        <row r="5849">
          <cell r="A5849" t="str">
            <v>1RH1LPNS720BX2ZA</v>
          </cell>
          <cell r="B5849">
            <v>2</v>
          </cell>
        </row>
        <row r="5850">
          <cell r="A5850" t="str">
            <v>1RH1LPS1015CSK1</v>
          </cell>
          <cell r="B5850">
            <v>7</v>
          </cell>
        </row>
        <row r="5851">
          <cell r="A5851" t="str">
            <v>1RH1LPS1015CSZA</v>
          </cell>
          <cell r="B5851">
            <v>7</v>
          </cell>
        </row>
        <row r="5852">
          <cell r="A5852" t="str">
            <v>1RH1LPS1026CSK1</v>
          </cell>
          <cell r="B5852">
            <v>9</v>
          </cell>
        </row>
        <row r="5853">
          <cell r="A5853" t="str">
            <v>1RH1LPS1026CSZA</v>
          </cell>
          <cell r="B5853">
            <v>8</v>
          </cell>
        </row>
        <row r="5854">
          <cell r="A5854" t="str">
            <v>1RH1LPS1058YW-R1</v>
          </cell>
          <cell r="B5854">
            <v>7</v>
          </cell>
        </row>
        <row r="5855">
          <cell r="A5855" t="str">
            <v>1RH1LPS1058YW-S1</v>
          </cell>
          <cell r="B5855">
            <v>7</v>
          </cell>
        </row>
        <row r="5856">
          <cell r="A5856" t="str">
            <v>1RH1LPS2087PZA</v>
          </cell>
          <cell r="B5856">
            <v>8</v>
          </cell>
        </row>
        <row r="5857">
          <cell r="A5857" t="str">
            <v>1RH1LPS7075SZA</v>
          </cell>
          <cell r="B5857">
            <v>3</v>
          </cell>
        </row>
        <row r="5858">
          <cell r="A5858" t="str">
            <v>1RH1LPS7077S-R1</v>
          </cell>
          <cell r="B5858">
            <v>7</v>
          </cell>
        </row>
        <row r="5859">
          <cell r="A5859" t="str">
            <v>1RH1LPS7097S-S1</v>
          </cell>
          <cell r="B5859">
            <v>5</v>
          </cell>
        </row>
        <row r="5860">
          <cell r="A5860" t="str">
            <v>1RH1LPS8127R-R1</v>
          </cell>
          <cell r="B5860">
            <v>12</v>
          </cell>
        </row>
        <row r="5861">
          <cell r="A5861" t="str">
            <v>1RH1LPS8127RZA</v>
          </cell>
          <cell r="B5861">
            <v>12</v>
          </cell>
        </row>
        <row r="5862">
          <cell r="A5862" t="str">
            <v>1RH1LPS8130RZA</v>
          </cell>
          <cell r="B5862">
            <v>12</v>
          </cell>
        </row>
        <row r="5863">
          <cell r="A5863" t="str">
            <v>1RH1LPS8147R-R1</v>
          </cell>
          <cell r="B5863">
            <v>12</v>
          </cell>
        </row>
        <row r="5864">
          <cell r="A5864" t="str">
            <v>1RH1LPS8147R-S1</v>
          </cell>
          <cell r="B5864">
            <v>12</v>
          </cell>
        </row>
        <row r="5865">
          <cell r="A5865" t="str">
            <v>1RH1LPS8147RZA</v>
          </cell>
          <cell r="B5865">
            <v>12</v>
          </cell>
        </row>
        <row r="5866">
          <cell r="A5866" t="str">
            <v>1RH1LPTDA1180SXR1</v>
          </cell>
          <cell r="B5866">
            <v>17</v>
          </cell>
        </row>
        <row r="5867">
          <cell r="A5867" t="str">
            <v>1RH1LPTDA1180SXT1</v>
          </cell>
          <cell r="B5867">
            <v>17</v>
          </cell>
        </row>
        <row r="5868">
          <cell r="A5868" t="str">
            <v>1RH1LPTDA1180SXZA</v>
          </cell>
          <cell r="B5868">
            <v>17</v>
          </cell>
        </row>
        <row r="5869">
          <cell r="A5869" t="str">
            <v>1RH1LPTDA6178XS1</v>
          </cell>
          <cell r="B5869">
            <v>15</v>
          </cell>
        </row>
        <row r="5870">
          <cell r="A5870" t="str">
            <v>1RH1LPTDA63811S1</v>
          </cell>
          <cell r="B5870">
            <v>41</v>
          </cell>
        </row>
        <row r="5871">
          <cell r="A5871" t="str">
            <v>1RH1LPTDA63811ZA</v>
          </cell>
          <cell r="B5871">
            <v>41</v>
          </cell>
        </row>
        <row r="5872">
          <cell r="A5872" t="str">
            <v>1RH1LPTDA6381AL1S1</v>
          </cell>
          <cell r="B5872">
            <v>25</v>
          </cell>
        </row>
        <row r="5873">
          <cell r="A5873" t="str">
            <v>1RH1LPTDA6381AL1ZA</v>
          </cell>
          <cell r="B5873">
            <v>25</v>
          </cell>
        </row>
        <row r="5874">
          <cell r="A5874" t="str">
            <v>1RH1LPTDA6381C1ZA</v>
          </cell>
          <cell r="B5874">
            <v>41</v>
          </cell>
        </row>
        <row r="5875">
          <cell r="A5875" t="str">
            <v>1RH1LPTDA6381CX1ZA</v>
          </cell>
          <cell r="B5875">
            <v>25</v>
          </cell>
        </row>
        <row r="5876">
          <cell r="A5876" t="str">
            <v>1RH1LPTDA6381SX1T1</v>
          </cell>
          <cell r="B5876">
            <v>25</v>
          </cell>
        </row>
        <row r="5877">
          <cell r="A5877" t="str">
            <v>1RH1LPTDA6381SX1ZA</v>
          </cell>
          <cell r="B5877">
            <v>25</v>
          </cell>
        </row>
        <row r="5878">
          <cell r="A5878" t="str">
            <v>1RH1LPTDA6381UK1ZA</v>
          </cell>
          <cell r="B5878">
            <v>25</v>
          </cell>
        </row>
        <row r="5879">
          <cell r="A5879" t="str">
            <v>1RH1LPTDA6381X1S1</v>
          </cell>
          <cell r="B5879">
            <v>25</v>
          </cell>
        </row>
        <row r="5880">
          <cell r="A5880" t="str">
            <v>1RH1LPTDA6381X1ZA</v>
          </cell>
          <cell r="B5880">
            <v>25</v>
          </cell>
        </row>
        <row r="5881">
          <cell r="A5881" t="str">
            <v>1RH1LPTDA63821S1</v>
          </cell>
          <cell r="B5881">
            <v>41</v>
          </cell>
        </row>
        <row r="5882">
          <cell r="A5882" t="str">
            <v>1RH1LPTDA63821ZA</v>
          </cell>
          <cell r="B5882">
            <v>41</v>
          </cell>
        </row>
        <row r="5883">
          <cell r="A5883" t="str">
            <v>1RH1LPTDA6382AG1S1</v>
          </cell>
          <cell r="B5883">
            <v>25</v>
          </cell>
        </row>
        <row r="5884">
          <cell r="A5884" t="str">
            <v>1RH1LPTDA6382AL1S1</v>
          </cell>
          <cell r="B5884">
            <v>25</v>
          </cell>
        </row>
        <row r="5885">
          <cell r="A5885" t="str">
            <v>1RH1LPTDA6382C1ZA</v>
          </cell>
          <cell r="B5885">
            <v>41</v>
          </cell>
        </row>
        <row r="5886">
          <cell r="A5886" t="str">
            <v>1RH1LPTDA6382CX1ZA</v>
          </cell>
          <cell r="B5886">
            <v>25</v>
          </cell>
        </row>
        <row r="5887">
          <cell r="A5887" t="str">
            <v>1RH1LPTDA6382SX1T1</v>
          </cell>
          <cell r="B5887">
            <v>25</v>
          </cell>
        </row>
        <row r="5888">
          <cell r="A5888" t="str">
            <v>1RH1LPTDA6382SX1ZA</v>
          </cell>
          <cell r="B5888">
            <v>25</v>
          </cell>
        </row>
        <row r="5889">
          <cell r="A5889" t="str">
            <v>1RH1LPTDA6382TW1S1</v>
          </cell>
          <cell r="B5889">
            <v>25</v>
          </cell>
        </row>
        <row r="5890">
          <cell r="A5890" t="str">
            <v>1RH1LPTDA6382TW1ZA</v>
          </cell>
          <cell r="B5890">
            <v>25</v>
          </cell>
        </row>
        <row r="5891">
          <cell r="A5891" t="str">
            <v>1RH1LPTDA6382UK1ZA</v>
          </cell>
          <cell r="B5891">
            <v>25</v>
          </cell>
        </row>
        <row r="5892">
          <cell r="A5892" t="str">
            <v>1RH1LPTDA6382X1S1</v>
          </cell>
          <cell r="B5892">
            <v>25</v>
          </cell>
        </row>
        <row r="5893">
          <cell r="A5893" t="str">
            <v>1RH1LPTDA6382X1ZA</v>
          </cell>
          <cell r="B5893">
            <v>25</v>
          </cell>
        </row>
        <row r="5894">
          <cell r="A5894" t="str">
            <v>1RH1LPTE82480SXZA</v>
          </cell>
          <cell r="B5894">
            <v>37</v>
          </cell>
        </row>
        <row r="5895">
          <cell r="A5895" t="str">
            <v>1RH1LPTE82483SXZA</v>
          </cell>
          <cell r="B5895">
            <v>73</v>
          </cell>
        </row>
        <row r="5896">
          <cell r="A5896" t="str">
            <v>1RH1LPTEM824RUZA</v>
          </cell>
          <cell r="B5896">
            <v>77</v>
          </cell>
        </row>
        <row r="5897">
          <cell r="A5897" t="str">
            <v>1RH1LPTGP700AL1-R1</v>
          </cell>
          <cell r="B5897">
            <v>3</v>
          </cell>
        </row>
        <row r="5898">
          <cell r="A5898" t="str">
            <v>1RH1LPTGP700AL1ZA</v>
          </cell>
          <cell r="B5898">
            <v>3</v>
          </cell>
        </row>
        <row r="5899">
          <cell r="A5899" t="str">
            <v>1RH1LPTGP700CE1-R1</v>
          </cell>
          <cell r="B5899">
            <v>3</v>
          </cell>
        </row>
        <row r="5900">
          <cell r="A5900" t="str">
            <v>1RH1LPTGP700CE1ZA</v>
          </cell>
          <cell r="B5900">
            <v>4</v>
          </cell>
        </row>
        <row r="5901">
          <cell r="A5901" t="str">
            <v>1RH1LPTGP700M1-R1</v>
          </cell>
          <cell r="B5901">
            <v>3</v>
          </cell>
        </row>
        <row r="5902">
          <cell r="A5902" t="str">
            <v>1RH1LPTGP700M1ZA</v>
          </cell>
          <cell r="B5902">
            <v>3</v>
          </cell>
        </row>
        <row r="5903">
          <cell r="A5903" t="str">
            <v>1RH1NCP1170</v>
          </cell>
          <cell r="B5903">
            <v>40</v>
          </cell>
        </row>
        <row r="5904">
          <cell r="A5904" t="str">
            <v>1RH1NCP1170CN</v>
          </cell>
          <cell r="B5904">
            <v>40</v>
          </cell>
        </row>
        <row r="5905">
          <cell r="A5905" t="str">
            <v>1RH1NCP1170M1</v>
          </cell>
          <cell r="B5905">
            <v>40</v>
          </cell>
        </row>
        <row r="5906">
          <cell r="A5906" t="str">
            <v>1RH1NCP1170NEV4</v>
          </cell>
          <cell r="B5906">
            <v>40</v>
          </cell>
        </row>
        <row r="5907">
          <cell r="A5907" t="str">
            <v>1RH1NCP1170XJ</v>
          </cell>
          <cell r="B5907">
            <v>40</v>
          </cell>
        </row>
        <row r="5908">
          <cell r="A5908" t="str">
            <v>1RH1NCP1170XJSX</v>
          </cell>
          <cell r="B5908">
            <v>0</v>
          </cell>
        </row>
        <row r="5909">
          <cell r="A5909" t="str">
            <v>1RH1NCP1171</v>
          </cell>
          <cell r="B5909">
            <v>28</v>
          </cell>
        </row>
        <row r="5910">
          <cell r="A5910" t="str">
            <v>1RH1NCP1171CN</v>
          </cell>
          <cell r="B5910">
            <v>28</v>
          </cell>
        </row>
        <row r="5911">
          <cell r="A5911" t="str">
            <v>1RH1NCP1171M1</v>
          </cell>
          <cell r="B5911">
            <v>28</v>
          </cell>
        </row>
        <row r="5912">
          <cell r="A5912" t="str">
            <v>1RH1NCP1171NEV4</v>
          </cell>
          <cell r="B5912">
            <v>28</v>
          </cell>
        </row>
        <row r="5913">
          <cell r="A5913" t="str">
            <v>1RH1NCP1171XJ</v>
          </cell>
          <cell r="B5913">
            <v>28</v>
          </cell>
        </row>
        <row r="5914">
          <cell r="A5914" t="str">
            <v>1RH1NCP1171XJSX</v>
          </cell>
          <cell r="B5914">
            <v>28</v>
          </cell>
        </row>
        <row r="5915">
          <cell r="A5915" t="str">
            <v>1RH1NCP1172</v>
          </cell>
          <cell r="B5915">
            <v>37</v>
          </cell>
        </row>
        <row r="5916">
          <cell r="A5916" t="str">
            <v>1RH1NCP1172CN</v>
          </cell>
          <cell r="B5916">
            <v>37</v>
          </cell>
        </row>
        <row r="5917">
          <cell r="A5917" t="str">
            <v>1RH1NCP1172M1</v>
          </cell>
          <cell r="B5917">
            <v>37</v>
          </cell>
        </row>
        <row r="5918">
          <cell r="A5918" t="str">
            <v>1RH1NCP1172NEV4</v>
          </cell>
          <cell r="B5918">
            <v>37</v>
          </cell>
        </row>
        <row r="5919">
          <cell r="A5919" t="str">
            <v>1RH1NCP1172XJ</v>
          </cell>
          <cell r="B5919">
            <v>37</v>
          </cell>
        </row>
        <row r="5920">
          <cell r="A5920" t="str">
            <v>1RH1NCP1172XJSX</v>
          </cell>
          <cell r="B5920">
            <v>37</v>
          </cell>
        </row>
        <row r="5921">
          <cell r="A5921" t="str">
            <v>1RH1NCP1173</v>
          </cell>
          <cell r="B5921">
            <v>51</v>
          </cell>
        </row>
        <row r="5922">
          <cell r="A5922" t="str">
            <v>1RH1NCP1173CN</v>
          </cell>
          <cell r="B5922">
            <v>51</v>
          </cell>
        </row>
        <row r="5923">
          <cell r="A5923" t="str">
            <v>1RH1NCP1173M1</v>
          </cell>
          <cell r="B5923">
            <v>51</v>
          </cell>
        </row>
        <row r="5924">
          <cell r="A5924" t="str">
            <v>1RH1NCP1173NEV4</v>
          </cell>
          <cell r="B5924">
            <v>51</v>
          </cell>
        </row>
        <row r="5925">
          <cell r="A5925" t="str">
            <v>1RH1NCP1173XJ</v>
          </cell>
          <cell r="B5925">
            <v>51</v>
          </cell>
        </row>
        <row r="5926">
          <cell r="A5926" t="str">
            <v>1RH1NCP1173XJSX</v>
          </cell>
          <cell r="B5926">
            <v>51</v>
          </cell>
        </row>
        <row r="5927">
          <cell r="A5927" t="str">
            <v>1RH1NCP1174</v>
          </cell>
          <cell r="B5927">
            <v>101</v>
          </cell>
        </row>
        <row r="5928">
          <cell r="A5928" t="str">
            <v>1RH1NCP1174CN</v>
          </cell>
          <cell r="B5928">
            <v>101</v>
          </cell>
        </row>
        <row r="5929">
          <cell r="A5929" t="str">
            <v>1RH1NCP1174M1</v>
          </cell>
          <cell r="B5929">
            <v>101</v>
          </cell>
        </row>
        <row r="5930">
          <cell r="A5930" t="str">
            <v>1RH1NCP1174NEV4</v>
          </cell>
          <cell r="B5930">
            <v>101</v>
          </cell>
        </row>
        <row r="5931">
          <cell r="A5931" t="str">
            <v>1RH1NCP1174XJ</v>
          </cell>
          <cell r="B5931">
            <v>101</v>
          </cell>
        </row>
        <row r="5932">
          <cell r="A5932" t="str">
            <v>1RH1NCP1180</v>
          </cell>
          <cell r="B5932">
            <v>25</v>
          </cell>
        </row>
        <row r="5933">
          <cell r="A5933" t="str">
            <v>1RH1NCP1180AG</v>
          </cell>
          <cell r="B5933">
            <v>21</v>
          </cell>
        </row>
        <row r="5934">
          <cell r="A5934" t="str">
            <v>1RH1NCP1180AL</v>
          </cell>
          <cell r="B5934">
            <v>21</v>
          </cell>
        </row>
        <row r="5935">
          <cell r="A5935" t="str">
            <v>1RH1NCP1180C</v>
          </cell>
          <cell r="B5935">
            <v>25</v>
          </cell>
        </row>
        <row r="5936">
          <cell r="A5936" t="str">
            <v>1RH1NCP1180CN</v>
          </cell>
          <cell r="B5936">
            <v>21</v>
          </cell>
        </row>
        <row r="5937">
          <cell r="A5937" t="str">
            <v>1RH1NCP1180M1</v>
          </cell>
          <cell r="B5937">
            <v>17</v>
          </cell>
        </row>
        <row r="5938">
          <cell r="A5938" t="str">
            <v>1RH1NCP1180M2</v>
          </cell>
          <cell r="B5938">
            <v>17</v>
          </cell>
        </row>
        <row r="5939">
          <cell r="A5939" t="str">
            <v>1RH1NCP1180NEV4</v>
          </cell>
          <cell r="B5939">
            <v>21</v>
          </cell>
        </row>
        <row r="5940">
          <cell r="A5940" t="str">
            <v>1RH1NCP1180UKV4</v>
          </cell>
          <cell r="B5940">
            <v>21</v>
          </cell>
        </row>
        <row r="5941">
          <cell r="A5941" t="str">
            <v>1RH1NCP1180X</v>
          </cell>
          <cell r="B5941">
            <v>21</v>
          </cell>
        </row>
        <row r="5942">
          <cell r="A5942" t="str">
            <v>1RH1NCP1180XSX</v>
          </cell>
          <cell r="B5942">
            <v>21</v>
          </cell>
        </row>
        <row r="5943">
          <cell r="A5943" t="str">
            <v>1RH1NCP1187</v>
          </cell>
          <cell r="B5943">
            <v>13</v>
          </cell>
        </row>
        <row r="5944">
          <cell r="A5944" t="str">
            <v>1RH1NCP1187X</v>
          </cell>
          <cell r="B5944">
            <v>13</v>
          </cell>
        </row>
        <row r="5945">
          <cell r="A5945" t="str">
            <v>1RH1NCP1188CN</v>
          </cell>
          <cell r="B5945">
            <v>13</v>
          </cell>
        </row>
        <row r="5946">
          <cell r="A5946" t="str">
            <v>1RH1NCP1188XJ</v>
          </cell>
          <cell r="B5946">
            <v>13</v>
          </cell>
        </row>
        <row r="5947">
          <cell r="A5947" t="str">
            <v>1RH1NCP1190</v>
          </cell>
          <cell r="B5947">
            <v>1</v>
          </cell>
        </row>
        <row r="5948">
          <cell r="A5948" t="str">
            <v>1RH1NCP1190CN</v>
          </cell>
          <cell r="B5948">
            <v>1</v>
          </cell>
        </row>
        <row r="5949">
          <cell r="A5949" t="str">
            <v>1RH1NCP1190M1</v>
          </cell>
          <cell r="B5949">
            <v>1</v>
          </cell>
        </row>
        <row r="5950">
          <cell r="A5950" t="str">
            <v>1RH1NCP1190XEU</v>
          </cell>
          <cell r="B5950">
            <v>1</v>
          </cell>
        </row>
        <row r="5951">
          <cell r="A5951" t="str">
            <v>1RH1NCP1190XJ</v>
          </cell>
          <cell r="B5951">
            <v>1</v>
          </cell>
        </row>
        <row r="5952">
          <cell r="A5952" t="str">
            <v>1RH1NCP1190XV4</v>
          </cell>
          <cell r="B5952">
            <v>1</v>
          </cell>
        </row>
        <row r="5953">
          <cell r="A5953" t="str">
            <v>1RH1NCP1280CE</v>
          </cell>
          <cell r="B5953">
            <v>18</v>
          </cell>
        </row>
        <row r="5954">
          <cell r="A5954" t="str">
            <v>1RH1NCP1280CN</v>
          </cell>
          <cell r="B5954">
            <v>18</v>
          </cell>
        </row>
        <row r="5955">
          <cell r="A5955" t="str">
            <v>1RH1NCP1280M1</v>
          </cell>
          <cell r="B5955">
            <v>18</v>
          </cell>
        </row>
        <row r="5956">
          <cell r="A5956" t="str">
            <v>1RH1NCP1280XJ</v>
          </cell>
          <cell r="B5956">
            <v>18</v>
          </cell>
        </row>
        <row r="5957">
          <cell r="A5957" t="str">
            <v>1RH1NCP1280XJSX</v>
          </cell>
          <cell r="B5957">
            <v>18</v>
          </cell>
        </row>
        <row r="5958">
          <cell r="A5958" t="str">
            <v>1RH1NCP1290</v>
          </cell>
          <cell r="B5958">
            <v>6</v>
          </cell>
        </row>
        <row r="5959">
          <cell r="A5959" t="str">
            <v>1RH1NCP1290CE</v>
          </cell>
          <cell r="B5959">
            <v>6</v>
          </cell>
        </row>
        <row r="5960">
          <cell r="A5960" t="str">
            <v>1RH1NCP1290CJ</v>
          </cell>
          <cell r="B5960">
            <v>6</v>
          </cell>
        </row>
        <row r="5961">
          <cell r="A5961" t="str">
            <v>1RH1NCP1290CJSX</v>
          </cell>
          <cell r="B5961">
            <v>6</v>
          </cell>
        </row>
        <row r="5962">
          <cell r="A5962" t="str">
            <v>1RH1NCP1290CN</v>
          </cell>
          <cell r="B5962">
            <v>6</v>
          </cell>
        </row>
        <row r="5963">
          <cell r="A5963" t="str">
            <v>1RH1NCP1290M1</v>
          </cell>
          <cell r="B5963">
            <v>6</v>
          </cell>
        </row>
        <row r="5964">
          <cell r="A5964" t="str">
            <v>1RH1NCP1290X</v>
          </cell>
          <cell r="B5964">
            <v>6</v>
          </cell>
        </row>
        <row r="5965">
          <cell r="A5965" t="str">
            <v>1RH1NS0161</v>
          </cell>
          <cell r="B5965">
            <v>6</v>
          </cell>
        </row>
        <row r="5966">
          <cell r="A5966" t="str">
            <v>1RH1NS0161CN</v>
          </cell>
          <cell r="B5966">
            <v>6</v>
          </cell>
        </row>
        <row r="5967">
          <cell r="A5967" t="str">
            <v>1RH1NS0161X</v>
          </cell>
          <cell r="B5967">
            <v>6</v>
          </cell>
        </row>
        <row r="5968">
          <cell r="A5968" t="str">
            <v>1RH1NS0161XEU</v>
          </cell>
          <cell r="B5968">
            <v>6</v>
          </cell>
        </row>
        <row r="5969">
          <cell r="A5969" t="str">
            <v>1RH1NS0161XS1</v>
          </cell>
          <cell r="B5969">
            <v>6</v>
          </cell>
        </row>
        <row r="5970">
          <cell r="A5970" t="str">
            <v>1RH1NS0161XSX</v>
          </cell>
          <cell r="B5970">
            <v>6</v>
          </cell>
        </row>
        <row r="5971">
          <cell r="A5971" t="str">
            <v>1RH1NS0180</v>
          </cell>
          <cell r="B5971">
            <v>24</v>
          </cell>
        </row>
        <row r="5972">
          <cell r="A5972" t="str">
            <v>1RH1NS0180AG</v>
          </cell>
          <cell r="B5972">
            <v>24</v>
          </cell>
        </row>
        <row r="5973">
          <cell r="A5973" t="str">
            <v>1RH1NS0180AL</v>
          </cell>
          <cell r="B5973">
            <v>24</v>
          </cell>
        </row>
        <row r="5974">
          <cell r="A5974" t="str">
            <v>1RH1NS0180CN</v>
          </cell>
          <cell r="B5974">
            <v>24</v>
          </cell>
        </row>
        <row r="5975">
          <cell r="A5975" t="str">
            <v>1RH1NS0180TW</v>
          </cell>
          <cell r="B5975">
            <v>24</v>
          </cell>
        </row>
        <row r="5976">
          <cell r="A5976" t="str">
            <v>1RH1NS0180UK</v>
          </cell>
          <cell r="B5976">
            <v>24</v>
          </cell>
        </row>
        <row r="5977">
          <cell r="A5977" t="str">
            <v>1RH1NS0180UKS1</v>
          </cell>
          <cell r="B5977">
            <v>24</v>
          </cell>
        </row>
        <row r="5978">
          <cell r="A5978" t="str">
            <v>1RH1NS0180X</v>
          </cell>
          <cell r="B5978">
            <v>24</v>
          </cell>
        </row>
        <row r="5979">
          <cell r="A5979" t="str">
            <v>1RH1NS0180XEU</v>
          </cell>
          <cell r="B5979">
            <v>24</v>
          </cell>
        </row>
        <row r="5980">
          <cell r="A5980" t="str">
            <v>1RH1NS0180XS1</v>
          </cell>
          <cell r="B5980">
            <v>24</v>
          </cell>
        </row>
        <row r="5981">
          <cell r="A5981" t="str">
            <v>1RH1NS0180XSX</v>
          </cell>
          <cell r="B5981">
            <v>24</v>
          </cell>
        </row>
        <row r="5982">
          <cell r="A5982" t="str">
            <v>1RH1NS0280X</v>
          </cell>
          <cell r="B5982">
            <v>35</v>
          </cell>
        </row>
        <row r="5983">
          <cell r="A5983" t="str">
            <v>1RH1NS0280XEU</v>
          </cell>
          <cell r="B5983">
            <v>35</v>
          </cell>
        </row>
        <row r="5984">
          <cell r="A5984" t="str">
            <v>1RH1NS0280XS1</v>
          </cell>
          <cell r="B5984">
            <v>35</v>
          </cell>
        </row>
        <row r="5985">
          <cell r="A5985" t="str">
            <v>1RH1NS0290</v>
          </cell>
          <cell r="B5985">
            <v>16</v>
          </cell>
        </row>
        <row r="5986">
          <cell r="A5986" t="str">
            <v>1RH1NS0290CE</v>
          </cell>
          <cell r="B5986">
            <v>16</v>
          </cell>
        </row>
        <row r="5987">
          <cell r="A5987" t="str">
            <v>1RH1NS0290CES1</v>
          </cell>
          <cell r="B5987">
            <v>16</v>
          </cell>
        </row>
        <row r="5988">
          <cell r="A5988" t="str">
            <v>1RH1NS0290CESX</v>
          </cell>
          <cell r="B5988">
            <v>16</v>
          </cell>
        </row>
        <row r="5989">
          <cell r="A5989" t="str">
            <v>1RH1NS0290CN</v>
          </cell>
          <cell r="B5989">
            <v>16</v>
          </cell>
        </row>
        <row r="5990">
          <cell r="A5990" t="str">
            <v>1RH1NS0290MS</v>
          </cell>
          <cell r="B5990">
            <v>16</v>
          </cell>
        </row>
        <row r="5991">
          <cell r="A5991" t="str">
            <v>1RH1NS0290S1</v>
          </cell>
          <cell r="B5991">
            <v>16</v>
          </cell>
        </row>
        <row r="5992">
          <cell r="A5992" t="str">
            <v>1RH1NS0290X</v>
          </cell>
          <cell r="B5992">
            <v>16</v>
          </cell>
        </row>
        <row r="5993">
          <cell r="A5993" t="str">
            <v>1RH1NS5162</v>
          </cell>
          <cell r="B5993">
            <v>12</v>
          </cell>
        </row>
        <row r="5994">
          <cell r="A5994" t="str">
            <v>1RH1NS5162CN</v>
          </cell>
          <cell r="B5994">
            <v>12</v>
          </cell>
        </row>
        <row r="5995">
          <cell r="A5995" t="str">
            <v>1RH1NS5162SX</v>
          </cell>
          <cell r="B5995">
            <v>12</v>
          </cell>
        </row>
        <row r="5996">
          <cell r="A5996" t="str">
            <v>1RH1NS5162X</v>
          </cell>
          <cell r="B5996">
            <v>12</v>
          </cell>
        </row>
        <row r="5997">
          <cell r="A5997" t="str">
            <v>1RH1NS5162XEU</v>
          </cell>
          <cell r="B5997">
            <v>12</v>
          </cell>
        </row>
        <row r="5998">
          <cell r="A5998" t="str">
            <v>1RH1NS5162XS1</v>
          </cell>
          <cell r="B5998">
            <v>12</v>
          </cell>
        </row>
        <row r="5999">
          <cell r="A5999" t="str">
            <v>1RH1NS5162XS2</v>
          </cell>
          <cell r="B5999">
            <v>12</v>
          </cell>
        </row>
        <row r="6000">
          <cell r="A6000" t="str">
            <v>1RH1NS5162XS3</v>
          </cell>
          <cell r="B6000">
            <v>12</v>
          </cell>
        </row>
        <row r="6001">
          <cell r="A6001" t="str">
            <v>1RH1NS5162XS4</v>
          </cell>
          <cell r="B6001">
            <v>12</v>
          </cell>
        </row>
        <row r="6002">
          <cell r="A6002" t="str">
            <v>1RH1NS5170</v>
          </cell>
          <cell r="B6002">
            <v>10</v>
          </cell>
        </row>
        <row r="6003">
          <cell r="A6003" t="str">
            <v>1RH1NS5170CN</v>
          </cell>
          <cell r="B6003">
            <v>10</v>
          </cell>
        </row>
        <row r="6004">
          <cell r="A6004" t="str">
            <v>1RH1NS5170SX</v>
          </cell>
          <cell r="B6004">
            <v>10</v>
          </cell>
        </row>
        <row r="6005">
          <cell r="A6005" t="str">
            <v>1RH1NS5170X</v>
          </cell>
          <cell r="B6005">
            <v>10</v>
          </cell>
        </row>
        <row r="6006">
          <cell r="A6006" t="str">
            <v>1RH1NS5170XEU</v>
          </cell>
          <cell r="B6006">
            <v>10</v>
          </cell>
        </row>
        <row r="6007">
          <cell r="A6007" t="str">
            <v>1RH1NS5170XS1</v>
          </cell>
          <cell r="B6007">
            <v>16</v>
          </cell>
        </row>
        <row r="6008">
          <cell r="A6008" t="str">
            <v>1RH1NS5170XS2</v>
          </cell>
          <cell r="B6008">
            <v>16</v>
          </cell>
        </row>
        <row r="6009">
          <cell r="A6009" t="str">
            <v>1RH1NS5170XS3</v>
          </cell>
          <cell r="B6009">
            <v>10</v>
          </cell>
        </row>
        <row r="6010">
          <cell r="A6010" t="str">
            <v>1RH1NS5170XS4</v>
          </cell>
          <cell r="B6010">
            <v>10</v>
          </cell>
        </row>
        <row r="6011">
          <cell r="A6011" t="str">
            <v>1RH1NS5170XT1</v>
          </cell>
          <cell r="B6011">
            <v>10</v>
          </cell>
        </row>
        <row r="6012">
          <cell r="A6012" t="str">
            <v>1RH1NS5171</v>
          </cell>
          <cell r="B6012">
            <v>16</v>
          </cell>
        </row>
        <row r="6013">
          <cell r="A6013" t="str">
            <v>1RH1NS5171CN</v>
          </cell>
          <cell r="B6013">
            <v>16</v>
          </cell>
        </row>
        <row r="6014">
          <cell r="A6014" t="str">
            <v>1RH1NS5171SX</v>
          </cell>
          <cell r="B6014">
            <v>16</v>
          </cell>
        </row>
        <row r="6015">
          <cell r="A6015" t="str">
            <v>1RH1NS5171X</v>
          </cell>
          <cell r="B6015">
            <v>16</v>
          </cell>
        </row>
        <row r="6016">
          <cell r="A6016" t="str">
            <v>1RH1NS5171XEU</v>
          </cell>
          <cell r="B6016">
            <v>16</v>
          </cell>
        </row>
        <row r="6017">
          <cell r="A6017" t="str">
            <v>1RH1NS5171XS2</v>
          </cell>
          <cell r="B6017">
            <v>17</v>
          </cell>
        </row>
        <row r="6018">
          <cell r="A6018" t="str">
            <v>1RH1NS5171XS3</v>
          </cell>
          <cell r="B6018">
            <v>16</v>
          </cell>
        </row>
        <row r="6019">
          <cell r="A6019" t="str">
            <v>1RH1NS5171XS4</v>
          </cell>
          <cell r="B6019">
            <v>16</v>
          </cell>
        </row>
        <row r="6020">
          <cell r="A6020" t="str">
            <v>1RH1NS5172</v>
          </cell>
          <cell r="B6020">
            <v>32</v>
          </cell>
        </row>
        <row r="6021">
          <cell r="A6021" t="str">
            <v>1RH1NS5172CN</v>
          </cell>
          <cell r="B6021">
            <v>32</v>
          </cell>
        </row>
        <row r="6022">
          <cell r="A6022" t="str">
            <v>1RH1NS5172SX</v>
          </cell>
          <cell r="B6022">
            <v>32</v>
          </cell>
        </row>
        <row r="6023">
          <cell r="A6023" t="str">
            <v>1RH1NS5172X</v>
          </cell>
          <cell r="B6023">
            <v>32</v>
          </cell>
        </row>
        <row r="6024">
          <cell r="A6024" t="str">
            <v>1RH1NS5172XEU</v>
          </cell>
          <cell r="B6024">
            <v>32</v>
          </cell>
        </row>
        <row r="6025">
          <cell r="A6025" t="str">
            <v>1RH1NS5172XS1</v>
          </cell>
          <cell r="B6025">
            <v>32</v>
          </cell>
        </row>
        <row r="6026">
          <cell r="A6026" t="str">
            <v>1RH1NS5172XS2</v>
          </cell>
          <cell r="B6026">
            <v>33</v>
          </cell>
        </row>
        <row r="6027">
          <cell r="A6027" t="str">
            <v>1RH1NS5172XS3</v>
          </cell>
          <cell r="B6027">
            <v>32</v>
          </cell>
        </row>
        <row r="6028">
          <cell r="A6028" t="str">
            <v>1RH1NS5172XS4</v>
          </cell>
          <cell r="B6028">
            <v>32</v>
          </cell>
        </row>
        <row r="6029">
          <cell r="A6029" t="str">
            <v>1RH1NS5173</v>
          </cell>
          <cell r="B6029">
            <v>4</v>
          </cell>
        </row>
        <row r="6030">
          <cell r="A6030" t="str">
            <v>1RH1NS5173CN</v>
          </cell>
          <cell r="B6030">
            <v>4</v>
          </cell>
        </row>
        <row r="6031">
          <cell r="A6031" t="str">
            <v>1RH1NS5173SX</v>
          </cell>
          <cell r="B6031">
            <v>4</v>
          </cell>
        </row>
        <row r="6032">
          <cell r="A6032" t="str">
            <v>1RH1NS5173X</v>
          </cell>
          <cell r="B6032">
            <v>4</v>
          </cell>
        </row>
        <row r="6033">
          <cell r="A6033" t="str">
            <v>1RH1NS5173XEU</v>
          </cell>
          <cell r="B6033">
            <v>4</v>
          </cell>
        </row>
        <row r="6034">
          <cell r="A6034" t="str">
            <v>1RH1NS5173XS2</v>
          </cell>
          <cell r="B6034">
            <v>5</v>
          </cell>
        </row>
        <row r="6035">
          <cell r="A6035" t="str">
            <v>1RH1NS5173XS3</v>
          </cell>
          <cell r="B6035">
            <v>4</v>
          </cell>
        </row>
        <row r="6036">
          <cell r="A6036" t="str">
            <v>1RH1NS5173XS4</v>
          </cell>
          <cell r="B6036">
            <v>4</v>
          </cell>
        </row>
        <row r="6037">
          <cell r="A6037" t="str">
            <v>1RH1NS5173XT1</v>
          </cell>
          <cell r="B6037">
            <v>4</v>
          </cell>
        </row>
        <row r="6038">
          <cell r="A6038" t="str">
            <v>1RH1NS5173XVN</v>
          </cell>
          <cell r="B6038">
            <v>4</v>
          </cell>
        </row>
        <row r="6039">
          <cell r="A6039" t="str">
            <v>1RH1NS5174</v>
          </cell>
          <cell r="B6039">
            <v>8</v>
          </cell>
        </row>
        <row r="6040">
          <cell r="A6040" t="str">
            <v>1RH1NS5174CN</v>
          </cell>
          <cell r="B6040">
            <v>8</v>
          </cell>
        </row>
        <row r="6041">
          <cell r="A6041" t="str">
            <v>1RH1NS5174SX</v>
          </cell>
          <cell r="B6041">
            <v>8</v>
          </cell>
        </row>
        <row r="6042">
          <cell r="A6042" t="str">
            <v>1RH1NS5174X</v>
          </cell>
          <cell r="B6042">
            <v>8</v>
          </cell>
        </row>
        <row r="6043">
          <cell r="A6043" t="str">
            <v>1RH1NS5174XEU</v>
          </cell>
          <cell r="B6043">
            <v>8</v>
          </cell>
        </row>
        <row r="6044">
          <cell r="A6044" t="str">
            <v>1RH1NS5174XN7S4</v>
          </cell>
          <cell r="B6044">
            <v>8</v>
          </cell>
        </row>
        <row r="6045">
          <cell r="A6045" t="str">
            <v>1RH1NS5174XS1</v>
          </cell>
          <cell r="B6045">
            <v>8</v>
          </cell>
        </row>
        <row r="6046">
          <cell r="A6046" t="str">
            <v>1RH1NS5174XS2</v>
          </cell>
          <cell r="B6046">
            <v>9</v>
          </cell>
        </row>
        <row r="6047">
          <cell r="A6047" t="str">
            <v>1RH1NS5174XS3</v>
          </cell>
          <cell r="B6047">
            <v>8</v>
          </cell>
        </row>
        <row r="6048">
          <cell r="A6048" t="str">
            <v>1RH1NS5174XS4</v>
          </cell>
          <cell r="B6048">
            <v>8</v>
          </cell>
        </row>
        <row r="6049">
          <cell r="A6049" t="str">
            <v>1RH1NS5174XT1</v>
          </cell>
          <cell r="B6049">
            <v>8</v>
          </cell>
        </row>
        <row r="6050">
          <cell r="A6050" t="str">
            <v>1RH1NS5174XVN</v>
          </cell>
          <cell r="B6050">
            <v>8</v>
          </cell>
        </row>
        <row r="6051">
          <cell r="A6051" t="str">
            <v>1RH1NS5180</v>
          </cell>
          <cell r="B6051">
            <v>7</v>
          </cell>
        </row>
        <row r="6052">
          <cell r="A6052" t="str">
            <v>1RH1NS5180AG</v>
          </cell>
          <cell r="B6052">
            <v>1</v>
          </cell>
        </row>
        <row r="6053">
          <cell r="A6053" t="str">
            <v>1RH1NS5180AGS4</v>
          </cell>
          <cell r="B6053">
            <v>1</v>
          </cell>
        </row>
        <row r="6054">
          <cell r="A6054" t="str">
            <v>1RH1NS5180AL</v>
          </cell>
          <cell r="B6054">
            <v>7</v>
          </cell>
        </row>
        <row r="6055">
          <cell r="A6055" t="str">
            <v>1RH1NS5180AL-S3</v>
          </cell>
          <cell r="B6055">
            <v>1</v>
          </cell>
        </row>
        <row r="6056">
          <cell r="A6056" t="str">
            <v>1RH1NS5180BR</v>
          </cell>
          <cell r="B6056">
            <v>7</v>
          </cell>
        </row>
        <row r="6057">
          <cell r="A6057" t="str">
            <v>1RH1NS5180BRS4</v>
          </cell>
          <cell r="B6057">
            <v>7</v>
          </cell>
        </row>
        <row r="6058">
          <cell r="A6058" t="str">
            <v>1RH1NS5180C</v>
          </cell>
          <cell r="B6058">
            <v>7</v>
          </cell>
        </row>
        <row r="6059">
          <cell r="A6059" t="str">
            <v>1RH1NS5180CN</v>
          </cell>
          <cell r="B6059">
            <v>1</v>
          </cell>
        </row>
        <row r="6060">
          <cell r="A6060" t="str">
            <v>1RH1NS5180MZA</v>
          </cell>
          <cell r="B6060">
            <v>7</v>
          </cell>
        </row>
        <row r="6061">
          <cell r="A6061" t="str">
            <v>1RH1NS5180NZ</v>
          </cell>
          <cell r="B6061">
            <v>1</v>
          </cell>
        </row>
        <row r="6062">
          <cell r="A6062" t="str">
            <v>1RH1NS5180NZ-S3</v>
          </cell>
          <cell r="B6062">
            <v>1</v>
          </cell>
        </row>
        <row r="6063">
          <cell r="A6063" t="str">
            <v>1RH1NS5180-S1</v>
          </cell>
          <cell r="B6063">
            <v>7</v>
          </cell>
        </row>
        <row r="6064">
          <cell r="A6064" t="str">
            <v>1RH1NS5180SA</v>
          </cell>
          <cell r="B6064">
            <v>1</v>
          </cell>
        </row>
        <row r="6065">
          <cell r="A6065" t="str">
            <v>1RH1NS5180SX</v>
          </cell>
          <cell r="B6065">
            <v>1</v>
          </cell>
        </row>
        <row r="6066">
          <cell r="A6066" t="str">
            <v>1RH1NS5180UK-S3</v>
          </cell>
          <cell r="B6066">
            <v>1</v>
          </cell>
        </row>
        <row r="6067">
          <cell r="A6067" t="str">
            <v>1RH1NS5180X</v>
          </cell>
          <cell r="B6067">
            <v>1</v>
          </cell>
        </row>
        <row r="6068">
          <cell r="A6068" t="str">
            <v>1RH1NS5180XEU</v>
          </cell>
          <cell r="B6068">
            <v>1</v>
          </cell>
        </row>
        <row r="6069">
          <cell r="A6069" t="str">
            <v>1RH1NS5180XS1</v>
          </cell>
          <cell r="B6069">
            <v>18</v>
          </cell>
        </row>
        <row r="6070">
          <cell r="A6070" t="str">
            <v>1RH1NS5180XS2</v>
          </cell>
          <cell r="B6070">
            <v>15</v>
          </cell>
        </row>
        <row r="6071">
          <cell r="A6071" t="str">
            <v>1RH1NS5180XS3</v>
          </cell>
          <cell r="B6071">
            <v>13</v>
          </cell>
        </row>
        <row r="6072">
          <cell r="A6072" t="str">
            <v>1RH1NS5180XS4</v>
          </cell>
          <cell r="B6072">
            <v>1</v>
          </cell>
        </row>
        <row r="6073">
          <cell r="A6073" t="str">
            <v>1RH1NS5180XVN</v>
          </cell>
          <cell r="B6073">
            <v>1</v>
          </cell>
        </row>
        <row r="6074">
          <cell r="A6074" t="str">
            <v>1RH1NS5282X</v>
          </cell>
          <cell r="B6074">
            <v>13</v>
          </cell>
        </row>
        <row r="6075">
          <cell r="A6075" t="str">
            <v>1RH1NS5282XEU</v>
          </cell>
          <cell r="B6075">
            <v>13</v>
          </cell>
        </row>
        <row r="6076">
          <cell r="A6076" t="str">
            <v>1RH1NS5282X-S1</v>
          </cell>
          <cell r="B6076">
            <v>13</v>
          </cell>
        </row>
        <row r="6077">
          <cell r="A6077" t="str">
            <v>1RH1NS5282X-S2</v>
          </cell>
          <cell r="B6077">
            <v>13</v>
          </cell>
        </row>
        <row r="6078">
          <cell r="A6078" t="str">
            <v>1RH1NS5282X-S3</v>
          </cell>
          <cell r="B6078">
            <v>13</v>
          </cell>
        </row>
        <row r="6079">
          <cell r="A6079" t="str">
            <v>1RH1NS5282X-S4</v>
          </cell>
          <cell r="B6079">
            <v>10</v>
          </cell>
        </row>
        <row r="6080">
          <cell r="A6080" t="str">
            <v>1RH1NS5284SX</v>
          </cell>
          <cell r="B6080">
            <v>25</v>
          </cell>
        </row>
        <row r="6081">
          <cell r="A6081" t="str">
            <v>1RH1NS5284X</v>
          </cell>
          <cell r="B6081">
            <v>25</v>
          </cell>
        </row>
        <row r="6082">
          <cell r="A6082" t="str">
            <v>1RH1NS5284XEU</v>
          </cell>
          <cell r="B6082">
            <v>25</v>
          </cell>
        </row>
        <row r="6083">
          <cell r="A6083" t="str">
            <v>1RH1NS5284X-S1</v>
          </cell>
          <cell r="B6083">
            <v>25</v>
          </cell>
        </row>
        <row r="6084">
          <cell r="A6084" t="str">
            <v>1RH1NS5284X-S2</v>
          </cell>
          <cell r="B6084">
            <v>25</v>
          </cell>
        </row>
        <row r="6085">
          <cell r="A6085" t="str">
            <v>1RH1NS5284X-S3</v>
          </cell>
          <cell r="B6085">
            <v>25</v>
          </cell>
        </row>
        <row r="6086">
          <cell r="A6086" t="str">
            <v>1RH1NS5284X-S4</v>
          </cell>
          <cell r="B6086">
            <v>25</v>
          </cell>
        </row>
        <row r="6087">
          <cell r="A6087" t="str">
            <v>1RH1NS5290</v>
          </cell>
          <cell r="B6087">
            <v>5</v>
          </cell>
        </row>
        <row r="6088">
          <cell r="A6088" t="str">
            <v>1RH1NS5290CE</v>
          </cell>
          <cell r="B6088">
            <v>5</v>
          </cell>
        </row>
        <row r="6089">
          <cell r="A6089" t="str">
            <v>1RH1NS5290CES1</v>
          </cell>
          <cell r="B6089">
            <v>5</v>
          </cell>
        </row>
        <row r="6090">
          <cell r="A6090" t="str">
            <v>1RH1NS5290CES2</v>
          </cell>
          <cell r="B6090">
            <v>5</v>
          </cell>
        </row>
        <row r="6091">
          <cell r="A6091" t="str">
            <v>1RH1NS5290CES3</v>
          </cell>
          <cell r="B6091">
            <v>5</v>
          </cell>
        </row>
        <row r="6092">
          <cell r="A6092" t="str">
            <v>1RH1NS5290CES4</v>
          </cell>
          <cell r="B6092">
            <v>5</v>
          </cell>
        </row>
        <row r="6093">
          <cell r="A6093" t="str">
            <v>1RH1NS5290CN</v>
          </cell>
          <cell r="B6093">
            <v>5</v>
          </cell>
        </row>
        <row r="6094">
          <cell r="A6094" t="str">
            <v>1RH1NS5290MS</v>
          </cell>
          <cell r="B6094">
            <v>5</v>
          </cell>
        </row>
        <row r="6095">
          <cell r="A6095" t="str">
            <v>1RH1NS5290SX</v>
          </cell>
          <cell r="B6095">
            <v>5</v>
          </cell>
        </row>
        <row r="6096">
          <cell r="A6096" t="str">
            <v>1RH1NS5290X</v>
          </cell>
          <cell r="B6096">
            <v>5</v>
          </cell>
        </row>
        <row r="6097">
          <cell r="A6097" t="str">
            <v>1RH1NS5290X-S1</v>
          </cell>
          <cell r="B6097">
            <v>5</v>
          </cell>
        </row>
        <row r="6098">
          <cell r="A6098" t="str">
            <v>1RH1NS5290X-S2</v>
          </cell>
          <cell r="B6098">
            <v>5</v>
          </cell>
        </row>
        <row r="6099">
          <cell r="A6099" t="str">
            <v>1RH1NS5290X-S3</v>
          </cell>
          <cell r="B6099">
            <v>5</v>
          </cell>
        </row>
        <row r="6100">
          <cell r="A6100" t="str">
            <v>1RH1PNLP1029YA</v>
          </cell>
          <cell r="B6100">
            <v>1</v>
          </cell>
        </row>
        <row r="6101">
          <cell r="A6101" t="str">
            <v>1RH1PNLP2262ZA</v>
          </cell>
          <cell r="B6101">
            <v>18</v>
          </cell>
        </row>
        <row r="6102">
          <cell r="A6102" t="str">
            <v>1RH1PNLP2263ZA</v>
          </cell>
          <cell r="B6102">
            <v>40</v>
          </cell>
        </row>
        <row r="6103">
          <cell r="A6103" t="str">
            <v>1RH1PNLP2565ZA</v>
          </cell>
          <cell r="B6103">
            <v>28</v>
          </cell>
        </row>
        <row r="6104">
          <cell r="A6104" t="str">
            <v>1RH1PNLP2566ZA</v>
          </cell>
          <cell r="B6104">
            <v>28</v>
          </cell>
        </row>
        <row r="6105">
          <cell r="A6105" t="str">
            <v>1RH1PNLP2572ZA</v>
          </cell>
          <cell r="B6105">
            <v>66</v>
          </cell>
        </row>
        <row r="6106">
          <cell r="A6106" t="str">
            <v>1RH1PNLPTEB308RUZA</v>
          </cell>
          <cell r="B6106">
            <v>49</v>
          </cell>
        </row>
        <row r="6107">
          <cell r="A6107" t="str">
            <v>1RH1PNLPTES824SXZA</v>
          </cell>
          <cell r="B6107">
            <v>77</v>
          </cell>
        </row>
        <row r="6108">
          <cell r="A6108" t="str">
            <v>1RH1PSLP1258ZA</v>
          </cell>
          <cell r="B6108">
            <v>50</v>
          </cell>
        </row>
        <row r="6109">
          <cell r="A6109" t="str">
            <v>1RH1PSLP1258ZAL4</v>
          </cell>
          <cell r="B6109">
            <v>90</v>
          </cell>
        </row>
        <row r="6110">
          <cell r="A6110" t="str">
            <v>1RH1PSLP1259ZAL4</v>
          </cell>
          <cell r="B6110">
            <v>50</v>
          </cell>
        </row>
        <row r="6111">
          <cell r="A6111" t="str">
            <v>1RH1PSLP1260ZAL4</v>
          </cell>
          <cell r="B6111">
            <v>50</v>
          </cell>
        </row>
        <row r="6112">
          <cell r="A6112" t="str">
            <v>1RH1PSLP1261ZAL4</v>
          </cell>
          <cell r="B6112">
            <v>50</v>
          </cell>
        </row>
        <row r="6113">
          <cell r="A6113" t="str">
            <v>1RH1PSLP1263ZAL4</v>
          </cell>
          <cell r="B6113">
            <v>21</v>
          </cell>
        </row>
        <row r="6114">
          <cell r="A6114" t="str">
            <v>1RH1PSLP1264ZAL4</v>
          </cell>
          <cell r="B6114">
            <v>21</v>
          </cell>
        </row>
        <row r="6115">
          <cell r="A6115" t="str">
            <v>1RH1PSLP1270ZAV4</v>
          </cell>
          <cell r="B6115">
            <v>50</v>
          </cell>
        </row>
        <row r="6116">
          <cell r="A6116" t="str">
            <v>1RH1PSLP1280ZA</v>
          </cell>
          <cell r="B6116">
            <v>5</v>
          </cell>
        </row>
        <row r="6117">
          <cell r="A6117" t="str">
            <v>1RH1PSLP1282ZAL4</v>
          </cell>
          <cell r="B6117">
            <v>77</v>
          </cell>
        </row>
        <row r="6118">
          <cell r="A6118" t="str">
            <v>1RH1PSLP1282ZAL4T1</v>
          </cell>
          <cell r="B6118">
            <v>80</v>
          </cell>
        </row>
        <row r="6119">
          <cell r="A6119" t="str">
            <v>1RH1PSLP1283ZAL4</v>
          </cell>
          <cell r="B6119">
            <v>73</v>
          </cell>
        </row>
        <row r="6120">
          <cell r="A6120" t="str">
            <v>1RH1PSLP1283ZAS1</v>
          </cell>
          <cell r="B6120">
            <v>76</v>
          </cell>
        </row>
        <row r="6121">
          <cell r="A6121" t="str">
            <v>1RH1PSLP1284ZAL4</v>
          </cell>
          <cell r="B6121">
            <v>37</v>
          </cell>
        </row>
        <row r="6122">
          <cell r="A6122" t="str">
            <v>1RH1PSLP1285ZAV4</v>
          </cell>
          <cell r="B6122">
            <v>77</v>
          </cell>
        </row>
        <row r="6123">
          <cell r="A6123" t="str">
            <v>1RH1PSLP1286ZAV4</v>
          </cell>
          <cell r="B6123">
            <v>73</v>
          </cell>
        </row>
        <row r="6124">
          <cell r="A6124" t="str">
            <v>1RH1PSLP1287ZAV4</v>
          </cell>
          <cell r="B6124">
            <v>37</v>
          </cell>
        </row>
        <row r="6125">
          <cell r="A6125" t="str">
            <v>1RH1PSLP1288ZA</v>
          </cell>
          <cell r="B6125">
            <v>77</v>
          </cell>
        </row>
        <row r="6126">
          <cell r="A6126" t="str">
            <v>1RH1PSLP1289ZA</v>
          </cell>
          <cell r="B6126">
            <v>73</v>
          </cell>
        </row>
        <row r="6127">
          <cell r="A6127" t="str">
            <v>1RH1PSLP1290ZA</v>
          </cell>
          <cell r="B6127">
            <v>37</v>
          </cell>
        </row>
        <row r="6128">
          <cell r="A6128" t="str">
            <v>1RH1PSLP1312ZAL4</v>
          </cell>
          <cell r="B6128">
            <v>28</v>
          </cell>
        </row>
        <row r="6129">
          <cell r="A6129" t="str">
            <v>1RH1PSLP1316ZA</v>
          </cell>
          <cell r="B6129">
            <v>66</v>
          </cell>
        </row>
        <row r="6130">
          <cell r="A6130" t="str">
            <v>1RH1PSLP1317ZA</v>
          </cell>
          <cell r="B6130">
            <v>19</v>
          </cell>
        </row>
        <row r="6131">
          <cell r="A6131" t="str">
            <v>1RH1PSLP1326ZA</v>
          </cell>
          <cell r="B6131">
            <v>21</v>
          </cell>
        </row>
        <row r="6132">
          <cell r="A6132" t="str">
            <v>1RH1PSLP1327ZA</v>
          </cell>
          <cell r="B6132">
            <v>16</v>
          </cell>
        </row>
        <row r="6133">
          <cell r="A6133" t="str">
            <v>1RH1PSLP1328ZA</v>
          </cell>
          <cell r="B6133">
            <v>19</v>
          </cell>
        </row>
        <row r="6134">
          <cell r="A6134" t="str">
            <v>1RH1PSLP1329ZA</v>
          </cell>
          <cell r="B6134">
            <v>16</v>
          </cell>
        </row>
        <row r="6135">
          <cell r="A6135" t="str">
            <v>1RH1PSLP1340ZA</v>
          </cell>
          <cell r="B6135">
            <v>15</v>
          </cell>
        </row>
        <row r="6136">
          <cell r="A6136" t="str">
            <v>1RH1PSLP1341ZA</v>
          </cell>
          <cell r="B6136">
            <v>13</v>
          </cell>
        </row>
        <row r="6137">
          <cell r="A6137" t="str">
            <v>1RH1PSLP1342ZA</v>
          </cell>
          <cell r="B6137">
            <v>13</v>
          </cell>
        </row>
        <row r="6138">
          <cell r="A6138" t="str">
            <v>1RH1PSLP1343ZA</v>
          </cell>
          <cell r="B6138">
            <v>13</v>
          </cell>
        </row>
        <row r="6139">
          <cell r="A6139" t="str">
            <v>1RH1PSLP1344ZA</v>
          </cell>
          <cell r="B6139">
            <v>5</v>
          </cell>
        </row>
        <row r="6140">
          <cell r="A6140" t="str">
            <v>1RH1PSLP1349ZA</v>
          </cell>
          <cell r="B6140">
            <v>16</v>
          </cell>
        </row>
        <row r="6141">
          <cell r="A6141" t="str">
            <v>1RH1PSLP1350ZA</v>
          </cell>
          <cell r="B6141">
            <v>13</v>
          </cell>
        </row>
        <row r="6142">
          <cell r="A6142" t="str">
            <v>1RH1PSLP1388ZAV4</v>
          </cell>
          <cell r="B6142">
            <v>66</v>
          </cell>
        </row>
        <row r="6143">
          <cell r="A6143" t="str">
            <v>1RH1PSLP1389ZAV4</v>
          </cell>
          <cell r="B6143">
            <v>19</v>
          </cell>
        </row>
        <row r="6144">
          <cell r="A6144" t="str">
            <v>1RH1PSLP1404ZA</v>
          </cell>
          <cell r="B6144">
            <v>49</v>
          </cell>
        </row>
        <row r="6145">
          <cell r="A6145" t="str">
            <v>1RH1PSLP1409ZA</v>
          </cell>
          <cell r="B6145">
            <v>34</v>
          </cell>
        </row>
        <row r="6146">
          <cell r="A6146" t="str">
            <v>1RH1PSLP1421ZA</v>
          </cell>
          <cell r="B6146">
            <v>66</v>
          </cell>
        </row>
        <row r="6147">
          <cell r="A6147" t="str">
            <v>1RH1PSLP1422ZA</v>
          </cell>
          <cell r="B6147">
            <v>19</v>
          </cell>
        </row>
        <row r="6148">
          <cell r="A6148" t="str">
            <v>1RH1PSLP1423ZA</v>
          </cell>
          <cell r="B6148">
            <v>19</v>
          </cell>
        </row>
        <row r="6149">
          <cell r="A6149" t="str">
            <v>1RH1PSLP1424ZA</v>
          </cell>
          <cell r="B6149">
            <v>19</v>
          </cell>
        </row>
        <row r="6150">
          <cell r="A6150" t="str">
            <v>1RH1PSLP1426ZA</v>
          </cell>
          <cell r="B6150">
            <v>19</v>
          </cell>
        </row>
        <row r="6151">
          <cell r="A6151" t="str">
            <v>1RH1PSLP1428ZA</v>
          </cell>
          <cell r="B6151">
            <v>19</v>
          </cell>
        </row>
        <row r="6152">
          <cell r="A6152" t="str">
            <v>1RH1PSLP1452ZA</v>
          </cell>
          <cell r="B6152">
            <v>66</v>
          </cell>
        </row>
        <row r="6153">
          <cell r="A6153" t="str">
            <v>1RH1PSLP1456ZA</v>
          </cell>
          <cell r="B6153">
            <v>66</v>
          </cell>
        </row>
        <row r="6154">
          <cell r="A6154" t="str">
            <v>1RH1PSLP1472ZA</v>
          </cell>
          <cell r="B6154">
            <v>34</v>
          </cell>
        </row>
        <row r="6155">
          <cell r="A6155" t="str">
            <v>1RH1PSLP1473ZA</v>
          </cell>
          <cell r="B6155">
            <v>18</v>
          </cell>
        </row>
        <row r="6156">
          <cell r="A6156" t="str">
            <v>1RH1PSLP1492ZAL4</v>
          </cell>
          <cell r="B6156">
            <v>101</v>
          </cell>
        </row>
        <row r="6157">
          <cell r="A6157" t="str">
            <v>1RH1PSLP1537ZA</v>
          </cell>
          <cell r="B6157">
            <v>77</v>
          </cell>
        </row>
        <row r="6158">
          <cell r="A6158" t="str">
            <v>1RH1PSLP1537ZAT1</v>
          </cell>
          <cell r="B6158">
            <v>80</v>
          </cell>
        </row>
        <row r="6159">
          <cell r="A6159" t="str">
            <v>1RH1PSLP1573ZAV4</v>
          </cell>
          <cell r="B6159">
            <v>19</v>
          </cell>
        </row>
        <row r="6160">
          <cell r="A6160" t="str">
            <v>1RH1PSLP1574ZAV4</v>
          </cell>
          <cell r="B6160">
            <v>77</v>
          </cell>
        </row>
        <row r="6161">
          <cell r="A6161" t="str">
            <v>1RH1PSLP1575ZAV4</v>
          </cell>
          <cell r="B6161">
            <v>73</v>
          </cell>
        </row>
        <row r="6162">
          <cell r="A6162" t="str">
            <v>1RH1PSLP1576ZAV4</v>
          </cell>
          <cell r="B6162">
            <v>37</v>
          </cell>
        </row>
        <row r="6163">
          <cell r="A6163" t="str">
            <v>1RH1PSLP1578ZA</v>
          </cell>
          <cell r="B6163">
            <v>6</v>
          </cell>
        </row>
        <row r="6164">
          <cell r="A6164" t="str">
            <v>1RH1PSLP1636ZA</v>
          </cell>
          <cell r="B6164">
            <v>18</v>
          </cell>
        </row>
        <row r="6165">
          <cell r="A6165" t="str">
            <v>1RH1PSLP1637ZA</v>
          </cell>
          <cell r="B6165">
            <v>34</v>
          </cell>
        </row>
        <row r="6166">
          <cell r="A6166" t="str">
            <v>1RH1PSLP1639ZA</v>
          </cell>
          <cell r="B6166">
            <v>6</v>
          </cell>
        </row>
        <row r="6167">
          <cell r="A6167" t="str">
            <v>1RH1PSLP1640ZA</v>
          </cell>
          <cell r="B6167">
            <v>6</v>
          </cell>
        </row>
        <row r="6168">
          <cell r="A6168" t="str">
            <v>1RH1PSLP1650ZA</v>
          </cell>
          <cell r="B6168">
            <v>80</v>
          </cell>
        </row>
        <row r="6169">
          <cell r="A6169" t="str">
            <v>1RH1PSLP1657ZA</v>
          </cell>
          <cell r="B6169">
            <v>7</v>
          </cell>
        </row>
        <row r="6170">
          <cell r="A6170" t="str">
            <v>1RH1PSLP1658ZA</v>
          </cell>
          <cell r="B6170">
            <v>6</v>
          </cell>
        </row>
        <row r="6171">
          <cell r="A6171" t="str">
            <v>1RH1PSLP1659ZA</v>
          </cell>
          <cell r="B6171">
            <v>6</v>
          </cell>
        </row>
        <row r="6172">
          <cell r="A6172" t="str">
            <v>1RH1PSLP1660ZA</v>
          </cell>
          <cell r="B6172">
            <v>6</v>
          </cell>
        </row>
        <row r="6173">
          <cell r="A6173" t="str">
            <v>1RH1PSLP1665ZA</v>
          </cell>
          <cell r="B6173">
            <v>59</v>
          </cell>
        </row>
        <row r="6174">
          <cell r="A6174" t="str">
            <v>1RH1PSLP1666ZA</v>
          </cell>
          <cell r="B6174">
            <v>13</v>
          </cell>
        </row>
        <row r="6175">
          <cell r="A6175" t="str">
            <v>1RH1PSLP1679ZA</v>
          </cell>
          <cell r="B6175">
            <v>6</v>
          </cell>
        </row>
        <row r="6176">
          <cell r="A6176" t="str">
            <v>1RH1PSLP1682ZA</v>
          </cell>
          <cell r="B6176">
            <v>50</v>
          </cell>
        </row>
        <row r="6177">
          <cell r="A6177" t="str">
            <v>1RH1PSLP1683ZA</v>
          </cell>
          <cell r="B6177">
            <v>19</v>
          </cell>
        </row>
        <row r="6178">
          <cell r="A6178" t="str">
            <v>1RH1PSLP1684ZA</v>
          </cell>
          <cell r="B6178">
            <v>77</v>
          </cell>
        </row>
        <row r="6179">
          <cell r="A6179" t="str">
            <v>1RH1RBPC1A09150</v>
          </cell>
          <cell r="B6179">
            <v>16</v>
          </cell>
        </row>
        <row r="6180">
          <cell r="A6180" t="str">
            <v>1RH1T30865</v>
          </cell>
          <cell r="B6180">
            <v>8</v>
          </cell>
        </row>
        <row r="6181">
          <cell r="A6181" t="str">
            <v>1RH1T30865RUV4</v>
          </cell>
          <cell r="B6181">
            <v>8</v>
          </cell>
        </row>
        <row r="6182">
          <cell r="A6182" t="str">
            <v>1RH1T30865XEU</v>
          </cell>
          <cell r="B6182">
            <v>8</v>
          </cell>
        </row>
        <row r="6183">
          <cell r="A6183" t="str">
            <v>1RH1T30865XSX</v>
          </cell>
          <cell r="B6183">
            <v>8</v>
          </cell>
        </row>
        <row r="6184">
          <cell r="A6184" t="str">
            <v>1RH1T30865XV4</v>
          </cell>
          <cell r="B6184">
            <v>8</v>
          </cell>
        </row>
        <row r="6185">
          <cell r="A6185" t="str">
            <v>1RH1T7710ALV4</v>
          </cell>
          <cell r="B6185">
            <v>15</v>
          </cell>
        </row>
        <row r="6186">
          <cell r="A6186" t="str">
            <v>1RH1T7710CNV4</v>
          </cell>
          <cell r="B6186">
            <v>15</v>
          </cell>
        </row>
        <row r="6187">
          <cell r="A6187" t="str">
            <v>1RH1T7710CV4</v>
          </cell>
          <cell r="B6187">
            <v>16</v>
          </cell>
        </row>
        <row r="6188">
          <cell r="A6188" t="str">
            <v>1RH1T7710EV4</v>
          </cell>
          <cell r="B6188">
            <v>15</v>
          </cell>
        </row>
        <row r="6189">
          <cell r="A6189" t="str">
            <v>1RH1T7710NEV4</v>
          </cell>
          <cell r="B6189">
            <v>15</v>
          </cell>
        </row>
        <row r="6190">
          <cell r="A6190" t="str">
            <v>1RH1T7710NZ</v>
          </cell>
          <cell r="B6190">
            <v>15</v>
          </cell>
        </row>
        <row r="6191">
          <cell r="A6191" t="str">
            <v>1RH1T7710NZB</v>
          </cell>
          <cell r="B6191">
            <v>15</v>
          </cell>
        </row>
        <row r="6192">
          <cell r="A6192" t="str">
            <v>1RH1T7710RUV4</v>
          </cell>
          <cell r="B6192">
            <v>15</v>
          </cell>
        </row>
        <row r="6193">
          <cell r="A6193" t="str">
            <v>1RH1T7710XV4</v>
          </cell>
          <cell r="B6193">
            <v>15</v>
          </cell>
        </row>
        <row r="6194">
          <cell r="A6194" t="str">
            <v>1RH1T7710XV4SX</v>
          </cell>
          <cell r="B6194">
            <v>15</v>
          </cell>
        </row>
        <row r="6195">
          <cell r="A6195" t="str">
            <v>1RH1T7765</v>
          </cell>
          <cell r="B6195">
            <v>8</v>
          </cell>
        </row>
        <row r="6196">
          <cell r="A6196" t="str">
            <v>1RH1T7765X</v>
          </cell>
          <cell r="B6196">
            <v>8</v>
          </cell>
        </row>
        <row r="6197">
          <cell r="A6197" t="str">
            <v>1RH1T7765XEU</v>
          </cell>
          <cell r="B6197">
            <v>8</v>
          </cell>
        </row>
        <row r="6198">
          <cell r="A6198" t="str">
            <v>1RH1T7765XSX</v>
          </cell>
          <cell r="B6198">
            <v>8</v>
          </cell>
        </row>
        <row r="6199">
          <cell r="A6199" t="str">
            <v>1RH1TA82461V4</v>
          </cell>
          <cell r="B6199">
            <v>16</v>
          </cell>
        </row>
        <row r="6200">
          <cell r="A6200" t="str">
            <v>1RH1TA82470S2</v>
          </cell>
          <cell r="B6200">
            <v>60</v>
          </cell>
        </row>
        <row r="6201">
          <cell r="A6201" t="str">
            <v>1RH1TA82470V4</v>
          </cell>
          <cell r="B6201">
            <v>60</v>
          </cell>
        </row>
        <row r="6202">
          <cell r="A6202" t="str">
            <v>1RH1TA82470V4-S1</v>
          </cell>
          <cell r="B6202">
            <v>61</v>
          </cell>
        </row>
        <row r="6203">
          <cell r="A6203" t="str">
            <v>1RH1TA82481S2</v>
          </cell>
          <cell r="B6203">
            <v>71</v>
          </cell>
        </row>
        <row r="6204">
          <cell r="A6204" t="str">
            <v>1RH1TA82481V4</v>
          </cell>
          <cell r="B6204">
            <v>69</v>
          </cell>
        </row>
        <row r="6205">
          <cell r="A6205" t="str">
            <v>1RH1TA82481V4-S1</v>
          </cell>
          <cell r="B6205">
            <v>72</v>
          </cell>
        </row>
        <row r="6206">
          <cell r="A6206" t="str">
            <v>1RH1TA82483S1</v>
          </cell>
          <cell r="B6206">
            <v>76</v>
          </cell>
        </row>
        <row r="6207">
          <cell r="A6207" t="str">
            <v>1RH1TA82483V4</v>
          </cell>
          <cell r="B6207">
            <v>73</v>
          </cell>
        </row>
        <row r="6208">
          <cell r="A6208" t="str">
            <v>1RH1TAW84870V4</v>
          </cell>
          <cell r="B6208">
            <v>45</v>
          </cell>
        </row>
        <row r="6209">
          <cell r="A6209" t="str">
            <v>1RH1TAW84874V4</v>
          </cell>
          <cell r="B6209">
            <v>80</v>
          </cell>
        </row>
        <row r="6210">
          <cell r="A6210" t="str">
            <v>1RH1TAW84875V4</v>
          </cell>
          <cell r="B6210">
            <v>41</v>
          </cell>
        </row>
        <row r="6211">
          <cell r="A6211" t="str">
            <v>1RH1TAW84876V4</v>
          </cell>
          <cell r="B6211">
            <v>50</v>
          </cell>
        </row>
        <row r="6212">
          <cell r="A6212" t="str">
            <v>1RH1TAW84880V4</v>
          </cell>
          <cell r="B6212">
            <v>21</v>
          </cell>
        </row>
        <row r="6213">
          <cell r="A6213" t="str">
            <v>1RH1TDA0143CEV4</v>
          </cell>
          <cell r="B6213">
            <v>9</v>
          </cell>
        </row>
        <row r="6214">
          <cell r="A6214" t="str">
            <v>1RH1TDA0143M1</v>
          </cell>
          <cell r="B6214">
            <v>9</v>
          </cell>
        </row>
        <row r="6215">
          <cell r="A6215" t="str">
            <v>1RH1TDA0143V4</v>
          </cell>
          <cell r="B6215">
            <v>17</v>
          </cell>
        </row>
        <row r="6216">
          <cell r="A6216" t="str">
            <v>1RH1TDA0143XJV4</v>
          </cell>
          <cell r="B6216">
            <v>9</v>
          </cell>
        </row>
        <row r="6217">
          <cell r="A6217" t="str">
            <v>1RH1TDA0144CEV4</v>
          </cell>
          <cell r="B6217">
            <v>17</v>
          </cell>
        </row>
        <row r="6218">
          <cell r="A6218" t="str">
            <v>1RH1TDA0144M1</v>
          </cell>
          <cell r="B6218">
            <v>17</v>
          </cell>
        </row>
        <row r="6219">
          <cell r="A6219" t="str">
            <v>1RH1TDA0144V4</v>
          </cell>
          <cell r="B6219">
            <v>17</v>
          </cell>
        </row>
        <row r="6220">
          <cell r="A6220" t="str">
            <v>1RH1TDA0144XJV4</v>
          </cell>
          <cell r="B6220">
            <v>17</v>
          </cell>
        </row>
        <row r="6221">
          <cell r="A6221" t="str">
            <v>1RH1TDA0162GV4</v>
          </cell>
          <cell r="B6221">
            <v>15</v>
          </cell>
        </row>
        <row r="6222">
          <cell r="A6222" t="str">
            <v>1RH1TDA0170CXV4</v>
          </cell>
          <cell r="B6222">
            <v>102</v>
          </cell>
        </row>
        <row r="6223">
          <cell r="A6223" t="str">
            <v>1RH1TDA0170M1</v>
          </cell>
          <cell r="B6223">
            <v>102</v>
          </cell>
        </row>
        <row r="6224">
          <cell r="A6224" t="str">
            <v>1RH1TDA0170V4</v>
          </cell>
          <cell r="B6224">
            <v>102</v>
          </cell>
        </row>
        <row r="6225">
          <cell r="A6225" t="str">
            <v>1RH1TDA0170XEU</v>
          </cell>
          <cell r="B6225">
            <v>102</v>
          </cell>
        </row>
        <row r="6226">
          <cell r="A6226" t="str">
            <v>1RH1TDA0170XJSX</v>
          </cell>
          <cell r="B6226">
            <v>102</v>
          </cell>
        </row>
        <row r="6227">
          <cell r="A6227" t="str">
            <v>1RH1TDA0170XJV4</v>
          </cell>
          <cell r="B6227">
            <v>102</v>
          </cell>
        </row>
        <row r="6228">
          <cell r="A6228" t="str">
            <v>1RH1TDA0170XJVN</v>
          </cell>
          <cell r="B6228">
            <v>102</v>
          </cell>
        </row>
        <row r="6229">
          <cell r="A6229" t="str">
            <v>1RH1TDA0170XV4</v>
          </cell>
          <cell r="B6229">
            <v>102</v>
          </cell>
        </row>
        <row r="6230">
          <cell r="A6230" t="str">
            <v>1RH1TDA0171CXV4</v>
          </cell>
          <cell r="B6230">
            <v>33</v>
          </cell>
        </row>
        <row r="6231">
          <cell r="A6231" t="str">
            <v>1RH1TDA0171M1</v>
          </cell>
          <cell r="B6231">
            <v>33</v>
          </cell>
        </row>
        <row r="6232">
          <cell r="A6232" t="str">
            <v>1RH1TDA0171V4</v>
          </cell>
          <cell r="B6232">
            <v>33</v>
          </cell>
        </row>
        <row r="6233">
          <cell r="A6233" t="str">
            <v>1RH1TDA0171XEU</v>
          </cell>
          <cell r="B6233">
            <v>33</v>
          </cell>
        </row>
        <row r="6234">
          <cell r="A6234" t="str">
            <v>1RH1TDA0171XJSX</v>
          </cell>
          <cell r="B6234">
            <v>33</v>
          </cell>
        </row>
        <row r="6235">
          <cell r="A6235" t="str">
            <v>1RH1TDA0171XJV4</v>
          </cell>
          <cell r="B6235">
            <v>33</v>
          </cell>
        </row>
        <row r="6236">
          <cell r="A6236" t="str">
            <v>1RH1TDA0171XV4</v>
          </cell>
          <cell r="B6236">
            <v>33</v>
          </cell>
        </row>
        <row r="6237">
          <cell r="A6237" t="str">
            <v>1RH1TDA0172CXV4</v>
          </cell>
          <cell r="B6237">
            <v>41</v>
          </cell>
        </row>
        <row r="6238">
          <cell r="A6238" t="str">
            <v>1RH1TDA0172M1</v>
          </cell>
          <cell r="B6238">
            <v>41</v>
          </cell>
        </row>
        <row r="6239">
          <cell r="A6239" t="str">
            <v>1RH1TDA0172V4</v>
          </cell>
          <cell r="B6239">
            <v>41</v>
          </cell>
        </row>
        <row r="6240">
          <cell r="A6240" t="str">
            <v>1RH1TDA0172XEU</v>
          </cell>
          <cell r="B6240">
            <v>41</v>
          </cell>
        </row>
        <row r="6241">
          <cell r="A6241" t="str">
            <v>1RH1TDA0172XJSX</v>
          </cell>
          <cell r="B6241">
            <v>41</v>
          </cell>
        </row>
        <row r="6242">
          <cell r="A6242" t="str">
            <v>1RH1TDA0172XJV4</v>
          </cell>
          <cell r="B6242">
            <v>41</v>
          </cell>
        </row>
        <row r="6243">
          <cell r="A6243" t="str">
            <v>1RH1TDA0172XJVN</v>
          </cell>
          <cell r="B6243">
            <v>41</v>
          </cell>
        </row>
        <row r="6244">
          <cell r="A6244" t="str">
            <v>1RH1TDA0172XV4</v>
          </cell>
          <cell r="B6244">
            <v>41</v>
          </cell>
        </row>
        <row r="6245">
          <cell r="A6245" t="str">
            <v>1RH1TDA0173CXV4</v>
          </cell>
          <cell r="B6245">
            <v>76</v>
          </cell>
        </row>
        <row r="6246">
          <cell r="A6246" t="str">
            <v>1RH1TDA0173M1</v>
          </cell>
          <cell r="B6246">
            <v>76</v>
          </cell>
        </row>
        <row r="6247">
          <cell r="A6247" t="str">
            <v>1RH1TDA0173V4</v>
          </cell>
          <cell r="B6247">
            <v>76</v>
          </cell>
        </row>
        <row r="6248">
          <cell r="A6248" t="str">
            <v>1RH1TDA0173XEU</v>
          </cell>
          <cell r="B6248">
            <v>76</v>
          </cell>
        </row>
        <row r="6249">
          <cell r="A6249" t="str">
            <v>1RH1TDA0173XJSX</v>
          </cell>
          <cell r="B6249">
            <v>76</v>
          </cell>
        </row>
        <row r="6250">
          <cell r="A6250" t="str">
            <v>1RH1TDA0173XJV4</v>
          </cell>
          <cell r="B6250">
            <v>76</v>
          </cell>
        </row>
        <row r="6251">
          <cell r="A6251" t="str">
            <v>1RH1TDA0173XV4</v>
          </cell>
          <cell r="B6251">
            <v>76</v>
          </cell>
        </row>
        <row r="6252">
          <cell r="A6252" t="str">
            <v>1RH1TDA0174V4</v>
          </cell>
          <cell r="B6252">
            <v>101</v>
          </cell>
        </row>
        <row r="6253">
          <cell r="A6253" t="str">
            <v>1RH1TDA0174XEU</v>
          </cell>
          <cell r="B6253">
            <v>101</v>
          </cell>
        </row>
        <row r="6254">
          <cell r="A6254" t="str">
            <v>1RH1TDA0174XJSX</v>
          </cell>
          <cell r="B6254">
            <v>101</v>
          </cell>
        </row>
        <row r="6255">
          <cell r="A6255" t="str">
            <v>1RH1TDA0174XJV4</v>
          </cell>
          <cell r="B6255">
            <v>101</v>
          </cell>
        </row>
        <row r="6256">
          <cell r="A6256" t="str">
            <v>1RH1TDA0174XV4</v>
          </cell>
          <cell r="B6256">
            <v>101</v>
          </cell>
        </row>
        <row r="6257">
          <cell r="A6257" t="str">
            <v>1RH1TDA0175V4</v>
          </cell>
          <cell r="B6257">
            <v>117</v>
          </cell>
        </row>
        <row r="6258">
          <cell r="A6258" t="str">
            <v>1RH1TDA0175XEU</v>
          </cell>
          <cell r="B6258">
            <v>117</v>
          </cell>
        </row>
        <row r="6259">
          <cell r="A6259" t="str">
            <v>1RH1TDA0175XJSX</v>
          </cell>
          <cell r="B6259">
            <v>118</v>
          </cell>
        </row>
        <row r="6260">
          <cell r="A6260" t="str">
            <v>1RH1TDA0175XJV4</v>
          </cell>
          <cell r="B6260">
            <v>117</v>
          </cell>
        </row>
        <row r="6261">
          <cell r="A6261" t="str">
            <v>1RH1TDA0175XV4</v>
          </cell>
          <cell r="B6261">
            <v>117</v>
          </cell>
        </row>
        <row r="6262">
          <cell r="A6262" t="str">
            <v>1RH1TDA0177CXV4</v>
          </cell>
          <cell r="B6262">
            <v>101</v>
          </cell>
        </row>
        <row r="6263">
          <cell r="A6263" t="str">
            <v>1RH1TDA0177V4</v>
          </cell>
          <cell r="B6263">
            <v>101</v>
          </cell>
        </row>
        <row r="6264">
          <cell r="A6264" t="str">
            <v>1RH1TDA0177XEU</v>
          </cell>
          <cell r="B6264">
            <v>101</v>
          </cell>
        </row>
        <row r="6265">
          <cell r="A6265" t="str">
            <v>1RH1TDA0177XJSX</v>
          </cell>
          <cell r="B6265">
            <v>101</v>
          </cell>
        </row>
        <row r="6266">
          <cell r="A6266" t="str">
            <v>1RH1TDA0177XJV4</v>
          </cell>
          <cell r="B6266">
            <v>101</v>
          </cell>
        </row>
        <row r="6267">
          <cell r="A6267" t="str">
            <v>1RH1TDA0177XV4</v>
          </cell>
          <cell r="B6267">
            <v>101</v>
          </cell>
        </row>
        <row r="6268">
          <cell r="A6268" t="str">
            <v>1RH1TDA0180AGV4</v>
          </cell>
          <cell r="B6268">
            <v>41</v>
          </cell>
        </row>
        <row r="6269">
          <cell r="A6269" t="str">
            <v>1RH1TDA0180ALV4</v>
          </cell>
          <cell r="B6269">
            <v>41</v>
          </cell>
        </row>
        <row r="6270">
          <cell r="A6270" t="str">
            <v>1RH1TDA0180CV4</v>
          </cell>
          <cell r="B6270">
            <v>49</v>
          </cell>
        </row>
        <row r="6271">
          <cell r="A6271" t="str">
            <v>1RH1TDA0180CXV4</v>
          </cell>
          <cell r="B6271">
            <v>41</v>
          </cell>
        </row>
        <row r="6272">
          <cell r="A6272" t="str">
            <v>1RH1TDA0180EV4</v>
          </cell>
          <cell r="B6272">
            <v>41</v>
          </cell>
        </row>
        <row r="6273">
          <cell r="A6273" t="str">
            <v>1RH1TDA0180M1</v>
          </cell>
          <cell r="B6273">
            <v>41</v>
          </cell>
        </row>
        <row r="6274">
          <cell r="A6274" t="str">
            <v>1RH1TDA0180M2</v>
          </cell>
          <cell r="B6274">
            <v>41</v>
          </cell>
        </row>
        <row r="6275">
          <cell r="A6275" t="str">
            <v>1RH1TDA0180NEV4</v>
          </cell>
          <cell r="B6275">
            <v>41</v>
          </cell>
        </row>
        <row r="6276">
          <cell r="A6276" t="str">
            <v>1RH1TDA0180V4</v>
          </cell>
          <cell r="B6276">
            <v>49</v>
          </cell>
        </row>
        <row r="6277">
          <cell r="A6277" t="str">
            <v>1RH1TDA0180XEU</v>
          </cell>
          <cell r="B6277">
            <v>41</v>
          </cell>
        </row>
        <row r="6278">
          <cell r="A6278" t="str">
            <v>1RH1TDA0180XSX</v>
          </cell>
          <cell r="B6278">
            <v>41</v>
          </cell>
        </row>
        <row r="6279">
          <cell r="A6279" t="str">
            <v>1RH1TDA0180XV4</v>
          </cell>
          <cell r="B6279">
            <v>41</v>
          </cell>
        </row>
        <row r="6280">
          <cell r="A6280" t="str">
            <v>1RH1TDA0181CV4</v>
          </cell>
          <cell r="B6280">
            <v>14</v>
          </cell>
        </row>
        <row r="6281">
          <cell r="A6281" t="str">
            <v>1RH1TDA0181V4</v>
          </cell>
          <cell r="B6281">
            <v>14</v>
          </cell>
        </row>
        <row r="6282">
          <cell r="A6282" t="str">
            <v>1RH1TDA0182CV4</v>
          </cell>
          <cell r="B6282">
            <v>43</v>
          </cell>
        </row>
        <row r="6283">
          <cell r="A6283" t="str">
            <v>1RH1TDA0182HKV4</v>
          </cell>
          <cell r="B6283">
            <v>27</v>
          </cell>
        </row>
        <row r="6284">
          <cell r="A6284" t="str">
            <v>1RH1TDA0183NEV4</v>
          </cell>
          <cell r="B6284">
            <v>21</v>
          </cell>
        </row>
        <row r="6285">
          <cell r="A6285" t="str">
            <v>1RH1TDA0184CNV4</v>
          </cell>
          <cell r="B6285">
            <v>37</v>
          </cell>
        </row>
        <row r="6286">
          <cell r="A6286" t="str">
            <v>1RH1TDA0184XJV4</v>
          </cell>
          <cell r="B6286">
            <v>37</v>
          </cell>
        </row>
        <row r="6287">
          <cell r="A6287" t="str">
            <v>1RH1TDA0184XV4</v>
          </cell>
          <cell r="B6287">
            <v>37</v>
          </cell>
        </row>
        <row r="6288">
          <cell r="A6288" t="str">
            <v>1RH1TDA0187V4</v>
          </cell>
          <cell r="B6288">
            <v>13</v>
          </cell>
        </row>
        <row r="6289">
          <cell r="A6289" t="str">
            <v>1RH1TDA0187XV4</v>
          </cell>
          <cell r="B6289">
            <v>13</v>
          </cell>
        </row>
        <row r="6290">
          <cell r="A6290" t="str">
            <v>1RH1TDA0188CEV4</v>
          </cell>
          <cell r="B6290">
            <v>13</v>
          </cell>
        </row>
        <row r="6291">
          <cell r="A6291" t="str">
            <v>1RH1TDA0188CXV4</v>
          </cell>
          <cell r="B6291">
            <v>13</v>
          </cell>
        </row>
        <row r="6292">
          <cell r="A6292" t="str">
            <v>1RH1TDA0188M1</v>
          </cell>
          <cell r="B6292">
            <v>13</v>
          </cell>
        </row>
        <row r="6293">
          <cell r="A6293" t="str">
            <v>1RH1TDA0188XJV4</v>
          </cell>
          <cell r="B6293">
            <v>13</v>
          </cell>
        </row>
        <row r="6294">
          <cell r="A6294" t="str">
            <v>1RH1TDA0190CXV4</v>
          </cell>
          <cell r="B6294">
            <v>1</v>
          </cell>
        </row>
        <row r="6295">
          <cell r="A6295" t="str">
            <v>1RH1TDA0190V4</v>
          </cell>
          <cell r="B6295">
            <v>1</v>
          </cell>
        </row>
        <row r="6296">
          <cell r="A6296" t="str">
            <v>1RH1TDA0190XEU</v>
          </cell>
          <cell r="B6296">
            <v>1</v>
          </cell>
        </row>
        <row r="6297">
          <cell r="A6297" t="str">
            <v>1RH1TDA0190XJSX</v>
          </cell>
          <cell r="B6297">
            <v>1</v>
          </cell>
        </row>
        <row r="6298">
          <cell r="A6298" t="str">
            <v>1RH1TDA0190XJV4</v>
          </cell>
          <cell r="B6298">
            <v>1</v>
          </cell>
        </row>
        <row r="6299">
          <cell r="A6299" t="str">
            <v>1RH1TDA0190XJVN</v>
          </cell>
          <cell r="B6299">
            <v>1</v>
          </cell>
        </row>
        <row r="6300">
          <cell r="A6300" t="str">
            <v>1RH1TDA0190XV4</v>
          </cell>
          <cell r="B6300">
            <v>1</v>
          </cell>
        </row>
        <row r="6301">
          <cell r="A6301" t="str">
            <v>1RH1TDA0284CEV4</v>
          </cell>
          <cell r="B6301">
            <v>29</v>
          </cell>
        </row>
        <row r="6302">
          <cell r="A6302" t="str">
            <v>1RH1TDA0284XJSX</v>
          </cell>
          <cell r="B6302">
            <v>29</v>
          </cell>
        </row>
        <row r="6303">
          <cell r="A6303" t="str">
            <v>1RH1TDA0284XJV4</v>
          </cell>
          <cell r="B6303">
            <v>29</v>
          </cell>
        </row>
        <row r="6304">
          <cell r="A6304" t="str">
            <v>1RH1TDA0288CEV4</v>
          </cell>
          <cell r="B6304">
            <v>53</v>
          </cell>
        </row>
        <row r="6305">
          <cell r="A6305" t="str">
            <v>1RH1TDA0288XJSX</v>
          </cell>
          <cell r="B6305">
            <v>53</v>
          </cell>
        </row>
        <row r="6306">
          <cell r="A6306" t="str">
            <v>1RH1TDA0288XJV4</v>
          </cell>
          <cell r="B6306">
            <v>53</v>
          </cell>
        </row>
        <row r="6307">
          <cell r="A6307" t="str">
            <v>1RH1TDA0290CEV4</v>
          </cell>
          <cell r="B6307">
            <v>6</v>
          </cell>
        </row>
        <row r="6308">
          <cell r="A6308" t="str">
            <v>1RH1TDA0290CJSX</v>
          </cell>
          <cell r="B6308">
            <v>6</v>
          </cell>
        </row>
        <row r="6309">
          <cell r="A6309" t="str">
            <v>1RH1TDA0290CJV4</v>
          </cell>
          <cell r="B6309">
            <v>6</v>
          </cell>
        </row>
        <row r="6310">
          <cell r="A6310" t="str">
            <v>1RH1TDA0290CN</v>
          </cell>
          <cell r="B6310">
            <v>6</v>
          </cell>
        </row>
        <row r="6311">
          <cell r="A6311" t="str">
            <v>1RH1TDA0290MS</v>
          </cell>
          <cell r="B6311">
            <v>6</v>
          </cell>
        </row>
        <row r="6312">
          <cell r="A6312" t="str">
            <v>1RH1TDA0290V4</v>
          </cell>
          <cell r="B6312">
            <v>6</v>
          </cell>
        </row>
        <row r="6313">
          <cell r="A6313" t="str">
            <v>1RH1TDA0290XV4</v>
          </cell>
          <cell r="B6313">
            <v>6</v>
          </cell>
        </row>
        <row r="6314">
          <cell r="A6314" t="str">
            <v>1RH1TDA1176</v>
          </cell>
          <cell r="B6314">
            <v>14</v>
          </cell>
        </row>
        <row r="6315">
          <cell r="A6315" t="str">
            <v>1RH1TDA1176CN</v>
          </cell>
          <cell r="B6315">
            <v>14</v>
          </cell>
        </row>
        <row r="6316">
          <cell r="A6316" t="str">
            <v>1RH1TDA1176ML</v>
          </cell>
          <cell r="B6316">
            <v>17</v>
          </cell>
        </row>
        <row r="6317">
          <cell r="A6317" t="str">
            <v>1RH1TDA1176XS1</v>
          </cell>
          <cell r="B6317">
            <v>3</v>
          </cell>
        </row>
        <row r="6318">
          <cell r="A6318" t="str">
            <v>1RH1TDA1178</v>
          </cell>
          <cell r="B6318">
            <v>14</v>
          </cell>
        </row>
        <row r="6319">
          <cell r="A6319" t="str">
            <v>1RH1TDA1178CN</v>
          </cell>
          <cell r="B6319">
            <v>14</v>
          </cell>
        </row>
        <row r="6320">
          <cell r="A6320" t="str">
            <v>1RH1TDA1178ML</v>
          </cell>
          <cell r="B6320">
            <v>17</v>
          </cell>
        </row>
        <row r="6321">
          <cell r="A6321" t="str">
            <v>1RH1TDA1178XS1</v>
          </cell>
          <cell r="B6321">
            <v>3</v>
          </cell>
        </row>
        <row r="6322">
          <cell r="A6322" t="str">
            <v>1RH1TDA1180AG</v>
          </cell>
          <cell r="B6322">
            <v>26</v>
          </cell>
        </row>
        <row r="6323">
          <cell r="A6323" t="str">
            <v>1RH1TDA1180BR</v>
          </cell>
          <cell r="B6323">
            <v>42</v>
          </cell>
        </row>
        <row r="6324">
          <cell r="A6324" t="str">
            <v>1RH1TDA1180CN</v>
          </cell>
          <cell r="B6324">
            <v>26</v>
          </cell>
        </row>
        <row r="6325">
          <cell r="A6325" t="str">
            <v>1RH1TDA1180SX</v>
          </cell>
          <cell r="B6325">
            <v>17</v>
          </cell>
        </row>
        <row r="6326">
          <cell r="A6326" t="str">
            <v>1RH1TDA1180X</v>
          </cell>
          <cell r="B6326">
            <v>26</v>
          </cell>
        </row>
        <row r="6327">
          <cell r="A6327" t="str">
            <v>1RH1TDA1180XSX</v>
          </cell>
          <cell r="B6327">
            <v>26</v>
          </cell>
        </row>
        <row r="6328">
          <cell r="A6328" t="str">
            <v>1RH1TDA3171M1</v>
          </cell>
          <cell r="B6328">
            <v>13</v>
          </cell>
        </row>
        <row r="6329">
          <cell r="A6329" t="str">
            <v>1RH1TDA3171NEV4</v>
          </cell>
          <cell r="B6329">
            <v>13</v>
          </cell>
        </row>
        <row r="6330">
          <cell r="A6330" t="str">
            <v>1RH1TDA3171XJV4</v>
          </cell>
          <cell r="B6330">
            <v>13</v>
          </cell>
        </row>
        <row r="6331">
          <cell r="A6331" t="str">
            <v>1RH1TDA3172M1</v>
          </cell>
          <cell r="B6331">
            <v>59</v>
          </cell>
        </row>
        <row r="6332">
          <cell r="A6332" t="str">
            <v>1RH1TDA3172NEV4</v>
          </cell>
          <cell r="B6332">
            <v>59</v>
          </cell>
        </row>
        <row r="6333">
          <cell r="A6333" t="str">
            <v>1RH1TDA3172XJV4</v>
          </cell>
          <cell r="B6333">
            <v>59</v>
          </cell>
        </row>
        <row r="6334">
          <cell r="A6334" t="str">
            <v>1RH1TDA3173M1</v>
          </cell>
          <cell r="B6334">
            <v>33</v>
          </cell>
        </row>
        <row r="6335">
          <cell r="A6335" t="str">
            <v>1RH1TDA3173NEV4</v>
          </cell>
          <cell r="B6335">
            <v>33</v>
          </cell>
        </row>
        <row r="6336">
          <cell r="A6336" t="str">
            <v>1RH1TDA3173XJV4</v>
          </cell>
          <cell r="B6336">
            <v>33</v>
          </cell>
        </row>
        <row r="6337">
          <cell r="A6337" t="str">
            <v>1RH1TDA3174M1</v>
          </cell>
          <cell r="B6337">
            <v>80</v>
          </cell>
        </row>
        <row r="6338">
          <cell r="A6338" t="str">
            <v>1RH1TDA3174NEV4</v>
          </cell>
          <cell r="B6338">
            <v>80</v>
          </cell>
        </row>
        <row r="6339">
          <cell r="A6339" t="str">
            <v>1RH1TDA3174XJV4</v>
          </cell>
          <cell r="B6339">
            <v>80</v>
          </cell>
        </row>
        <row r="6340">
          <cell r="A6340" t="str">
            <v>1RH1TDA3180AGV4</v>
          </cell>
          <cell r="B6340">
            <v>21</v>
          </cell>
        </row>
        <row r="6341">
          <cell r="A6341" t="str">
            <v>1RH1TDA3180ALV4</v>
          </cell>
          <cell r="B6341">
            <v>25</v>
          </cell>
        </row>
        <row r="6342">
          <cell r="A6342" t="str">
            <v>1RH1TDA3180CV4</v>
          </cell>
          <cell r="B6342">
            <v>21</v>
          </cell>
        </row>
        <row r="6343">
          <cell r="A6343" t="str">
            <v>1RH1TDA3180M1</v>
          </cell>
          <cell r="B6343">
            <v>17</v>
          </cell>
        </row>
        <row r="6344">
          <cell r="A6344" t="str">
            <v>1RH1TDA3180NEV4</v>
          </cell>
          <cell r="B6344">
            <v>21</v>
          </cell>
        </row>
        <row r="6345">
          <cell r="A6345" t="str">
            <v>1RH1TDA3180XV4</v>
          </cell>
          <cell r="B6345">
            <v>21</v>
          </cell>
        </row>
        <row r="6346">
          <cell r="A6346" t="str">
            <v>1RH1TDA3182HKV4</v>
          </cell>
          <cell r="B6346">
            <v>12</v>
          </cell>
        </row>
        <row r="6347">
          <cell r="A6347" t="str">
            <v>1RH1TDA3188XJV4</v>
          </cell>
          <cell r="B6347">
            <v>5</v>
          </cell>
        </row>
        <row r="6348">
          <cell r="A6348" t="str">
            <v>1RH1TDA3280CEV4</v>
          </cell>
          <cell r="B6348">
            <v>13</v>
          </cell>
        </row>
        <row r="6349">
          <cell r="A6349" t="str">
            <v>1RH1TDA3280M1</v>
          </cell>
          <cell r="B6349">
            <v>13</v>
          </cell>
        </row>
        <row r="6350">
          <cell r="A6350" t="str">
            <v>1RH1TDA3280XJV4</v>
          </cell>
          <cell r="B6350">
            <v>15</v>
          </cell>
        </row>
        <row r="6351">
          <cell r="A6351" t="str">
            <v>1RH1TDA3283CEV4</v>
          </cell>
          <cell r="B6351">
            <v>7</v>
          </cell>
        </row>
        <row r="6352">
          <cell r="A6352" t="str">
            <v>1RH1TDA5170V4</v>
          </cell>
          <cell r="B6352">
            <v>45</v>
          </cell>
        </row>
        <row r="6353">
          <cell r="A6353" t="str">
            <v>1RH1TDA5171V4</v>
          </cell>
          <cell r="B6353">
            <v>13</v>
          </cell>
        </row>
        <row r="6354">
          <cell r="A6354" t="str">
            <v>1RH1TDA5172V4</v>
          </cell>
          <cell r="B6354">
            <v>59</v>
          </cell>
        </row>
        <row r="6355">
          <cell r="A6355" t="str">
            <v>1RH1TDA5173V4</v>
          </cell>
          <cell r="B6355">
            <v>33</v>
          </cell>
        </row>
        <row r="6356">
          <cell r="A6356" t="str">
            <v>1RH1TDA5174V4</v>
          </cell>
          <cell r="B6356">
            <v>80</v>
          </cell>
        </row>
        <row r="6357">
          <cell r="A6357" t="str">
            <v>1RH1TDA5175V4</v>
          </cell>
          <cell r="B6357">
            <v>41</v>
          </cell>
        </row>
        <row r="6358">
          <cell r="A6358" t="str">
            <v>1RH1TDA5176V4</v>
          </cell>
          <cell r="B6358">
            <v>50</v>
          </cell>
        </row>
        <row r="6359">
          <cell r="A6359" t="str">
            <v>1RH1TDA5180V4</v>
          </cell>
          <cell r="B6359">
            <v>21</v>
          </cell>
        </row>
        <row r="6360">
          <cell r="A6360" t="str">
            <v>1RH1TDA6166CNV4</v>
          </cell>
          <cell r="B6360">
            <v>1</v>
          </cell>
        </row>
        <row r="6361">
          <cell r="A6361" t="str">
            <v>1RH1TDA6166V4</v>
          </cell>
          <cell r="B6361">
            <v>1</v>
          </cell>
        </row>
        <row r="6362">
          <cell r="A6362" t="str">
            <v>1RH1TDA6166XJV4</v>
          </cell>
          <cell r="B6362">
            <v>1</v>
          </cell>
        </row>
        <row r="6363">
          <cell r="A6363" t="str">
            <v>1RH1TDA6166XV4</v>
          </cell>
          <cell r="B6363">
            <v>1</v>
          </cell>
        </row>
        <row r="6364">
          <cell r="A6364" t="str">
            <v>1RH1TDA6174V4</v>
          </cell>
          <cell r="B6364">
            <v>101</v>
          </cell>
        </row>
        <row r="6365">
          <cell r="A6365" t="str">
            <v>1RH1TDA6174XEU</v>
          </cell>
          <cell r="B6365">
            <v>101</v>
          </cell>
        </row>
        <row r="6366">
          <cell r="A6366" t="str">
            <v>1RH1TDA6174XJSX</v>
          </cell>
          <cell r="B6366">
            <v>102</v>
          </cell>
        </row>
        <row r="6367">
          <cell r="A6367" t="str">
            <v>1RH1TDA6174XJV4</v>
          </cell>
          <cell r="B6367">
            <v>101</v>
          </cell>
        </row>
        <row r="6368">
          <cell r="A6368" t="str">
            <v>1RH1TDA6174XV4</v>
          </cell>
          <cell r="B6368">
            <v>101</v>
          </cell>
        </row>
        <row r="6369">
          <cell r="A6369" t="str">
            <v>1RH1TDA6175CXV4</v>
          </cell>
          <cell r="B6369">
            <v>117</v>
          </cell>
        </row>
        <row r="6370">
          <cell r="A6370" t="str">
            <v>1RH1TDA6175V4</v>
          </cell>
          <cell r="B6370">
            <v>117</v>
          </cell>
        </row>
        <row r="6371">
          <cell r="A6371" t="str">
            <v>1RH1TDA6175XJSX</v>
          </cell>
          <cell r="B6371">
            <v>117</v>
          </cell>
        </row>
        <row r="6372">
          <cell r="A6372" t="str">
            <v>1RH1TDA6175XJV4</v>
          </cell>
          <cell r="B6372">
            <v>117</v>
          </cell>
        </row>
        <row r="6373">
          <cell r="A6373" t="str">
            <v>1RH1TDA6175XV4</v>
          </cell>
          <cell r="B6373">
            <v>117</v>
          </cell>
        </row>
        <row r="6374">
          <cell r="A6374" t="str">
            <v>1RH1TDA6178</v>
          </cell>
          <cell r="B6374">
            <v>18</v>
          </cell>
        </row>
        <row r="6375">
          <cell r="A6375" t="str">
            <v>1RH1TDA6178XJ</v>
          </cell>
          <cell r="B6375">
            <v>18</v>
          </cell>
        </row>
        <row r="6376">
          <cell r="A6376" t="str">
            <v>1RH1TDA6181ALV4</v>
          </cell>
          <cell r="B6376">
            <v>0</v>
          </cell>
        </row>
        <row r="6377">
          <cell r="A6377" t="str">
            <v>1RH1TDA6181CAV4</v>
          </cell>
          <cell r="B6377">
            <v>16</v>
          </cell>
        </row>
        <row r="6378">
          <cell r="A6378" t="str">
            <v>1RH1TDA6181CV4</v>
          </cell>
          <cell r="B6378">
            <v>16</v>
          </cell>
        </row>
        <row r="6379">
          <cell r="A6379" t="str">
            <v>1RH1TDA6181V4</v>
          </cell>
          <cell r="B6379">
            <v>16</v>
          </cell>
        </row>
        <row r="6380">
          <cell r="A6380" t="str">
            <v>1RH1TE82460CNV4</v>
          </cell>
          <cell r="B6380">
            <v>7</v>
          </cell>
        </row>
        <row r="6381">
          <cell r="A6381" t="str">
            <v>1RH1TE82460NEV4</v>
          </cell>
          <cell r="B6381">
            <v>7</v>
          </cell>
        </row>
        <row r="6382">
          <cell r="A6382" t="str">
            <v>1RH1TE82460NEV7</v>
          </cell>
          <cell r="B6382">
            <v>7</v>
          </cell>
        </row>
        <row r="6383">
          <cell r="A6383" t="str">
            <v>1RH1TE82460XEU</v>
          </cell>
          <cell r="B6383">
            <v>7</v>
          </cell>
        </row>
        <row r="6384">
          <cell r="A6384" t="str">
            <v>1RH1TE82460XSX</v>
          </cell>
          <cell r="B6384">
            <v>7</v>
          </cell>
        </row>
        <row r="6385">
          <cell r="A6385" t="str">
            <v>1RH1TE82460XV4</v>
          </cell>
          <cell r="B6385">
            <v>7</v>
          </cell>
        </row>
        <row r="6386">
          <cell r="A6386" t="str">
            <v>1RH1TE82461NEV4</v>
          </cell>
          <cell r="B6386">
            <v>16</v>
          </cell>
        </row>
        <row r="6387">
          <cell r="A6387" t="str">
            <v>1RH1TE82461NEV7</v>
          </cell>
          <cell r="B6387">
            <v>16</v>
          </cell>
        </row>
        <row r="6388">
          <cell r="A6388" t="str">
            <v>1RH1TE82461XEU</v>
          </cell>
          <cell r="B6388">
            <v>16</v>
          </cell>
        </row>
        <row r="6389">
          <cell r="A6389" t="str">
            <v>1RH1TE82461XSX</v>
          </cell>
          <cell r="B6389">
            <v>16</v>
          </cell>
        </row>
        <row r="6390">
          <cell r="A6390" t="str">
            <v>1RH1TE82461XV4</v>
          </cell>
          <cell r="B6390">
            <v>16</v>
          </cell>
        </row>
        <row r="6391">
          <cell r="A6391" t="str">
            <v>1RH1TE82470XS1</v>
          </cell>
          <cell r="B6391">
            <v>60</v>
          </cell>
        </row>
        <row r="6392">
          <cell r="A6392" t="str">
            <v>1RH1TE82470XV4</v>
          </cell>
          <cell r="B6392">
            <v>61</v>
          </cell>
        </row>
        <row r="6393">
          <cell r="A6393" t="str">
            <v>1RH1TE82480AGV4</v>
          </cell>
          <cell r="B6393">
            <v>37</v>
          </cell>
        </row>
        <row r="6394">
          <cell r="A6394" t="str">
            <v>1RH1TE82480BRS1</v>
          </cell>
          <cell r="B6394">
            <v>39</v>
          </cell>
        </row>
        <row r="6395">
          <cell r="A6395" t="str">
            <v>1RH1TE82480BRV4</v>
          </cell>
          <cell r="B6395">
            <v>37</v>
          </cell>
        </row>
        <row r="6396">
          <cell r="A6396" t="str">
            <v>1RH1TE82480CNV4</v>
          </cell>
          <cell r="B6396">
            <v>37</v>
          </cell>
        </row>
        <row r="6397">
          <cell r="A6397" t="str">
            <v>1RH1TE82480HKV4</v>
          </cell>
          <cell r="B6397">
            <v>37</v>
          </cell>
        </row>
        <row r="6398">
          <cell r="A6398" t="str">
            <v>1RH1TE82480NZV4</v>
          </cell>
          <cell r="B6398">
            <v>39</v>
          </cell>
        </row>
        <row r="6399">
          <cell r="A6399" t="str">
            <v>1RH1TE82480SAV4</v>
          </cell>
          <cell r="B6399">
            <v>37</v>
          </cell>
        </row>
        <row r="6400">
          <cell r="A6400" t="str">
            <v>1RH1TE82481XS2</v>
          </cell>
          <cell r="B6400">
            <v>71</v>
          </cell>
        </row>
        <row r="6401">
          <cell r="A6401" t="str">
            <v>1RH1TE82481XV4</v>
          </cell>
          <cell r="B6401">
            <v>69</v>
          </cell>
        </row>
        <row r="6402">
          <cell r="A6402" t="str">
            <v>1RH1TE82481XV4-S1</v>
          </cell>
          <cell r="B6402">
            <v>72</v>
          </cell>
        </row>
        <row r="6403">
          <cell r="A6403" t="str">
            <v>1RH1TE82483AGV4</v>
          </cell>
          <cell r="B6403">
            <v>73</v>
          </cell>
        </row>
        <row r="6404">
          <cell r="A6404" t="str">
            <v>1RH1TE82483BRV4</v>
          </cell>
          <cell r="B6404">
            <v>73</v>
          </cell>
        </row>
        <row r="6405">
          <cell r="A6405" t="str">
            <v>1RH1TE82483CNV4</v>
          </cell>
          <cell r="B6405">
            <v>73</v>
          </cell>
        </row>
        <row r="6406">
          <cell r="A6406" t="str">
            <v>1RH1TE82483HKV4</v>
          </cell>
          <cell r="B6406">
            <v>73</v>
          </cell>
        </row>
        <row r="6407">
          <cell r="A6407" t="str">
            <v>1RH1TE82483NZV4</v>
          </cell>
          <cell r="B6407">
            <v>77</v>
          </cell>
        </row>
        <row r="6408">
          <cell r="A6408" t="str">
            <v>1RH1TE82483SAV4</v>
          </cell>
          <cell r="B6408">
            <v>73</v>
          </cell>
        </row>
        <row r="6409">
          <cell r="A6409" t="str">
            <v>1RH1TES32BRS1</v>
          </cell>
          <cell r="B6409">
            <v>80</v>
          </cell>
        </row>
        <row r="6410">
          <cell r="A6410" t="str">
            <v>1RH1TES32BRV4</v>
          </cell>
          <cell r="B6410">
            <v>77</v>
          </cell>
        </row>
        <row r="6411">
          <cell r="A6411" t="str">
            <v>1RH1TES824ALV4</v>
          </cell>
          <cell r="B6411">
            <v>84</v>
          </cell>
        </row>
        <row r="6412">
          <cell r="A6412" t="str">
            <v>1RH1TES824CNV4</v>
          </cell>
          <cell r="B6412">
            <v>77</v>
          </cell>
        </row>
        <row r="6413">
          <cell r="A6413" t="str">
            <v>1RH1TES824CNV4T1</v>
          </cell>
          <cell r="B6413">
            <v>80</v>
          </cell>
        </row>
        <row r="6414">
          <cell r="A6414" t="str">
            <v>1RH1TES824HKV4</v>
          </cell>
          <cell r="B6414">
            <v>77</v>
          </cell>
        </row>
        <row r="6415">
          <cell r="A6415" t="str">
            <v>1RH1TES824NZV4</v>
          </cell>
          <cell r="B6415">
            <v>77</v>
          </cell>
        </row>
        <row r="6416">
          <cell r="A6416" t="str">
            <v>1RH1TES824SAV4</v>
          </cell>
          <cell r="B6416">
            <v>77</v>
          </cell>
        </row>
        <row r="6417">
          <cell r="A6417" t="str">
            <v>1RH1TP5NA7370AA</v>
          </cell>
          <cell r="B6417">
            <v>7</v>
          </cell>
        </row>
        <row r="6418">
          <cell r="A6418" t="str">
            <v>1RH1TP5NA7723DC</v>
          </cell>
          <cell r="B6418">
            <v>14</v>
          </cell>
        </row>
        <row r="6419">
          <cell r="A6419" t="str">
            <v>1RH1TP5NA7723DE</v>
          </cell>
          <cell r="B6419">
            <v>14</v>
          </cell>
        </row>
        <row r="6420">
          <cell r="A6420" t="str">
            <v>1RH1TP5NA7724AC</v>
          </cell>
          <cell r="B6420">
            <v>4</v>
          </cell>
        </row>
        <row r="6421">
          <cell r="A6421" t="str">
            <v>1RH1TP5NA7724AE</v>
          </cell>
          <cell r="B6421">
            <v>3</v>
          </cell>
        </row>
        <row r="6422">
          <cell r="A6422" t="str">
            <v>1RH1TP5NA7724AF-1</v>
          </cell>
          <cell r="B6422">
            <v>4</v>
          </cell>
        </row>
        <row r="6423">
          <cell r="A6423" t="str">
            <v>1RH1TP5NA7724AG-1</v>
          </cell>
          <cell r="B6423">
            <v>3</v>
          </cell>
        </row>
        <row r="6424">
          <cell r="A6424" t="str">
            <v>1RH1TP5NA7725DC</v>
          </cell>
          <cell r="B6424">
            <v>17</v>
          </cell>
        </row>
        <row r="6425">
          <cell r="A6425" t="str">
            <v>1RH1TP5NA7725DD</v>
          </cell>
          <cell r="B6425">
            <v>17</v>
          </cell>
        </row>
        <row r="6426">
          <cell r="A6426" t="str">
            <v>1RH1TP5NA7726DB</v>
          </cell>
          <cell r="B6426">
            <v>16</v>
          </cell>
        </row>
        <row r="6427">
          <cell r="A6427" t="str">
            <v>1RH1TP5NA7885DA</v>
          </cell>
          <cell r="B6427">
            <v>17</v>
          </cell>
        </row>
        <row r="6428">
          <cell r="A6428" t="str">
            <v>1RH1TP5NA7885DB</v>
          </cell>
          <cell r="B6428">
            <v>17</v>
          </cell>
        </row>
        <row r="6429">
          <cell r="A6429" t="str">
            <v>1RH1TP5NA7885DC</v>
          </cell>
          <cell r="B6429">
            <v>17</v>
          </cell>
        </row>
        <row r="6430">
          <cell r="A6430" t="str">
            <v>1RH1TP5NA7885DD</v>
          </cell>
          <cell r="B6430">
            <v>17</v>
          </cell>
        </row>
        <row r="6431">
          <cell r="A6431" t="str">
            <v>1RH1TP5NA7958DA-1</v>
          </cell>
          <cell r="B6431">
            <v>14</v>
          </cell>
        </row>
        <row r="6432">
          <cell r="A6432" t="str">
            <v>1RH1TP5NA7958DB-1</v>
          </cell>
          <cell r="B6432">
            <v>14</v>
          </cell>
        </row>
        <row r="6433">
          <cell r="A6433" t="str">
            <v>1RH1TP5NA7960DA-1</v>
          </cell>
          <cell r="B6433">
            <v>17</v>
          </cell>
        </row>
        <row r="6434">
          <cell r="A6434" t="str">
            <v>1RH1TP5NA7960DB-1</v>
          </cell>
          <cell r="B6434">
            <v>17</v>
          </cell>
        </row>
        <row r="6435">
          <cell r="A6435" t="str">
            <v>1RH1TP5NA7960DC-1</v>
          </cell>
          <cell r="B6435">
            <v>17</v>
          </cell>
        </row>
        <row r="6436">
          <cell r="A6436" t="str">
            <v>1RH1TP5NA7960DE-1</v>
          </cell>
          <cell r="B6436">
            <v>17</v>
          </cell>
        </row>
        <row r="6437">
          <cell r="A6437" t="str">
            <v>1RH1TP5NA7960DF-1</v>
          </cell>
          <cell r="B6437">
            <v>17</v>
          </cell>
        </row>
        <row r="6438">
          <cell r="A6438" t="str">
            <v>1RH1TP5NA7961DA-1</v>
          </cell>
          <cell r="B6438">
            <v>16</v>
          </cell>
        </row>
        <row r="6439">
          <cell r="A6439" t="str">
            <v>1RH1TVA296V4</v>
          </cell>
          <cell r="B6439">
            <v>6</v>
          </cell>
        </row>
        <row r="6440">
          <cell r="A6440" t="str">
            <v>1RH1TVM296ALV4</v>
          </cell>
          <cell r="B6440">
            <v>5</v>
          </cell>
        </row>
        <row r="6441">
          <cell r="A6441" t="str">
            <v>1RH1TVM296CNV4</v>
          </cell>
          <cell r="B6441">
            <v>5</v>
          </cell>
        </row>
        <row r="6442">
          <cell r="A6442" t="str">
            <v>1RH1TVM296CV4</v>
          </cell>
          <cell r="B6442">
            <v>6</v>
          </cell>
        </row>
        <row r="6443">
          <cell r="A6443" t="str">
            <v>1RH1TVM296NEV4</v>
          </cell>
          <cell r="B6443">
            <v>5</v>
          </cell>
        </row>
        <row r="6444">
          <cell r="A6444" t="str">
            <v>1RH1TVM296NZV4</v>
          </cell>
          <cell r="B6444">
            <v>5</v>
          </cell>
        </row>
        <row r="6445">
          <cell r="A6445" t="str">
            <v>1RH1TVM296XV4</v>
          </cell>
          <cell r="B6445">
            <v>5</v>
          </cell>
        </row>
        <row r="6446">
          <cell r="A6446" t="str">
            <v>1RH1VBD962AV4</v>
          </cell>
          <cell r="B6446">
            <v>5</v>
          </cell>
        </row>
        <row r="6447">
          <cell r="A6447" t="str">
            <v>1RH1VBE504</v>
          </cell>
          <cell r="B6447">
            <v>17</v>
          </cell>
        </row>
        <row r="6448">
          <cell r="A6448" t="str">
            <v>1RH1VDVPTV4</v>
          </cell>
          <cell r="B6448">
            <v>5</v>
          </cell>
        </row>
        <row r="6449">
          <cell r="A6449" t="str">
            <v>1TE1A603L3G80RP</v>
          </cell>
          <cell r="B6449">
            <v>3</v>
          </cell>
        </row>
        <row r="6450">
          <cell r="A6450" t="str">
            <v>1TE1A603L3G80RP-P1</v>
          </cell>
          <cell r="B6450">
            <v>3</v>
          </cell>
        </row>
        <row r="6451">
          <cell r="A6451" t="str">
            <v>1TE1A603L3G81RP</v>
          </cell>
          <cell r="B6451">
            <v>3</v>
          </cell>
        </row>
        <row r="6452">
          <cell r="A6452" t="str">
            <v>1TE1A603L3G8AAP</v>
          </cell>
          <cell r="B6452">
            <v>3</v>
          </cell>
        </row>
        <row r="6453">
          <cell r="A6453" t="str">
            <v>1TE1A603L3G8AAP-P1</v>
          </cell>
          <cell r="B6453">
            <v>3</v>
          </cell>
        </row>
        <row r="6454">
          <cell r="A6454" t="str">
            <v>1TE1A603L3G8AAP-P2</v>
          </cell>
          <cell r="B6454">
            <v>3</v>
          </cell>
        </row>
        <row r="6455">
          <cell r="A6455" t="str">
            <v>1TE1A603L3G8ABP</v>
          </cell>
          <cell r="B6455">
            <v>7</v>
          </cell>
        </row>
        <row r="6456">
          <cell r="A6456" t="str">
            <v>1TE1A603L3G8ABP-P1</v>
          </cell>
          <cell r="B6456">
            <v>7</v>
          </cell>
        </row>
        <row r="6457">
          <cell r="A6457" t="str">
            <v>1TE1A603L3G8ABP-P2</v>
          </cell>
          <cell r="B6457">
            <v>7</v>
          </cell>
        </row>
        <row r="6458">
          <cell r="A6458" t="str">
            <v>1TE1A603L3G8AYP</v>
          </cell>
          <cell r="B6458">
            <v>7</v>
          </cell>
        </row>
        <row r="6459">
          <cell r="A6459" t="str">
            <v>1TE1A603L3G8AYP-P1</v>
          </cell>
          <cell r="B6459">
            <v>7</v>
          </cell>
        </row>
        <row r="6460">
          <cell r="A6460" t="str">
            <v>1TE1A603L3G8AYP-P2</v>
          </cell>
          <cell r="B6460">
            <v>7</v>
          </cell>
        </row>
        <row r="6461">
          <cell r="A6461" t="str">
            <v>1TE1A603L3G90P3</v>
          </cell>
          <cell r="B6461">
            <v>7</v>
          </cell>
        </row>
        <row r="6462">
          <cell r="A6462" t="str">
            <v>1TE1A603L3G90P3-P1</v>
          </cell>
          <cell r="B6462">
            <v>1</v>
          </cell>
        </row>
        <row r="6463">
          <cell r="A6463" t="str">
            <v>1TE1A603L-3G9A</v>
          </cell>
          <cell r="B6463">
            <v>7</v>
          </cell>
        </row>
        <row r="6464">
          <cell r="A6464" t="str">
            <v>1TE1A603L3G9AP1</v>
          </cell>
          <cell r="B6464">
            <v>7</v>
          </cell>
        </row>
        <row r="6465">
          <cell r="A6465" t="str">
            <v>1TE1A603L-3G9A-P1</v>
          </cell>
          <cell r="B6465">
            <v>7</v>
          </cell>
        </row>
        <row r="6466">
          <cell r="A6466" t="str">
            <v>1TE1A603L3G9AP1-P1</v>
          </cell>
          <cell r="B6466">
            <v>7</v>
          </cell>
        </row>
        <row r="6467">
          <cell r="A6467" t="str">
            <v>1TE1A603L3G9AP1-P2</v>
          </cell>
          <cell r="B6467">
            <v>7</v>
          </cell>
        </row>
        <row r="6468">
          <cell r="A6468" t="str">
            <v>1TE1A603L-3G9A-P2</v>
          </cell>
          <cell r="B6468">
            <v>7</v>
          </cell>
        </row>
        <row r="6469">
          <cell r="A6469" t="str">
            <v>1TE1A603Y3E6AAP</v>
          </cell>
          <cell r="B6469">
            <v>1</v>
          </cell>
        </row>
        <row r="6470">
          <cell r="A6470" t="str">
            <v>1TE1A603Y3E6AAP-P1</v>
          </cell>
          <cell r="B6470">
            <v>1</v>
          </cell>
        </row>
        <row r="6471">
          <cell r="A6471" t="str">
            <v>1TE1A603Y3E6AAP-P2</v>
          </cell>
          <cell r="B6471">
            <v>1</v>
          </cell>
        </row>
        <row r="6472">
          <cell r="A6472" t="str">
            <v>1TE1A603Y3E6ACP</v>
          </cell>
          <cell r="B6472">
            <v>1</v>
          </cell>
        </row>
        <row r="6473">
          <cell r="A6473" t="str">
            <v>1TE1A603Y3E6ACP-P1</v>
          </cell>
          <cell r="B6473">
            <v>1</v>
          </cell>
        </row>
        <row r="6474">
          <cell r="A6474" t="str">
            <v>1TE1A603Y3E6ACP-P2</v>
          </cell>
          <cell r="B6474">
            <v>1</v>
          </cell>
        </row>
        <row r="6475">
          <cell r="A6475" t="str">
            <v>1TE1A603Y3F0AAP</v>
          </cell>
          <cell r="B6475">
            <v>1</v>
          </cell>
        </row>
        <row r="6476">
          <cell r="A6476" t="str">
            <v>1TE1A603Y3F0AAP-P1</v>
          </cell>
          <cell r="B6476">
            <v>1</v>
          </cell>
        </row>
        <row r="6477">
          <cell r="A6477" t="str">
            <v>1TE1A603Y3F0AAP-P2</v>
          </cell>
          <cell r="B6477">
            <v>1</v>
          </cell>
        </row>
        <row r="6478">
          <cell r="A6478" t="str">
            <v>1TE1A603Y3F0ACP</v>
          </cell>
          <cell r="B6478">
            <v>1</v>
          </cell>
        </row>
        <row r="6479">
          <cell r="A6479" t="str">
            <v>1TE1A603Y3F0ACP-P1</v>
          </cell>
          <cell r="B6479">
            <v>1</v>
          </cell>
        </row>
        <row r="6480">
          <cell r="A6480" t="str">
            <v>1TE1A603Y3F0ACP-P2</v>
          </cell>
          <cell r="B6480">
            <v>1</v>
          </cell>
        </row>
        <row r="6481">
          <cell r="A6481" t="str">
            <v>1TE1A603Y3F9ABP</v>
          </cell>
          <cell r="B6481">
            <v>1</v>
          </cell>
        </row>
        <row r="6482">
          <cell r="A6482" t="str">
            <v>1TE1A603Y3F9ABP-P1</v>
          </cell>
          <cell r="B6482">
            <v>1</v>
          </cell>
        </row>
        <row r="6483">
          <cell r="A6483" t="str">
            <v>1TE1A603Y3F9ABP-P2</v>
          </cell>
          <cell r="B6483">
            <v>1</v>
          </cell>
        </row>
        <row r="6484">
          <cell r="A6484" t="str">
            <v>1TE1A603Y3F9AMP</v>
          </cell>
          <cell r="B6484">
            <v>1</v>
          </cell>
        </row>
        <row r="6485">
          <cell r="A6485" t="str">
            <v>1TE1A603Y3F9AMP-P1</v>
          </cell>
          <cell r="B6485">
            <v>1</v>
          </cell>
        </row>
        <row r="6486">
          <cell r="A6486" t="str">
            <v>1TE1A603Y3F9AMP-P2</v>
          </cell>
          <cell r="B6486">
            <v>1</v>
          </cell>
        </row>
        <row r="6487">
          <cell r="A6487" t="str">
            <v>1TE1A603Y3G1AEU</v>
          </cell>
          <cell r="B6487">
            <v>1</v>
          </cell>
        </row>
        <row r="6488">
          <cell r="A6488" t="str">
            <v>1TE1A603Y3G1AEU-P1</v>
          </cell>
          <cell r="B6488">
            <v>1</v>
          </cell>
        </row>
        <row r="6489">
          <cell r="A6489" t="str">
            <v>1TE1A603Y3G1AEU-P2</v>
          </cell>
          <cell r="B6489">
            <v>1</v>
          </cell>
        </row>
        <row r="6490">
          <cell r="A6490" t="str">
            <v>1TE1A603Y-3J0A</v>
          </cell>
          <cell r="B6490">
            <v>5</v>
          </cell>
        </row>
        <row r="6491">
          <cell r="A6491" t="str">
            <v>1TE1A603Y-3J0A-P1</v>
          </cell>
          <cell r="B6491">
            <v>5</v>
          </cell>
        </row>
        <row r="6492">
          <cell r="A6492" t="str">
            <v>1TE1A603Y-3J0A-P2</v>
          </cell>
          <cell r="B6492">
            <v>5</v>
          </cell>
        </row>
        <row r="6493">
          <cell r="A6493" t="str">
            <v>1TE1A603Y-3J3A</v>
          </cell>
          <cell r="B6493">
            <v>5</v>
          </cell>
        </row>
        <row r="6494">
          <cell r="A6494" t="str">
            <v>1TE1A603Y-3J3A-P1</v>
          </cell>
          <cell r="B6494">
            <v>5</v>
          </cell>
        </row>
        <row r="6495">
          <cell r="A6495" t="str">
            <v>1TE1A603Y-3J3A-P2</v>
          </cell>
          <cell r="B6495">
            <v>5</v>
          </cell>
        </row>
        <row r="6496">
          <cell r="A6496" t="str">
            <v>1TE1A603Y-3J8A</v>
          </cell>
          <cell r="B6496">
            <v>5</v>
          </cell>
        </row>
        <row r="6497">
          <cell r="A6497" t="str">
            <v>1TE1A603Y-3J8A-P1</v>
          </cell>
          <cell r="B6497">
            <v>5</v>
          </cell>
        </row>
        <row r="6498">
          <cell r="A6498" t="str">
            <v>1TE1A603Y-3J8A-P2</v>
          </cell>
          <cell r="B6498">
            <v>5</v>
          </cell>
        </row>
        <row r="6499">
          <cell r="A6499" t="str">
            <v>1TE1A603Y3J9ABP</v>
          </cell>
          <cell r="B6499">
            <v>5</v>
          </cell>
        </row>
        <row r="6500">
          <cell r="A6500" t="str">
            <v>1TE1A603Y3J9ABP-P1</v>
          </cell>
          <cell r="B6500">
            <v>5</v>
          </cell>
        </row>
        <row r="6501">
          <cell r="A6501" t="str">
            <v>1TE1A603Y3J9ABP-P2</v>
          </cell>
          <cell r="B6501">
            <v>5</v>
          </cell>
        </row>
        <row r="6502">
          <cell r="A6502" t="str">
            <v>1TE1H603L3K20BP</v>
          </cell>
          <cell r="B6502">
            <v>1</v>
          </cell>
        </row>
        <row r="6503">
          <cell r="A6503" t="str">
            <v>1TE1H603L3K20BP-P1</v>
          </cell>
          <cell r="B6503">
            <v>1</v>
          </cell>
        </row>
        <row r="6504">
          <cell r="A6504" t="str">
            <v>1TE1H603Y-3J00</v>
          </cell>
          <cell r="B6504">
            <v>5</v>
          </cell>
        </row>
        <row r="6505">
          <cell r="A6505" t="str">
            <v>1TE1H603Y-3K20</v>
          </cell>
          <cell r="B6505">
            <v>10</v>
          </cell>
        </row>
        <row r="6506">
          <cell r="A6506" t="str">
            <v>1TE1H603Y3K20BP</v>
          </cell>
          <cell r="B6506">
            <v>10</v>
          </cell>
        </row>
        <row r="6507">
          <cell r="A6507" t="str">
            <v>1TE1H603Y3K20BP-P1</v>
          </cell>
          <cell r="B6507">
            <v>10</v>
          </cell>
        </row>
        <row r="6508">
          <cell r="A6508" t="str">
            <v>1TE1H603Y3K20BPP1T</v>
          </cell>
          <cell r="B6508">
            <v>10</v>
          </cell>
        </row>
        <row r="6509">
          <cell r="A6509" t="str">
            <v>1TE1H603Y-3K20-P1</v>
          </cell>
          <cell r="B6509">
            <v>10</v>
          </cell>
        </row>
        <row r="6510">
          <cell r="A6510" t="str">
            <v>1TE1H603Y-3K20P2</v>
          </cell>
          <cell r="B6510">
            <v>10</v>
          </cell>
        </row>
        <row r="6511">
          <cell r="A6511" t="str">
            <v>1TE1H603Y-3K20-P2</v>
          </cell>
          <cell r="B6511">
            <v>10</v>
          </cell>
        </row>
        <row r="6512">
          <cell r="A6512" t="str">
            <v>1TE1H603Y-3K20PP2</v>
          </cell>
          <cell r="B6512">
            <v>10</v>
          </cell>
        </row>
        <row r="6513">
          <cell r="A6513" t="str">
            <v>1TE1H683L-3K20</v>
          </cell>
          <cell r="B6513">
            <v>1</v>
          </cell>
        </row>
        <row r="6514">
          <cell r="A6514" t="str">
            <v>1TE1H683L3K20BP-FE</v>
          </cell>
          <cell r="B6514">
            <v>1</v>
          </cell>
        </row>
        <row r="6515">
          <cell r="A6515" t="str">
            <v>1TE1H683L3K20BPP1T</v>
          </cell>
          <cell r="B6515">
            <v>1</v>
          </cell>
        </row>
        <row r="6516">
          <cell r="A6516" t="str">
            <v>1TE1H683L-3K20-PP1</v>
          </cell>
          <cell r="B6516">
            <v>1</v>
          </cell>
        </row>
        <row r="6517">
          <cell r="A6517" t="str">
            <v>1TE1H683L-3K20-PP2</v>
          </cell>
          <cell r="B6517">
            <v>1</v>
          </cell>
        </row>
        <row r="6518">
          <cell r="A6518" t="str">
            <v>1VJ1CH457P</v>
          </cell>
          <cell r="B6518">
            <v>1</v>
          </cell>
        </row>
        <row r="6519">
          <cell r="A6519" t="str">
            <v>1VJ1CR200-V4</v>
          </cell>
          <cell r="B6519">
            <v>1</v>
          </cell>
        </row>
        <row r="6520">
          <cell r="A6520" t="str">
            <v>1VJ1CR480</v>
          </cell>
          <cell r="B6520">
            <v>1</v>
          </cell>
        </row>
        <row r="6521">
          <cell r="A6521" t="str">
            <v>1VJ1CX200-V4</v>
          </cell>
          <cell r="B6521">
            <v>1</v>
          </cell>
        </row>
        <row r="6522">
          <cell r="A6522" t="str">
            <v>1VJ1H685Q3K20BP</v>
          </cell>
          <cell r="B6522">
            <v>1</v>
          </cell>
        </row>
        <row r="6523">
          <cell r="A6523" t="str">
            <v>1VJ1H685Q3K20BP-P1</v>
          </cell>
          <cell r="B6523">
            <v>1</v>
          </cell>
        </row>
        <row r="6524">
          <cell r="A6524" t="str">
            <v>1VJ1SE200DAN</v>
          </cell>
          <cell r="B6524">
            <v>1</v>
          </cell>
        </row>
        <row r="6525">
          <cell r="A6525" t="str">
            <v>1VJ1SE200P-V4</v>
          </cell>
          <cell r="B6525">
            <v>1</v>
          </cell>
        </row>
        <row r="6526">
          <cell r="A6526" t="str">
            <v>1VJ1SHH23-S2</v>
          </cell>
        </row>
        <row r="6527">
          <cell r="A6527" t="str">
            <v>1VJ1SR202DAN</v>
          </cell>
          <cell r="B6527">
            <v>1</v>
          </cell>
        </row>
        <row r="6528">
          <cell r="A6528" t="str">
            <v>1VJ1ST600</v>
          </cell>
          <cell r="B6528">
            <v>1</v>
          </cell>
        </row>
        <row r="6529">
          <cell r="A6529" t="str">
            <v>1VJ1ST600P</v>
          </cell>
          <cell r="B6529">
            <v>1</v>
          </cell>
        </row>
        <row r="6530">
          <cell r="A6530" t="str">
            <v>1VJ1STM23-S2</v>
          </cell>
        </row>
        <row r="6531">
          <cell r="A6531" t="str">
            <v>1VJ1SZ600</v>
          </cell>
          <cell r="B6531">
            <v>1</v>
          </cell>
        </row>
        <row r="6532">
          <cell r="A6532" t="str">
            <v>1VJ2H685Q3K20BP</v>
          </cell>
          <cell r="B6532">
            <v>1</v>
          </cell>
        </row>
        <row r="6533">
          <cell r="A6533" t="str">
            <v>1VJ2H685Q3K20BP-P1</v>
          </cell>
          <cell r="B6533">
            <v>1</v>
          </cell>
        </row>
        <row r="6534">
          <cell r="A6534" t="str">
            <v>1VJ3H685Q3K20BP</v>
          </cell>
          <cell r="B6534">
            <v>1</v>
          </cell>
        </row>
        <row r="6535">
          <cell r="A6535" t="str">
            <v>2AE1SR202A-V4</v>
          </cell>
          <cell r="B6535">
            <v>2</v>
          </cell>
        </row>
        <row r="6536">
          <cell r="A6536" t="str">
            <v>2AE1SR202DAN</v>
          </cell>
        </row>
        <row r="6537">
          <cell r="A6537" t="str">
            <v>2AE1SR202DNP</v>
          </cell>
          <cell r="B6537">
            <v>2</v>
          </cell>
        </row>
        <row r="6538">
          <cell r="A6538" t="str">
            <v>2AE1SR202P-V4</v>
          </cell>
          <cell r="B6538">
            <v>0</v>
          </cell>
        </row>
        <row r="6539">
          <cell r="A6539" t="str">
            <v>2AE1SR204P-V4</v>
          </cell>
          <cell r="B6539">
            <v>0</v>
          </cell>
        </row>
        <row r="6540">
          <cell r="A6540" t="str">
            <v>2CM1LPS1057CLZA</v>
          </cell>
          <cell r="B6540">
            <v>33</v>
          </cell>
        </row>
        <row r="6541">
          <cell r="A6541" t="str">
            <v>2CM1LPS1057CLZAK1</v>
          </cell>
          <cell r="B6541">
            <v>33</v>
          </cell>
        </row>
        <row r="6542">
          <cell r="A6542" t="str">
            <v>2CM1LPS1057CLZAS1</v>
          </cell>
          <cell r="B6542">
            <v>33</v>
          </cell>
        </row>
        <row r="6543">
          <cell r="A6543" t="str">
            <v>2CM1LPSL3066F-R1</v>
          </cell>
          <cell r="B6543">
            <v>9</v>
          </cell>
        </row>
        <row r="6544">
          <cell r="A6544" t="str">
            <v>2CM1LPSL3066F-S1</v>
          </cell>
          <cell r="B6544">
            <v>9</v>
          </cell>
        </row>
        <row r="6545">
          <cell r="A6545" t="str">
            <v>2CM1LPSL3066FZA</v>
          </cell>
          <cell r="B6545">
            <v>9</v>
          </cell>
        </row>
        <row r="6546">
          <cell r="A6546" t="str">
            <v>2CM1PSLP1352ZA</v>
          </cell>
          <cell r="B6546">
            <v>92</v>
          </cell>
        </row>
        <row r="6547">
          <cell r="A6547" t="str">
            <v>2RE1AM800</v>
          </cell>
          <cell r="B6547">
            <v>19</v>
          </cell>
        </row>
        <row r="6548">
          <cell r="A6548" t="str">
            <v>2RE1C380AV4</v>
          </cell>
          <cell r="B6548">
            <v>13</v>
          </cell>
        </row>
        <row r="6549">
          <cell r="A6549" t="str">
            <v>2RE1CC411AP-V4</v>
          </cell>
          <cell r="B6549">
            <v>121</v>
          </cell>
        </row>
        <row r="6550">
          <cell r="A6550" t="str">
            <v>2RE1CC411A-V4</v>
          </cell>
          <cell r="B6550">
            <v>121</v>
          </cell>
        </row>
        <row r="6551">
          <cell r="A6551" t="str">
            <v>2RE1CC411B</v>
          </cell>
          <cell r="B6551">
            <v>121</v>
          </cell>
        </row>
        <row r="6552">
          <cell r="A6552" t="str">
            <v>2RE1CC411BP</v>
          </cell>
          <cell r="B6552">
            <v>121</v>
          </cell>
        </row>
        <row r="6553">
          <cell r="A6553" t="str">
            <v>2RE1CH455P-V4</v>
          </cell>
          <cell r="B6553">
            <v>81</v>
          </cell>
        </row>
        <row r="6554">
          <cell r="A6554" t="str">
            <v>2RE1CH457</v>
          </cell>
          <cell r="B6554">
            <v>81</v>
          </cell>
        </row>
        <row r="6555">
          <cell r="A6555" t="str">
            <v>2RE1CH457P</v>
          </cell>
          <cell r="B6555">
            <v>81</v>
          </cell>
        </row>
        <row r="6556">
          <cell r="A6556" t="str">
            <v>2RE1CX200-V4</v>
          </cell>
          <cell r="B6556">
            <v>99</v>
          </cell>
        </row>
        <row r="6557">
          <cell r="A6557" t="str">
            <v>2RE1F206BV4</v>
          </cell>
          <cell r="B6557">
            <v>72</v>
          </cell>
        </row>
        <row r="6558">
          <cell r="A6558" t="str">
            <v>2RE1LPS1057CLZA</v>
          </cell>
          <cell r="B6558">
            <v>1</v>
          </cell>
        </row>
        <row r="6559">
          <cell r="A6559" t="str">
            <v>2RE1LPS1057CLZAK1</v>
          </cell>
          <cell r="B6559">
            <v>1</v>
          </cell>
        </row>
        <row r="6560">
          <cell r="A6560" t="str">
            <v>2RE1LPS1057CLZAS1</v>
          </cell>
          <cell r="B6560">
            <v>1</v>
          </cell>
        </row>
        <row r="6561">
          <cell r="A6561" t="str">
            <v>2RE1LPS5076HDZBR1</v>
          </cell>
          <cell r="B6561">
            <v>453</v>
          </cell>
        </row>
        <row r="6562">
          <cell r="A6562" t="str">
            <v>2RE1PEMCSEV4</v>
          </cell>
          <cell r="B6562">
            <v>10</v>
          </cell>
        </row>
        <row r="6563">
          <cell r="A6563" t="str">
            <v>2RE1PNLPTDSKD01ZA</v>
          </cell>
          <cell r="B6563">
            <v>67</v>
          </cell>
        </row>
        <row r="6564">
          <cell r="A6564" t="str">
            <v>2RE1PNLPTDSKD21ZA</v>
          </cell>
          <cell r="B6564">
            <v>67</v>
          </cell>
        </row>
        <row r="6565">
          <cell r="A6565" t="str">
            <v>2RE1PNLPTDSKD22ZA</v>
          </cell>
          <cell r="B6565">
            <v>67</v>
          </cell>
        </row>
        <row r="6566">
          <cell r="A6566" t="str">
            <v>2RE1PSLP1231ZAL4</v>
          </cell>
          <cell r="B6566">
            <v>67</v>
          </cell>
        </row>
        <row r="6567">
          <cell r="A6567" t="str">
            <v>2RE1PSLP1231ZAS1</v>
          </cell>
          <cell r="B6567">
            <v>67</v>
          </cell>
        </row>
        <row r="6568">
          <cell r="A6568" t="str">
            <v>2RE1PSLP1232ZAL4</v>
          </cell>
          <cell r="B6568">
            <v>67</v>
          </cell>
        </row>
        <row r="6569">
          <cell r="A6569" t="str">
            <v>2RE1PSLP1232ZAS1</v>
          </cell>
          <cell r="B6569">
            <v>67</v>
          </cell>
        </row>
        <row r="6570">
          <cell r="A6570" t="str">
            <v>2RE1PSLP1352ZA</v>
          </cell>
          <cell r="B6570">
            <v>146</v>
          </cell>
        </row>
        <row r="6571">
          <cell r="A6571" t="str">
            <v>2RE1PSLP1539ZA</v>
          </cell>
          <cell r="B6571">
            <v>67</v>
          </cell>
        </row>
        <row r="6572">
          <cell r="A6572" t="str">
            <v>2RE1PSLP1540ZA</v>
          </cell>
          <cell r="B6572">
            <v>67</v>
          </cell>
        </row>
        <row r="6573">
          <cell r="A6573" t="str">
            <v>2RE1PSLP1568ZA</v>
          </cell>
          <cell r="B6573">
            <v>67</v>
          </cell>
        </row>
        <row r="6574">
          <cell r="A6574" t="str">
            <v>2RE1PSLP1569ZA</v>
          </cell>
          <cell r="B6574">
            <v>67</v>
          </cell>
        </row>
        <row r="6575">
          <cell r="A6575" t="str">
            <v>2RE1SR102E-V4</v>
          </cell>
          <cell r="B6575">
            <v>22</v>
          </cell>
        </row>
        <row r="6576">
          <cell r="A6576" t="str">
            <v>2RE1SR202A-V4</v>
          </cell>
          <cell r="B6576">
            <v>126</v>
          </cell>
        </row>
        <row r="6577">
          <cell r="A6577" t="str">
            <v>2RE1SR202DAN</v>
          </cell>
          <cell r="B6577">
            <v>126</v>
          </cell>
        </row>
        <row r="6578">
          <cell r="A6578" t="str">
            <v>2RE1SR202DNP</v>
          </cell>
          <cell r="B6578">
            <v>126</v>
          </cell>
        </row>
        <row r="6579">
          <cell r="A6579" t="str">
            <v>2RE1SR202P-V4</v>
          </cell>
          <cell r="B6579">
            <v>126</v>
          </cell>
        </row>
        <row r="6580">
          <cell r="A6580" t="str">
            <v>2RE1SR204P-V4</v>
          </cell>
          <cell r="B6580">
            <v>126</v>
          </cell>
        </row>
        <row r="6581">
          <cell r="A6581" t="str">
            <v>2RE1ST510-V4</v>
          </cell>
          <cell r="B6581">
            <v>86</v>
          </cell>
        </row>
        <row r="6582">
          <cell r="A6582" t="str">
            <v>2RE1T7775</v>
          </cell>
          <cell r="B6582">
            <v>42</v>
          </cell>
        </row>
        <row r="6583">
          <cell r="A6583" t="str">
            <v>2RE1TDA0484V4</v>
          </cell>
          <cell r="B6583">
            <v>36</v>
          </cell>
        </row>
        <row r="6584">
          <cell r="A6584" t="str">
            <v>2RE1TDA0484XEU</v>
          </cell>
          <cell r="B6584">
            <v>37</v>
          </cell>
        </row>
        <row r="6585">
          <cell r="A6585" t="str">
            <v>2RE1TDA0484XJSX</v>
          </cell>
          <cell r="B6585">
            <v>36</v>
          </cell>
        </row>
        <row r="6586">
          <cell r="A6586" t="str">
            <v>2RE1TDA0484XJV4</v>
          </cell>
          <cell r="B6586">
            <v>36</v>
          </cell>
        </row>
        <row r="6587">
          <cell r="A6587" t="str">
            <v>2RE1TDA0484XV4</v>
          </cell>
          <cell r="B6587">
            <v>36</v>
          </cell>
        </row>
        <row r="6588">
          <cell r="A6588" t="str">
            <v>2RE1TDA6166CNV4</v>
          </cell>
          <cell r="B6588">
            <v>87</v>
          </cell>
        </row>
        <row r="6589">
          <cell r="A6589" t="str">
            <v>2RE1TDA6166V4</v>
          </cell>
          <cell r="B6589">
            <v>87</v>
          </cell>
        </row>
        <row r="6590">
          <cell r="A6590" t="str">
            <v>2RE1TDA6166XJV4</v>
          </cell>
          <cell r="B6590">
            <v>87</v>
          </cell>
        </row>
        <row r="6591">
          <cell r="A6591" t="str">
            <v>2RE1TDA6166XV4</v>
          </cell>
          <cell r="B6591">
            <v>87</v>
          </cell>
        </row>
        <row r="6592">
          <cell r="A6592" t="str">
            <v>2RE1TGA652RZA</v>
          </cell>
          <cell r="B6592">
            <v>1</v>
          </cell>
        </row>
        <row r="6593">
          <cell r="A6593" t="str">
            <v>2RE2AM800</v>
          </cell>
          <cell r="B6593">
            <v>400</v>
          </cell>
        </row>
        <row r="6594">
          <cell r="A6594" t="str">
            <v>2RE2C380AV4</v>
          </cell>
          <cell r="B6594">
            <v>13</v>
          </cell>
        </row>
        <row r="6595">
          <cell r="A6595" t="str">
            <v>2RE2CC411AP-V4</v>
          </cell>
          <cell r="B6595">
            <v>111</v>
          </cell>
        </row>
        <row r="6596">
          <cell r="A6596" t="str">
            <v>2RE2CC411A-V4</v>
          </cell>
          <cell r="B6596">
            <v>111</v>
          </cell>
        </row>
        <row r="6597">
          <cell r="A6597" t="str">
            <v>2RE2CC411B</v>
          </cell>
          <cell r="B6597">
            <v>111</v>
          </cell>
        </row>
        <row r="6598">
          <cell r="A6598" t="str">
            <v>2RE2CC411BP</v>
          </cell>
          <cell r="B6598">
            <v>111</v>
          </cell>
        </row>
        <row r="6599">
          <cell r="A6599" t="str">
            <v>2RE2CH455P-V4</v>
          </cell>
          <cell r="B6599">
            <v>0</v>
          </cell>
        </row>
        <row r="6600">
          <cell r="A6600" t="str">
            <v>2RE2CH457P</v>
          </cell>
          <cell r="B6600">
            <v>0</v>
          </cell>
        </row>
        <row r="6601">
          <cell r="A6601" t="str">
            <v>2RE2F205BV4</v>
          </cell>
          <cell r="B6601">
            <v>219</v>
          </cell>
        </row>
        <row r="6602">
          <cell r="A6602" t="str">
            <v>2RE2F206BV4</v>
          </cell>
          <cell r="B6602">
            <v>258</v>
          </cell>
        </row>
        <row r="6603">
          <cell r="A6603" t="str">
            <v>2RE2PEMCSEV4</v>
          </cell>
          <cell r="B6603">
            <v>13</v>
          </cell>
        </row>
        <row r="6604">
          <cell r="A6604" t="str">
            <v>2RE2TDA0484V4</v>
          </cell>
          <cell r="B6604">
            <v>27</v>
          </cell>
        </row>
        <row r="6605">
          <cell r="A6605" t="str">
            <v>2RE2TDA0484XEU</v>
          </cell>
          <cell r="B6605">
            <v>27</v>
          </cell>
        </row>
        <row r="6606">
          <cell r="A6606" t="str">
            <v>2RE2TDA0484XJSX</v>
          </cell>
          <cell r="B6606">
            <v>27</v>
          </cell>
        </row>
        <row r="6607">
          <cell r="A6607" t="str">
            <v>2RE2TDA0484XJV4</v>
          </cell>
          <cell r="B6607">
            <v>27</v>
          </cell>
        </row>
        <row r="6608">
          <cell r="A6608" t="str">
            <v>2RE2TDA0484XV4</v>
          </cell>
          <cell r="B6608">
            <v>27</v>
          </cell>
        </row>
        <row r="6609">
          <cell r="A6609" t="str">
            <v>2RH1LPS1057CLZA</v>
          </cell>
          <cell r="B6609">
            <v>1</v>
          </cell>
        </row>
        <row r="6610">
          <cell r="A6610" t="str">
            <v>2RH1LPS1057CLZAK1</v>
          </cell>
          <cell r="B6610">
            <v>1</v>
          </cell>
        </row>
        <row r="6611">
          <cell r="A6611" t="str">
            <v>2RH1LPS1057CLZAS1</v>
          </cell>
          <cell r="B6611">
            <v>1</v>
          </cell>
        </row>
        <row r="6612">
          <cell r="A6612" t="str">
            <v>2RH1PSLP1352ZA</v>
          </cell>
          <cell r="B6612">
            <v>4</v>
          </cell>
        </row>
        <row r="6613">
          <cell r="A6613" t="str">
            <v>2RH1SR202A-V4</v>
          </cell>
          <cell r="B6613">
            <v>2</v>
          </cell>
        </row>
        <row r="6614">
          <cell r="A6614" t="str">
            <v>2RH1SR202DAN</v>
          </cell>
          <cell r="B6614">
            <v>2</v>
          </cell>
        </row>
        <row r="6615">
          <cell r="A6615" t="str">
            <v>2RH1SR202DNP</v>
          </cell>
          <cell r="B6615">
            <v>2</v>
          </cell>
        </row>
        <row r="6616">
          <cell r="A6616" t="str">
            <v>2RH1SR202P-V4</v>
          </cell>
          <cell r="B6616">
            <v>2</v>
          </cell>
        </row>
        <row r="6617">
          <cell r="A6617" t="str">
            <v>2RH1SR204P-V4</v>
          </cell>
          <cell r="B6617">
            <v>2</v>
          </cell>
        </row>
        <row r="6618">
          <cell r="A6618" t="str">
            <v>2RH1T7775</v>
          </cell>
          <cell r="B6618">
            <v>2</v>
          </cell>
        </row>
        <row r="6619">
          <cell r="A6619" t="str">
            <v>2VJ1SR202DAN</v>
          </cell>
          <cell r="B6619">
            <v>1</v>
          </cell>
        </row>
        <row r="6620">
          <cell r="A6620" t="str">
            <v>2VJ1SR204P-V4</v>
          </cell>
          <cell r="B6620">
            <v>1</v>
          </cell>
        </row>
        <row r="6621">
          <cell r="A6621" t="str">
            <v>3AE1C380AV4</v>
          </cell>
          <cell r="B6621">
            <v>5</v>
          </cell>
        </row>
        <row r="6622">
          <cell r="A6622" t="str">
            <v>3CM1LPS1057CWZA</v>
          </cell>
          <cell r="B6622">
            <v>7</v>
          </cell>
        </row>
        <row r="6623">
          <cell r="A6623" t="str">
            <v>3CM1LPS1057CWZAK1</v>
          </cell>
          <cell r="B6623">
            <v>7</v>
          </cell>
        </row>
        <row r="6624">
          <cell r="A6624" t="str">
            <v>3CM1LPS1057CWZAS1</v>
          </cell>
          <cell r="B6624">
            <v>7</v>
          </cell>
        </row>
        <row r="6625">
          <cell r="A6625" t="str">
            <v>3RE1AM800</v>
          </cell>
          <cell r="B6625">
            <v>30</v>
          </cell>
        </row>
        <row r="6626">
          <cell r="A6626" t="str">
            <v>3RE1CH455YSZB-V4</v>
          </cell>
          <cell r="B6626">
            <v>123</v>
          </cell>
        </row>
        <row r="6627">
          <cell r="A6627" t="str">
            <v>3RE1CH457</v>
          </cell>
          <cell r="B6627">
            <v>14</v>
          </cell>
        </row>
        <row r="6628">
          <cell r="A6628" t="str">
            <v>3RE1CH457P</v>
          </cell>
          <cell r="B6628">
            <v>14</v>
          </cell>
        </row>
        <row r="6629">
          <cell r="A6629" t="str">
            <v>3RE1CX200-V4</v>
          </cell>
          <cell r="B6629">
            <v>443</v>
          </cell>
        </row>
        <row r="6630">
          <cell r="A6630" t="str">
            <v>3RE1DPLB1254</v>
          </cell>
          <cell r="B6630">
            <v>12</v>
          </cell>
        </row>
        <row r="6631">
          <cell r="A6631" t="str">
            <v>3RE1LPS1026CJ1BMZA</v>
          </cell>
          <cell r="B6631">
            <v>11</v>
          </cell>
        </row>
        <row r="6632">
          <cell r="A6632" t="str">
            <v>3RE1LPS5076HRZAR1</v>
          </cell>
          <cell r="B6632">
            <v>320</v>
          </cell>
        </row>
        <row r="6633">
          <cell r="A6633" t="str">
            <v>3RE1SE200DAN</v>
          </cell>
          <cell r="B6633">
            <v>147</v>
          </cell>
        </row>
        <row r="6634">
          <cell r="A6634" t="str">
            <v>3RE1SE200DNP</v>
          </cell>
          <cell r="B6634">
            <v>129</v>
          </cell>
        </row>
        <row r="6635">
          <cell r="A6635" t="str">
            <v>3RE1SR202AYSZB-V4</v>
          </cell>
          <cell r="B6635">
            <v>288</v>
          </cell>
        </row>
        <row r="6636">
          <cell r="A6636" t="str">
            <v>3RE1SR202DAN</v>
          </cell>
          <cell r="B6636">
            <v>136</v>
          </cell>
        </row>
        <row r="6637">
          <cell r="A6637" t="str">
            <v>3RE1SR202DNP</v>
          </cell>
          <cell r="B6637">
            <v>121</v>
          </cell>
        </row>
        <row r="6638">
          <cell r="A6638" t="str">
            <v>3RE1SR202PYSZB-V4</v>
          </cell>
          <cell r="B6638">
            <v>272</v>
          </cell>
        </row>
        <row r="6639">
          <cell r="A6639" t="str">
            <v>3RE1SR204AYSZB-V4</v>
          </cell>
          <cell r="B6639">
            <v>416</v>
          </cell>
        </row>
        <row r="6640">
          <cell r="A6640" t="str">
            <v>3RE1SR204DAN</v>
          </cell>
          <cell r="B6640">
            <v>147</v>
          </cell>
        </row>
        <row r="6641">
          <cell r="A6641" t="str">
            <v>3RE1SR204DNP</v>
          </cell>
          <cell r="B6641">
            <v>129</v>
          </cell>
        </row>
        <row r="6642">
          <cell r="A6642" t="str">
            <v>3RE1SR204P-V4</v>
          </cell>
          <cell r="B6642">
            <v>400</v>
          </cell>
        </row>
        <row r="6643">
          <cell r="A6643" t="str">
            <v>3RE2AM800</v>
          </cell>
          <cell r="B6643">
            <v>0</v>
          </cell>
        </row>
        <row r="6644">
          <cell r="A6644" t="str">
            <v>3RE2CH455YSZB-V4</v>
          </cell>
          <cell r="B6644">
            <v>122</v>
          </cell>
        </row>
        <row r="6645">
          <cell r="A6645" t="str">
            <v>3RE2CH457</v>
          </cell>
          <cell r="B6645">
            <v>7</v>
          </cell>
        </row>
        <row r="6646">
          <cell r="A6646" t="str">
            <v>3RE2CH457P</v>
          </cell>
          <cell r="B6646">
            <v>7</v>
          </cell>
        </row>
        <row r="6647">
          <cell r="A6647" t="str">
            <v>3RE2DPLB1082</v>
          </cell>
          <cell r="B6647">
            <v>29</v>
          </cell>
        </row>
        <row r="6648">
          <cell r="A6648" t="str">
            <v>3RE2DPLB1254</v>
          </cell>
          <cell r="B6648">
            <v>28</v>
          </cell>
        </row>
        <row r="6649">
          <cell r="A6649" t="str">
            <v>3RE2LPS1026CJ1BMZA</v>
          </cell>
          <cell r="B6649">
            <v>10</v>
          </cell>
        </row>
        <row r="6650">
          <cell r="A6650" t="str">
            <v>3RE2SE200DAN</v>
          </cell>
          <cell r="B6650">
            <v>473</v>
          </cell>
        </row>
        <row r="6651">
          <cell r="A6651" t="str">
            <v>3RE2SE200DNP</v>
          </cell>
          <cell r="B6651">
            <v>461</v>
          </cell>
        </row>
        <row r="6652">
          <cell r="A6652" t="str">
            <v>3RE2SR202DAN</v>
          </cell>
          <cell r="B6652">
            <v>418</v>
          </cell>
        </row>
        <row r="6653">
          <cell r="A6653" t="str">
            <v>3RE2SR202DNP</v>
          </cell>
          <cell r="B6653">
            <v>404</v>
          </cell>
        </row>
        <row r="6654">
          <cell r="A6654" t="str">
            <v>3RE2SR204DAN</v>
          </cell>
          <cell r="B6654">
            <v>474</v>
          </cell>
        </row>
        <row r="6655">
          <cell r="A6655" t="str">
            <v>3RE2SR204DNP</v>
          </cell>
          <cell r="B6655">
            <v>462</v>
          </cell>
        </row>
        <row r="6656">
          <cell r="A6656" t="str">
            <v>3RH1C380AV4</v>
          </cell>
          <cell r="B6656">
            <v>15</v>
          </cell>
        </row>
        <row r="6657">
          <cell r="A6657" t="str">
            <v>3RH1LPS1057CWZA</v>
          </cell>
          <cell r="B6657">
            <v>7</v>
          </cell>
        </row>
        <row r="6658">
          <cell r="A6658" t="str">
            <v>3RH1LPS1057CWZAK1</v>
          </cell>
          <cell r="B6658">
            <v>7</v>
          </cell>
        </row>
        <row r="6659">
          <cell r="A6659" t="str">
            <v>3RH1LPS1057CWZAS1</v>
          </cell>
          <cell r="B6659">
            <v>7</v>
          </cell>
        </row>
        <row r="6660">
          <cell r="A6660" t="str">
            <v>3VJ1SR202DAN</v>
          </cell>
          <cell r="B6660">
            <v>1</v>
          </cell>
        </row>
        <row r="6661">
          <cell r="A6661" t="str">
            <v>3VJ1SR204P-V4</v>
          </cell>
          <cell r="B6661">
            <v>1</v>
          </cell>
        </row>
        <row r="6662">
          <cell r="A6662" t="str">
            <v>4CM1LPS5076HSZAR1</v>
          </cell>
          <cell r="B6662">
            <v>100</v>
          </cell>
        </row>
        <row r="6663">
          <cell r="A6663" t="str">
            <v>4CM1LPSL1066GZA</v>
          </cell>
          <cell r="B6663">
            <v>45</v>
          </cell>
        </row>
        <row r="6664">
          <cell r="A6664" t="str">
            <v>4CM1LPSL1066GZAK1</v>
          </cell>
          <cell r="B6664">
            <v>45</v>
          </cell>
        </row>
        <row r="6665">
          <cell r="A6665" t="str">
            <v>4CM1LPSL1066GZAS1</v>
          </cell>
          <cell r="B6665">
            <v>39</v>
          </cell>
        </row>
        <row r="6666">
          <cell r="A6666" t="str">
            <v>4CM1LPSL3066G-R1</v>
          </cell>
          <cell r="B6666">
            <v>45</v>
          </cell>
        </row>
        <row r="6667">
          <cell r="A6667" t="str">
            <v>4CM1LPSL3066G-S1</v>
          </cell>
          <cell r="B6667">
            <v>45</v>
          </cell>
        </row>
        <row r="6668">
          <cell r="A6668" t="str">
            <v>4CM1LPSL3066GZA</v>
          </cell>
          <cell r="B6668">
            <v>45</v>
          </cell>
        </row>
        <row r="6669">
          <cell r="A6669" t="str">
            <v>4RE1DPLB1164</v>
          </cell>
          <cell r="B6669">
            <v>22</v>
          </cell>
        </row>
        <row r="6670">
          <cell r="A6670" t="str">
            <v>4RE1DPLB1255</v>
          </cell>
          <cell r="B6670">
            <v>19</v>
          </cell>
        </row>
        <row r="6671">
          <cell r="A6671" t="str">
            <v>4RE1PTRZ570WU</v>
          </cell>
          <cell r="B6671">
            <v>6</v>
          </cell>
        </row>
        <row r="6672">
          <cell r="A6672" t="str">
            <v>4RE1SE200A-V4</v>
          </cell>
          <cell r="B6672">
            <v>130</v>
          </cell>
        </row>
        <row r="6673">
          <cell r="A6673" t="str">
            <v>4RE1SE200DAN</v>
          </cell>
          <cell r="B6673">
            <v>130</v>
          </cell>
        </row>
        <row r="6674">
          <cell r="A6674" t="str">
            <v>4RE1SE200DNP</v>
          </cell>
          <cell r="B6674">
            <v>130</v>
          </cell>
        </row>
        <row r="6675">
          <cell r="A6675" t="str">
            <v>4RE1SR202A-V4</v>
          </cell>
          <cell r="B6675">
            <v>135</v>
          </cell>
        </row>
        <row r="6676">
          <cell r="A6676" t="str">
            <v>4RE1SR202DAN</v>
          </cell>
          <cell r="B6676">
            <v>135</v>
          </cell>
        </row>
        <row r="6677">
          <cell r="A6677" t="str">
            <v>4RE1SR202DNP</v>
          </cell>
          <cell r="B6677">
            <v>135</v>
          </cell>
        </row>
        <row r="6678">
          <cell r="A6678" t="str">
            <v>4RE1SR202P-V4</v>
          </cell>
          <cell r="B6678">
            <v>135</v>
          </cell>
        </row>
        <row r="6679">
          <cell r="A6679" t="str">
            <v>4RE1SR204A-V4</v>
          </cell>
          <cell r="B6679">
            <v>184</v>
          </cell>
        </row>
        <row r="6680">
          <cell r="A6680" t="str">
            <v>4RE1SR204DAN</v>
          </cell>
          <cell r="B6680">
            <v>184</v>
          </cell>
        </row>
        <row r="6681">
          <cell r="A6681" t="str">
            <v>4RE1SR204DNP</v>
          </cell>
          <cell r="B6681">
            <v>184</v>
          </cell>
        </row>
        <row r="6682">
          <cell r="A6682" t="str">
            <v>4RE1SR204P-V4</v>
          </cell>
          <cell r="B6682">
            <v>184</v>
          </cell>
        </row>
        <row r="6683">
          <cell r="A6683" t="str">
            <v>4RE2DPLB1255</v>
          </cell>
          <cell r="B6683">
            <v>2</v>
          </cell>
        </row>
        <row r="6684">
          <cell r="A6684" t="str">
            <v>4RE2PTRZ570WU</v>
          </cell>
          <cell r="B6684">
            <v>14</v>
          </cell>
        </row>
        <row r="6685">
          <cell r="A6685" t="str">
            <v>4RE2SE200A-V4</v>
          </cell>
          <cell r="B6685">
            <v>38</v>
          </cell>
        </row>
        <row r="6686">
          <cell r="A6686" t="str">
            <v>4RE2SE200DAN</v>
          </cell>
          <cell r="B6686">
            <v>38</v>
          </cell>
        </row>
        <row r="6687">
          <cell r="A6687" t="str">
            <v>4RE2SE200DNP</v>
          </cell>
          <cell r="B6687">
            <v>38</v>
          </cell>
        </row>
        <row r="6688">
          <cell r="A6688" t="str">
            <v>4RE2SR202A-V4</v>
          </cell>
          <cell r="B6688">
            <v>33</v>
          </cell>
        </row>
        <row r="6689">
          <cell r="A6689" t="str">
            <v>4RE2SR202DAN</v>
          </cell>
          <cell r="B6689">
            <v>33</v>
          </cell>
        </row>
        <row r="6690">
          <cell r="A6690" t="str">
            <v>4RE2SR202DNP</v>
          </cell>
          <cell r="B6690">
            <v>32</v>
          </cell>
        </row>
        <row r="6691">
          <cell r="A6691" t="str">
            <v>4RE2SR202P-V4</v>
          </cell>
          <cell r="B6691">
            <v>32</v>
          </cell>
        </row>
        <row r="6692">
          <cell r="A6692" t="str">
            <v>4RE2SR204A-V4</v>
          </cell>
          <cell r="B6692">
            <v>51</v>
          </cell>
        </row>
        <row r="6693">
          <cell r="A6693" t="str">
            <v>4RE2SR204DAN</v>
          </cell>
          <cell r="B6693">
            <v>51</v>
          </cell>
        </row>
        <row r="6694">
          <cell r="A6694" t="str">
            <v>4RE2SR204DNP</v>
          </cell>
          <cell r="B6694">
            <v>50</v>
          </cell>
        </row>
        <row r="6695">
          <cell r="A6695" t="str">
            <v>4RE2SR204P-V4</v>
          </cell>
          <cell r="B6695">
            <v>50</v>
          </cell>
        </row>
        <row r="6696">
          <cell r="A6696" t="str">
            <v>4RH1LPSL1066GZA</v>
          </cell>
          <cell r="B6696">
            <v>5</v>
          </cell>
        </row>
        <row r="6697">
          <cell r="A6697" t="str">
            <v>4RH1LPSL1066GZAK1</v>
          </cell>
          <cell r="B6697">
            <v>5</v>
          </cell>
        </row>
        <row r="6698">
          <cell r="A6698" t="str">
            <v>4RH1LPSL1066GZAS1</v>
          </cell>
          <cell r="B6698">
            <v>11</v>
          </cell>
        </row>
        <row r="6699">
          <cell r="A6699" t="str">
            <v>4RH1LPSL3066G-R1</v>
          </cell>
          <cell r="B6699">
            <v>5</v>
          </cell>
        </row>
        <row r="6700">
          <cell r="A6700" t="str">
            <v>4RH1LPSL3066G-S1</v>
          </cell>
          <cell r="B6700">
            <v>5</v>
          </cell>
        </row>
        <row r="6701">
          <cell r="A6701" t="str">
            <v>4RH1LPSL3066GZA</v>
          </cell>
          <cell r="B6701">
            <v>5</v>
          </cell>
        </row>
        <row r="6702">
          <cell r="A6702" t="str">
            <v>5CM1LPS1057CSYA</v>
          </cell>
          <cell r="B6702">
            <v>28</v>
          </cell>
        </row>
        <row r="6703">
          <cell r="A6703" t="str">
            <v>5CM1LPS1057CSZA</v>
          </cell>
          <cell r="B6703">
            <v>28</v>
          </cell>
        </row>
        <row r="6704">
          <cell r="A6704" t="str">
            <v>5CM1LPS1057CSZAK1</v>
          </cell>
          <cell r="B6704">
            <v>28</v>
          </cell>
        </row>
        <row r="6705">
          <cell r="A6705" t="str">
            <v>5CM1LPS1057CSZAS1</v>
          </cell>
          <cell r="B6705">
            <v>28</v>
          </cell>
        </row>
        <row r="6706">
          <cell r="A6706" t="str">
            <v>5CM1LPSL3066S-R1</v>
          </cell>
          <cell r="B6706">
            <v>28</v>
          </cell>
        </row>
        <row r="6707">
          <cell r="A6707" t="str">
            <v>5CM1LPSL3066S-S1</v>
          </cell>
          <cell r="B6707">
            <v>28</v>
          </cell>
        </row>
        <row r="6708">
          <cell r="A6708" t="str">
            <v>5CM1LPSL3066SZA</v>
          </cell>
          <cell r="B6708">
            <v>28</v>
          </cell>
        </row>
        <row r="6709">
          <cell r="A6709" t="str">
            <v>5RE1DPLB1165</v>
          </cell>
          <cell r="B6709">
            <v>20</v>
          </cell>
        </row>
        <row r="6710">
          <cell r="A6710" t="str">
            <v>5RE1DPLB1256</v>
          </cell>
          <cell r="B6710">
            <v>1</v>
          </cell>
        </row>
        <row r="6711">
          <cell r="A6711" t="str">
            <v>5RE1PTRZ570WU</v>
          </cell>
          <cell r="B6711">
            <v>26</v>
          </cell>
        </row>
        <row r="6712">
          <cell r="A6712" t="str">
            <v>5RE2DPLB1165</v>
          </cell>
          <cell r="B6712">
            <v>7</v>
          </cell>
        </row>
        <row r="6713">
          <cell r="A6713" t="str">
            <v>5RE2DPLB1256</v>
          </cell>
          <cell r="B6713">
            <v>1</v>
          </cell>
        </row>
        <row r="6714">
          <cell r="A6714" t="str">
            <v>5RE2PTRZ570WU</v>
          </cell>
          <cell r="B6714">
            <v>8</v>
          </cell>
        </row>
        <row r="6715">
          <cell r="A6715" t="str">
            <v>6RE1DPLB1166</v>
          </cell>
          <cell r="B6715">
            <v>5</v>
          </cell>
        </row>
        <row r="6716">
          <cell r="A6716" t="str">
            <v>6RE1DPLB1257</v>
          </cell>
          <cell r="B6716">
            <v>0</v>
          </cell>
        </row>
        <row r="6717">
          <cell r="A6717" t="str">
            <v>6RE1PTRZ570WU</v>
          </cell>
          <cell r="B6717">
            <v>2</v>
          </cell>
        </row>
        <row r="6718">
          <cell r="A6718" t="str">
            <v>6RE2DPLB1085</v>
          </cell>
          <cell r="B6718">
            <v>2</v>
          </cell>
        </row>
        <row r="6719">
          <cell r="A6719" t="str">
            <v>6RE2DPLB1166</v>
          </cell>
          <cell r="B6719">
            <v>1</v>
          </cell>
        </row>
        <row r="6720">
          <cell r="A6720" t="str">
            <v>6RE2DPLB1257</v>
          </cell>
          <cell r="B6720">
            <v>1</v>
          </cell>
        </row>
        <row r="6721">
          <cell r="A6721" t="str">
            <v>6RE2PTRZ570WU</v>
          </cell>
          <cell r="B6721">
            <v>3</v>
          </cell>
        </row>
        <row r="6722">
          <cell r="A6722" t="str">
            <v>7RE1DPLB1231</v>
          </cell>
          <cell r="B6722">
            <v>1</v>
          </cell>
        </row>
        <row r="6723">
          <cell r="A6723" t="str">
            <v>7RE1DPLB1258</v>
          </cell>
          <cell r="B6723">
            <v>2</v>
          </cell>
        </row>
        <row r="6724">
          <cell r="A6724" t="str">
            <v>8RE1DPLB1087</v>
          </cell>
          <cell r="B6724">
            <v>30</v>
          </cell>
        </row>
        <row r="6725">
          <cell r="A6725" t="str">
            <v>8RE1DPLB1168</v>
          </cell>
          <cell r="B6725">
            <v>2</v>
          </cell>
        </row>
        <row r="6726">
          <cell r="A6726" t="str">
            <v>8RE1DPLB1259</v>
          </cell>
          <cell r="B6726">
            <v>7</v>
          </cell>
        </row>
        <row r="6727">
          <cell r="A6727" t="str">
            <v>8RE2DPLB1087</v>
          </cell>
          <cell r="B6727">
            <v>7</v>
          </cell>
        </row>
        <row r="6728">
          <cell r="A6728" t="str">
            <v>9RE1DPLB1088</v>
          </cell>
          <cell r="B6728">
            <v>10</v>
          </cell>
        </row>
        <row r="6729">
          <cell r="A6729" t="str">
            <v>9RE1PTRZ570WU</v>
          </cell>
          <cell r="B6729">
            <v>1</v>
          </cell>
        </row>
        <row r="6730">
          <cell r="A6730" t="str">
            <v>9RE2DPLB1088</v>
          </cell>
          <cell r="B6730">
            <v>6</v>
          </cell>
        </row>
        <row r="6731">
          <cell r="A6731" t="str">
            <v>9RE2PTRZ570WU</v>
          </cell>
          <cell r="B6731">
            <v>1</v>
          </cell>
        </row>
        <row r="6732">
          <cell r="A6732" t="str">
            <v>A6577-3J80</v>
          </cell>
          <cell r="B6732">
            <v>1</v>
          </cell>
        </row>
        <row r="6733">
          <cell r="A6733" t="str">
            <v>A6644-3J80</v>
          </cell>
          <cell r="B6733">
            <v>1</v>
          </cell>
        </row>
        <row r="6734">
          <cell r="A6734" t="str">
            <v>A6746-3J80</v>
          </cell>
          <cell r="B6734">
            <v>1</v>
          </cell>
        </row>
        <row r="6735">
          <cell r="A6735" t="str">
            <v>AEFF334PCB40-0RAZ</v>
          </cell>
          <cell r="B6735">
            <v>24</v>
          </cell>
        </row>
        <row r="6736">
          <cell r="A6736" t="str">
            <v>AEFF344PCB40-0RRAC</v>
          </cell>
          <cell r="B6736">
            <v>12</v>
          </cell>
        </row>
        <row r="6737">
          <cell r="A6737" t="str">
            <v>AEFF344PCB40-0RRDC</v>
          </cell>
          <cell r="B6737">
            <v>8</v>
          </cell>
        </row>
        <row r="6738">
          <cell r="A6738" t="str">
            <v>AEFF344PCB40-0RREC</v>
          </cell>
          <cell r="B6738">
            <v>14</v>
          </cell>
        </row>
        <row r="6739">
          <cell r="A6739" t="str">
            <v>ARE1PTRZ570WU</v>
          </cell>
          <cell r="B6739">
            <v>1</v>
          </cell>
        </row>
        <row r="6740">
          <cell r="A6740" t="str">
            <v>ARE2PTRZ570WU</v>
          </cell>
          <cell r="B6740">
            <v>1</v>
          </cell>
        </row>
        <row r="6741">
          <cell r="A6741" t="str">
            <v>BCM1DPLB1263</v>
          </cell>
          <cell r="B6741">
            <v>126</v>
          </cell>
        </row>
        <row r="6742">
          <cell r="A6742" t="str">
            <v>BRH1DPLB1263</v>
          </cell>
          <cell r="B6742">
            <v>7</v>
          </cell>
        </row>
        <row r="6743">
          <cell r="A6743" t="str">
            <v>CMFF344PCB01-0RRAC</v>
          </cell>
          <cell r="B6743">
            <v>150</v>
          </cell>
        </row>
        <row r="6744">
          <cell r="A6744" t="str">
            <v>CMFF344PCB01-ARRAC</v>
          </cell>
          <cell r="B6744">
            <v>150</v>
          </cell>
        </row>
        <row r="6745">
          <cell r="A6745" t="str">
            <v>CMFF344PCB01-ARRCC</v>
          </cell>
          <cell r="B6745">
            <v>150</v>
          </cell>
        </row>
        <row r="6746">
          <cell r="A6746" t="str">
            <v>CMFF344PCB01-DRRAC</v>
          </cell>
          <cell r="B6746">
            <v>151</v>
          </cell>
        </row>
        <row r="6747">
          <cell r="A6747" t="str">
            <v>CMFF344PCB01-KRRAC</v>
          </cell>
          <cell r="B6747">
            <v>150</v>
          </cell>
        </row>
        <row r="6748">
          <cell r="A6748" t="str">
            <v>CMFF344PCB01-NRRAC</v>
          </cell>
          <cell r="B6748">
            <v>151</v>
          </cell>
        </row>
        <row r="6749">
          <cell r="A6749" t="str">
            <v>CMFF344PCB01-YRRAC</v>
          </cell>
          <cell r="B6749">
            <v>151</v>
          </cell>
        </row>
        <row r="6750">
          <cell r="A6750" t="str">
            <v>CMFF344PCB40-0RRAC</v>
          </cell>
          <cell r="B6750">
            <v>104</v>
          </cell>
        </row>
        <row r="6751">
          <cell r="A6751" t="str">
            <v>CMFF344PCB40-0RRDC</v>
          </cell>
          <cell r="B6751">
            <v>56</v>
          </cell>
        </row>
        <row r="6752">
          <cell r="A6752" t="str">
            <v>CMFF344PCB40-0RREC</v>
          </cell>
          <cell r="B6752">
            <v>61</v>
          </cell>
        </row>
        <row r="6753">
          <cell r="A6753" t="str">
            <v>CMRF334PCB40-0RAZ</v>
          </cell>
          <cell r="B6753">
            <v>49</v>
          </cell>
        </row>
        <row r="6754">
          <cell r="A6754" t="str">
            <v>CMRF344PCB01-0RRAC</v>
          </cell>
          <cell r="B6754">
            <v>219</v>
          </cell>
        </row>
        <row r="6755">
          <cell r="A6755" t="str">
            <v>CMRF344PCB01-ARRAC</v>
          </cell>
          <cell r="B6755">
            <v>219</v>
          </cell>
        </row>
        <row r="6756">
          <cell r="A6756" t="str">
            <v>CMRF344PCB01-ARRCC</v>
          </cell>
          <cell r="B6756">
            <v>219</v>
          </cell>
        </row>
        <row r="6757">
          <cell r="A6757" t="str">
            <v>CMRF344PCB01-DRRAC</v>
          </cell>
          <cell r="B6757">
            <v>219</v>
          </cell>
        </row>
        <row r="6758">
          <cell r="A6758" t="str">
            <v>CMRF344PCB01-KRRAC</v>
          </cell>
          <cell r="B6758">
            <v>219</v>
          </cell>
        </row>
        <row r="6759">
          <cell r="A6759" t="str">
            <v>CMRF344PCB01-NRRAC</v>
          </cell>
          <cell r="B6759">
            <v>219</v>
          </cell>
        </row>
        <row r="6760">
          <cell r="A6760" t="str">
            <v>CMRF344PCB01-YRRAC</v>
          </cell>
          <cell r="B6760">
            <v>219</v>
          </cell>
        </row>
        <row r="6761">
          <cell r="A6761" t="str">
            <v>CRE1DPLB1172</v>
          </cell>
          <cell r="B6761">
            <v>1</v>
          </cell>
        </row>
        <row r="6762">
          <cell r="A6762" t="str">
            <v>CRE1PTRZ570WU</v>
          </cell>
          <cell r="B6762">
            <v>0</v>
          </cell>
        </row>
        <row r="6763">
          <cell r="A6763" t="str">
            <v>CRE2DPLB1172</v>
          </cell>
          <cell r="B6763">
            <v>1</v>
          </cell>
        </row>
        <row r="6764">
          <cell r="A6764" t="str">
            <v>CRE2PTRZ570WU</v>
          </cell>
          <cell r="B6764">
            <v>12</v>
          </cell>
        </row>
        <row r="6765">
          <cell r="A6765" t="str">
            <v>CRH1DPLB1264</v>
          </cell>
          <cell r="B6765">
            <v>0</v>
          </cell>
        </row>
        <row r="6766">
          <cell r="A6766" t="str">
            <v>FCM1PTRZ570WU</v>
          </cell>
          <cell r="B6766">
            <v>0</v>
          </cell>
        </row>
        <row r="6767">
          <cell r="A6767" t="str">
            <v>H62603J80P1</v>
          </cell>
          <cell r="B6767">
            <v>1</v>
          </cell>
        </row>
        <row r="6768">
          <cell r="A6768" t="str">
            <v>H62603K20BP</v>
          </cell>
        </row>
        <row r="6769">
          <cell r="A6769" t="str">
            <v>H6555-3J80</v>
          </cell>
          <cell r="B6769">
            <v>1</v>
          </cell>
        </row>
        <row r="6770">
          <cell r="A6770" t="str">
            <v>H6555-3K20</v>
          </cell>
        </row>
        <row r="6771">
          <cell r="A6771" t="str">
            <v>H6575-3K20</v>
          </cell>
        </row>
        <row r="6772">
          <cell r="A6772" t="str">
            <v>IRH1DPLB1178</v>
          </cell>
          <cell r="B6772">
            <v>0</v>
          </cell>
        </row>
        <row r="6773">
          <cell r="A6773" t="str">
            <v>J6260-3J80</v>
          </cell>
          <cell r="B6773">
            <v>1</v>
          </cell>
        </row>
        <row r="6774">
          <cell r="A6774" t="str">
            <v>J6575-3J80</v>
          </cell>
          <cell r="B6774">
            <v>1</v>
          </cell>
        </row>
        <row r="6775">
          <cell r="A6775" t="str">
            <v>JAE1DPLB1179-7</v>
          </cell>
          <cell r="B6775">
            <v>0</v>
          </cell>
        </row>
        <row r="6776">
          <cell r="A6776" t="str">
            <v>JRE1PTRZ570WU-1</v>
          </cell>
          <cell r="B6776">
            <v>231</v>
          </cell>
        </row>
        <row r="6777">
          <cell r="A6777" t="str">
            <v>JRE2PTRZ570WU-1</v>
          </cell>
          <cell r="B6777">
            <v>196</v>
          </cell>
        </row>
        <row r="6778">
          <cell r="A6778" t="str">
            <v>JRH1DPLB1179-7</v>
          </cell>
          <cell r="B6778">
            <v>0</v>
          </cell>
        </row>
        <row r="6779">
          <cell r="A6779" t="str">
            <v>KRE1DPLB1205</v>
          </cell>
          <cell r="B6779">
            <v>3</v>
          </cell>
        </row>
        <row r="6780">
          <cell r="A6780" t="str">
            <v>LRE1DPLB1181</v>
          </cell>
          <cell r="B6780">
            <v>1</v>
          </cell>
        </row>
        <row r="6781">
          <cell r="A6781" t="str">
            <v>LRE1DPLB1206</v>
          </cell>
          <cell r="B6781">
            <v>5</v>
          </cell>
        </row>
        <row r="6782">
          <cell r="A6782" t="str">
            <v>LRE2DPLB1181</v>
          </cell>
          <cell r="B6782">
            <v>2</v>
          </cell>
        </row>
        <row r="6783">
          <cell r="A6783" t="str">
            <v>PEM24DAPBM2V4</v>
          </cell>
          <cell r="B6783">
            <v>220</v>
          </cell>
        </row>
        <row r="6784">
          <cell r="A6784" t="str">
            <v>PGLB1190ZA-EC</v>
          </cell>
          <cell r="B6784">
            <v>1</v>
          </cell>
        </row>
        <row r="6785">
          <cell r="A6785" t="str">
            <v>PGLB1461WA-GL</v>
          </cell>
          <cell r="B6785">
            <v>1</v>
          </cell>
        </row>
        <row r="6786">
          <cell r="A6786" t="str">
            <v>PGLB1462YA-GL</v>
          </cell>
          <cell r="B6786">
            <v>1</v>
          </cell>
        </row>
        <row r="6787">
          <cell r="A6787" t="str">
            <v>PGLB1751XA-GL</v>
          </cell>
          <cell r="B6787">
            <v>1</v>
          </cell>
        </row>
        <row r="6788">
          <cell r="A6788" t="str">
            <v>PGLB1753YA-GL</v>
          </cell>
          <cell r="B6788">
            <v>1</v>
          </cell>
        </row>
        <row r="6789">
          <cell r="A6789" t="str">
            <v>PGLB1754YA-GL</v>
          </cell>
          <cell r="B6789">
            <v>1</v>
          </cell>
        </row>
        <row r="6790">
          <cell r="A6790" t="str">
            <v>PGLB2061ZA-4Z</v>
          </cell>
          <cell r="B6790">
            <v>1</v>
          </cell>
        </row>
        <row r="6791">
          <cell r="A6791" t="str">
            <v>PGLB2062ZA-4Z</v>
          </cell>
          <cell r="B6791">
            <v>1</v>
          </cell>
        </row>
        <row r="6792">
          <cell r="A6792" t="str">
            <v>PGLB2064ZA-4Z</v>
          </cell>
          <cell r="B6792">
            <v>1</v>
          </cell>
        </row>
        <row r="6793">
          <cell r="A6793" t="str">
            <v>PGLB2065ZA-4Z</v>
          </cell>
          <cell r="B6793">
            <v>1</v>
          </cell>
        </row>
        <row r="6794">
          <cell r="A6794" t="str">
            <v>PGLB2066ZA-4Z</v>
          </cell>
          <cell r="B6794">
            <v>1</v>
          </cell>
        </row>
        <row r="6795">
          <cell r="A6795" t="str">
            <v>PGLB2093ZA-6H</v>
          </cell>
          <cell r="B6795">
            <v>1</v>
          </cell>
        </row>
        <row r="6796">
          <cell r="A6796" t="str">
            <v>PGLB2121YA-GL</v>
          </cell>
          <cell r="B6796">
            <v>1</v>
          </cell>
        </row>
        <row r="6797">
          <cell r="A6797" t="str">
            <v>PGLB2131YA-WK</v>
          </cell>
          <cell r="B6797">
            <v>1</v>
          </cell>
        </row>
        <row r="6798">
          <cell r="A6798" t="str">
            <v>PGLB2133YA-WK</v>
          </cell>
          <cell r="B6798">
            <v>1</v>
          </cell>
        </row>
        <row r="6799">
          <cell r="A6799" t="str">
            <v>PGLB2134ZA-XM</v>
          </cell>
          <cell r="B6799">
            <v>1</v>
          </cell>
        </row>
        <row r="6800">
          <cell r="A6800" t="str">
            <v>PGLB2156YA-XM</v>
          </cell>
          <cell r="B6800">
            <v>1</v>
          </cell>
        </row>
        <row r="6801">
          <cell r="A6801" t="str">
            <v>PGLB2179ZA-4V</v>
          </cell>
          <cell r="B6801">
            <v>1</v>
          </cell>
        </row>
        <row r="6802">
          <cell r="A6802" t="str">
            <v>PNLPHDV4302ZA-V4</v>
          </cell>
          <cell r="B6802">
            <v>0</v>
          </cell>
        </row>
        <row r="6803">
          <cell r="A6803" t="str">
            <v>PNLPHDV430C2ZA-V4</v>
          </cell>
          <cell r="B6803">
            <v>0</v>
          </cell>
        </row>
        <row r="6804">
          <cell r="A6804" t="str">
            <v>PNLPHDV430M2ZA-V4</v>
          </cell>
          <cell r="B6804">
            <v>0</v>
          </cell>
        </row>
        <row r="6805">
          <cell r="A6805" t="str">
            <v>PNLPHDV430N2ZA-V4</v>
          </cell>
          <cell r="B6805">
            <v>0</v>
          </cell>
        </row>
        <row r="6806">
          <cell r="A6806" t="str">
            <v>PNLPHDV430RU2ZA-V4</v>
          </cell>
          <cell r="B6806">
            <v>0</v>
          </cell>
        </row>
        <row r="6807">
          <cell r="A6807" t="str">
            <v>PNLPHDV430X2ZA-V4</v>
          </cell>
          <cell r="B6807">
            <v>0</v>
          </cell>
        </row>
        <row r="6808">
          <cell r="A6808" t="str">
            <v>PNXA1004WA/AS</v>
          </cell>
          <cell r="B6808">
            <v>0</v>
          </cell>
        </row>
        <row r="6809">
          <cell r="A6809" t="str">
            <v>PNXA1005UA/AS</v>
          </cell>
          <cell r="B6809">
            <v>0</v>
          </cell>
        </row>
        <row r="6810">
          <cell r="A6810" t="str">
            <v>PNXA1005UA/AS-R1</v>
          </cell>
          <cell r="B6810">
            <v>0</v>
          </cell>
        </row>
        <row r="6811">
          <cell r="A6811" t="str">
            <v>PNXA1005UA/AS-S2</v>
          </cell>
          <cell r="B6811">
            <v>0</v>
          </cell>
        </row>
        <row r="6812">
          <cell r="A6812" t="str">
            <v>PNXA1005WA/AS</v>
          </cell>
          <cell r="B6812">
            <v>0</v>
          </cell>
        </row>
        <row r="6813">
          <cell r="A6813" t="str">
            <v>PULB1025ZA-GL</v>
          </cell>
          <cell r="B6813">
            <v>0</v>
          </cell>
        </row>
        <row r="6814">
          <cell r="A6814" t="str">
            <v>PULB1028ZA/V1</v>
          </cell>
          <cell r="B6814">
            <v>1</v>
          </cell>
        </row>
        <row r="6815">
          <cell r="A6815" t="str">
            <v>PULB1029ZB-XM</v>
          </cell>
          <cell r="B6815">
            <v>1</v>
          </cell>
        </row>
        <row r="6816">
          <cell r="A6816" t="str">
            <v>PULB1032ZA-XM</v>
          </cell>
          <cell r="B6816">
            <v>1</v>
          </cell>
        </row>
        <row r="6817">
          <cell r="A6817" t="str">
            <v>PULB1062ZA-GL</v>
          </cell>
          <cell r="B6817">
            <v>1</v>
          </cell>
        </row>
        <row r="6818">
          <cell r="A6818" t="str">
            <v>PULB1080ZA-XM</v>
          </cell>
          <cell r="B6818">
            <v>0</v>
          </cell>
        </row>
        <row r="6819">
          <cell r="A6819" t="str">
            <v>PULB1081ZA-XM</v>
          </cell>
          <cell r="B6819">
            <v>0</v>
          </cell>
        </row>
        <row r="6820">
          <cell r="A6820" t="str">
            <v>PULB1082ZA-XM</v>
          </cell>
          <cell r="B6820">
            <v>0</v>
          </cell>
        </row>
        <row r="6821">
          <cell r="A6821" t="str">
            <v>RHFF334PCB40-0RAZ</v>
          </cell>
          <cell r="B6821">
            <v>23</v>
          </cell>
        </row>
        <row r="6822">
          <cell r="A6822" t="str">
            <v>RHFF344PCB40-0RRAC</v>
          </cell>
          <cell r="B6822">
            <v>6</v>
          </cell>
        </row>
        <row r="6823">
          <cell r="A6823" t="str">
            <v>RHFF344PCB40-0RRDC</v>
          </cell>
          <cell r="B6823">
            <v>5</v>
          </cell>
        </row>
        <row r="6824">
          <cell r="A6824" t="str">
            <v>RHFF344PCB40-0RREC</v>
          </cell>
          <cell r="B6824">
            <v>4</v>
          </cell>
        </row>
        <row r="6825">
          <cell r="A6825" t="str">
            <v>VBC711GUMVV4</v>
          </cell>
          <cell r="B6825">
            <v>14</v>
          </cell>
        </row>
        <row r="6826">
          <cell r="A6826" t="str">
            <v>VBC711GUTVV4</v>
          </cell>
          <cell r="B6826">
            <v>3</v>
          </cell>
        </row>
        <row r="6827">
          <cell r="A6827" t="str">
            <v>VBC911AHAPM1V4</v>
          </cell>
          <cell r="B6827">
            <v>318</v>
          </cell>
        </row>
        <row r="6828">
          <cell r="A6828" t="str">
            <v>VBC911AHAPM2V4</v>
          </cell>
          <cell r="B6828">
            <v>70</v>
          </cell>
        </row>
        <row r="6829">
          <cell r="A6829" t="str">
            <v>VBD673PBMVV4</v>
          </cell>
          <cell r="B6829">
            <v>72</v>
          </cell>
        </row>
        <row r="6830">
          <cell r="A6830" t="str">
            <v>VBD715AMPBMVV4</v>
          </cell>
          <cell r="B6830">
            <v>262</v>
          </cell>
        </row>
        <row r="6831">
          <cell r="A6831" t="str">
            <v>VBD715AS1PBMVV4</v>
          </cell>
          <cell r="B6831">
            <v>344</v>
          </cell>
        </row>
        <row r="6832">
          <cell r="A6832" t="str">
            <v>VBD715AS2PBMV1V4</v>
          </cell>
          <cell r="B6832">
            <v>122</v>
          </cell>
        </row>
        <row r="6833">
          <cell r="A6833" t="str">
            <v>VBD765MPBMV1V4</v>
          </cell>
          <cell r="B6833">
            <v>305</v>
          </cell>
        </row>
        <row r="6834">
          <cell r="A6834" t="str">
            <v>VBD765MPBMV2V4</v>
          </cell>
          <cell r="B6834">
            <v>238</v>
          </cell>
        </row>
        <row r="6835">
          <cell r="A6835" t="str">
            <v>VBD765SPBMVV4</v>
          </cell>
          <cell r="B6835">
            <v>45</v>
          </cell>
        </row>
        <row r="6836">
          <cell r="A6836" t="str">
            <v>VBD777PBMV1V4</v>
          </cell>
          <cell r="B6836">
            <v>436</v>
          </cell>
        </row>
        <row r="6837">
          <cell r="A6837" t="str">
            <v>VBD777PBMV2V4</v>
          </cell>
          <cell r="B6837">
            <v>542</v>
          </cell>
        </row>
        <row r="6838">
          <cell r="A6838" t="str">
            <v>VBD779PBMVV4</v>
          </cell>
          <cell r="B6838">
            <v>445</v>
          </cell>
        </row>
        <row r="6839">
          <cell r="A6839" t="str">
            <v>VBD784PBAMVV4</v>
          </cell>
          <cell r="B6839">
            <v>247</v>
          </cell>
        </row>
        <row r="6840">
          <cell r="A6840" t="str">
            <v>VBD820PBAMV1V4</v>
          </cell>
          <cell r="B6840">
            <v>304</v>
          </cell>
        </row>
        <row r="6841">
          <cell r="A6841" t="str">
            <v>VBD820PBAMV2V4</v>
          </cell>
          <cell r="B6841">
            <v>381</v>
          </cell>
        </row>
        <row r="6842">
          <cell r="A6842" t="str">
            <v>VBD830PBBMV1V4</v>
          </cell>
          <cell r="B6842">
            <v>375</v>
          </cell>
        </row>
        <row r="6843">
          <cell r="A6843" t="str">
            <v>VBD830PBBMV2V4</v>
          </cell>
          <cell r="B6843">
            <v>420</v>
          </cell>
        </row>
        <row r="6844">
          <cell r="A6844" t="str">
            <v>VBD834PBMV1V4</v>
          </cell>
          <cell r="B6844">
            <v>621</v>
          </cell>
        </row>
        <row r="6845">
          <cell r="A6845" t="str">
            <v>VBD834PBMV2V4</v>
          </cell>
          <cell r="B6845">
            <v>602</v>
          </cell>
        </row>
        <row r="6846">
          <cell r="A6846" t="str">
            <v>VBD873PBMVV4</v>
          </cell>
          <cell r="B6846">
            <v>72</v>
          </cell>
        </row>
        <row r="6847">
          <cell r="A6847" t="str">
            <v>VBD880PBBMV1V4</v>
          </cell>
          <cell r="B6847">
            <v>330</v>
          </cell>
        </row>
        <row r="6848">
          <cell r="A6848" t="str">
            <v>VBD880PBBMV2V4</v>
          </cell>
          <cell r="B6848">
            <v>80</v>
          </cell>
        </row>
        <row r="6849">
          <cell r="A6849" t="str">
            <v>VBD880PBBTVV4</v>
          </cell>
          <cell r="B6849">
            <v>66</v>
          </cell>
        </row>
        <row r="6850">
          <cell r="A6850" t="str">
            <v>VBD881PBAMVV4</v>
          </cell>
          <cell r="B6850">
            <v>330</v>
          </cell>
        </row>
        <row r="6851">
          <cell r="A6851" t="str">
            <v>VBD881PBATVV4</v>
          </cell>
          <cell r="B6851">
            <v>53</v>
          </cell>
        </row>
        <row r="6852">
          <cell r="A6852" t="str">
            <v>VBD921PBMVV4</v>
          </cell>
          <cell r="B6852">
            <v>271</v>
          </cell>
        </row>
        <row r="6853">
          <cell r="A6853" t="str">
            <v>VBD921PBTVV4</v>
          </cell>
          <cell r="B6853">
            <v>273</v>
          </cell>
        </row>
        <row r="6854">
          <cell r="A6854" t="str">
            <v>VBD923PBMVV4</v>
          </cell>
          <cell r="B6854">
            <v>238</v>
          </cell>
        </row>
        <row r="6855">
          <cell r="A6855" t="str">
            <v>VBD923PBTVV4</v>
          </cell>
          <cell r="B6855">
            <v>27</v>
          </cell>
        </row>
        <row r="6856">
          <cell r="A6856" t="str">
            <v>VBD924PBMV1V4</v>
          </cell>
          <cell r="B6856">
            <v>509</v>
          </cell>
        </row>
        <row r="6857">
          <cell r="A6857" t="str">
            <v>VBD924PBMV2V4</v>
          </cell>
          <cell r="B6857">
            <v>274</v>
          </cell>
        </row>
        <row r="6858">
          <cell r="A6858" t="str">
            <v>VBD924PBTVV4</v>
          </cell>
          <cell r="B6858">
            <v>7</v>
          </cell>
        </row>
        <row r="6859">
          <cell r="A6859" t="str">
            <v>VBD926PB1MV1V4</v>
          </cell>
          <cell r="B6859">
            <v>400</v>
          </cell>
        </row>
        <row r="6860">
          <cell r="A6860" t="str">
            <v>VBD926PB1MV2V4</v>
          </cell>
          <cell r="B6860">
            <v>231</v>
          </cell>
        </row>
        <row r="6861">
          <cell r="A6861" t="str">
            <v>VBD926PB1TVV4</v>
          </cell>
          <cell r="B6861">
            <v>18</v>
          </cell>
        </row>
        <row r="6862">
          <cell r="A6862" t="str">
            <v>VBD926PB2MV1V4</v>
          </cell>
          <cell r="B6862">
            <v>197</v>
          </cell>
        </row>
        <row r="6863">
          <cell r="A6863" t="str">
            <v>VBD926PB2MV2V4</v>
          </cell>
          <cell r="B6863">
            <v>525</v>
          </cell>
        </row>
        <row r="6864">
          <cell r="A6864" t="str">
            <v>VBD934APBMV1V4</v>
          </cell>
          <cell r="B6864">
            <v>209</v>
          </cell>
        </row>
        <row r="6865">
          <cell r="A6865" t="str">
            <v>VBD934APBMV2V4</v>
          </cell>
          <cell r="B6865">
            <v>185</v>
          </cell>
        </row>
        <row r="6866">
          <cell r="A6866" t="str">
            <v>VBD934APBTVV4</v>
          </cell>
          <cell r="B6866">
            <v>97</v>
          </cell>
        </row>
        <row r="6867">
          <cell r="A6867" t="str">
            <v>VBD935PBMV1V4</v>
          </cell>
          <cell r="B6867">
            <v>334</v>
          </cell>
        </row>
        <row r="6868">
          <cell r="A6868" t="str">
            <v>VBD935PBMV2V4</v>
          </cell>
          <cell r="B6868">
            <v>462</v>
          </cell>
        </row>
        <row r="6869">
          <cell r="A6869" t="str">
            <v>VBD935PBTVV4</v>
          </cell>
          <cell r="B6869">
            <v>99</v>
          </cell>
        </row>
        <row r="6870">
          <cell r="A6870" t="str">
            <v>VBD950PB1V4</v>
          </cell>
          <cell r="B6870">
            <v>73</v>
          </cell>
        </row>
        <row r="6871">
          <cell r="A6871" t="str">
            <v>VBD950PB4TVV4</v>
          </cell>
          <cell r="B6871">
            <v>22</v>
          </cell>
        </row>
        <row r="6872">
          <cell r="A6872" t="str">
            <v>VBD971PBMVV4</v>
          </cell>
          <cell r="B6872">
            <v>327</v>
          </cell>
        </row>
        <row r="6873">
          <cell r="A6873" t="str">
            <v>VBD9821PBMVV4</v>
          </cell>
          <cell r="B6873">
            <v>171</v>
          </cell>
        </row>
        <row r="6874">
          <cell r="A6874" t="str">
            <v>VBE611ADPBM1V4</v>
          </cell>
          <cell r="B6874">
            <v>30</v>
          </cell>
        </row>
        <row r="6875">
          <cell r="A6875" t="str">
            <v>VBE611ADPBM2V4</v>
          </cell>
          <cell r="B6875">
            <v>219</v>
          </cell>
        </row>
        <row r="6876">
          <cell r="A6876" t="str">
            <v>VDPS13HAPBM1V4</v>
          </cell>
          <cell r="B6876">
            <v>70</v>
          </cell>
        </row>
        <row r="6877">
          <cell r="A6877" t="str">
            <v>VDPS13HAPBM2V4</v>
          </cell>
          <cell r="B6877">
            <v>318</v>
          </cell>
        </row>
        <row r="6878">
          <cell r="A6878" t="str">
            <v>1AE1H603L3K21BP</v>
          </cell>
          <cell r="B6878">
            <v>150</v>
          </cell>
        </row>
        <row r="6879">
          <cell r="A6879" t="str">
            <v>1CM1H603L3K21BP</v>
          </cell>
          <cell r="B6879">
            <v>430</v>
          </cell>
        </row>
        <row r="6880">
          <cell r="A6880" t="str">
            <v>1HT1H603L3K21BP</v>
          </cell>
          <cell r="B6880">
            <v>18</v>
          </cell>
        </row>
        <row r="6881">
          <cell r="A6881" t="str">
            <v>1RH1H603L3K21BP</v>
          </cell>
          <cell r="B6881">
            <v>36</v>
          </cell>
        </row>
        <row r="6882">
          <cell r="A6882" t="str">
            <v>1TE1H603L3K21BP</v>
          </cell>
          <cell r="B6882">
            <v>1</v>
          </cell>
        </row>
        <row r="6883">
          <cell r="A6883" t="str">
            <v>1CM1ARBPB2A00081</v>
          </cell>
          <cell r="B6883">
            <v>3</v>
          </cell>
        </row>
        <row r="6884">
          <cell r="A6884" t="str">
            <v>1AE1ARBPC1A07131</v>
          </cell>
          <cell r="B6884">
            <v>56</v>
          </cell>
        </row>
        <row r="6885">
          <cell r="A6885" t="str">
            <v>1AE1ARBPC1A09713</v>
          </cell>
          <cell r="B6885">
            <v>4</v>
          </cell>
        </row>
        <row r="6886">
          <cell r="A6886" t="str">
            <v>1AE1ARBPC1A09950</v>
          </cell>
          <cell r="B6886">
            <v>5</v>
          </cell>
        </row>
        <row r="6887">
          <cell r="A6887" t="str">
            <v>1AE1ARBPC1A09972</v>
          </cell>
          <cell r="B6887">
            <v>5</v>
          </cell>
        </row>
        <row r="6888">
          <cell r="A6888" t="str">
            <v>1CM1ARBPC1A05383</v>
          </cell>
          <cell r="B6888">
            <v>269</v>
          </cell>
        </row>
        <row r="6889">
          <cell r="A6889" t="str">
            <v>1CM1ARBPC1A07131</v>
          </cell>
          <cell r="B6889">
            <v>269</v>
          </cell>
        </row>
        <row r="6890">
          <cell r="A6890" t="str">
            <v>1CM1ARBPC1A09713</v>
          </cell>
          <cell r="B6890">
            <v>23</v>
          </cell>
        </row>
        <row r="6891">
          <cell r="A6891" t="str">
            <v>1CM1ARBPC1A09972</v>
          </cell>
          <cell r="B6891">
            <v>23</v>
          </cell>
        </row>
        <row r="6892">
          <cell r="A6892" t="str">
            <v>1RE1ARBPC1A09713</v>
          </cell>
          <cell r="B6892">
            <v>237</v>
          </cell>
        </row>
        <row r="6893">
          <cell r="A6893" t="str">
            <v>1RE1ARBPC1A09950</v>
          </cell>
          <cell r="B6893">
            <v>150</v>
          </cell>
        </row>
        <row r="6894">
          <cell r="A6894" t="str">
            <v>1RE1ARBPC1A09972</v>
          </cell>
          <cell r="B6894">
            <v>239</v>
          </cell>
        </row>
        <row r="6895">
          <cell r="A6895" t="str">
            <v>1RH1ARBPC1A05383</v>
          </cell>
          <cell r="B6895">
            <v>16</v>
          </cell>
        </row>
        <row r="6896">
          <cell r="A6896" t="str">
            <v>1RH1ARBPC1A07131</v>
          </cell>
          <cell r="B6896">
            <v>16</v>
          </cell>
        </row>
        <row r="6897">
          <cell r="A6897" t="str">
            <v>1RH1ARBPC1A09713</v>
          </cell>
          <cell r="B6897">
            <v>19</v>
          </cell>
        </row>
        <row r="6898">
          <cell r="A6898" t="str">
            <v>1RH1ARBPC1A09950</v>
          </cell>
          <cell r="B6898">
            <v>14</v>
          </cell>
        </row>
        <row r="6899">
          <cell r="A6899" t="str">
            <v>1RH1ARBPC1A09972</v>
          </cell>
          <cell r="B6899">
            <v>21</v>
          </cell>
        </row>
        <row r="6900">
          <cell r="A6900" t="str">
            <v>1AE1ARBPC1A10911</v>
          </cell>
          <cell r="B6900">
            <v>6</v>
          </cell>
        </row>
        <row r="6901">
          <cell r="A6901" t="str">
            <v>1AE1ARBPC1A11191</v>
          </cell>
          <cell r="B6901">
            <v>6</v>
          </cell>
        </row>
        <row r="6902">
          <cell r="A6902" t="str">
            <v>1AE1ARBPC1A11231</v>
          </cell>
          <cell r="B6902">
            <v>6</v>
          </cell>
        </row>
        <row r="6903">
          <cell r="A6903" t="str">
            <v>1RE1ARBPC1A10911</v>
          </cell>
          <cell r="B6903">
            <v>170</v>
          </cell>
        </row>
        <row r="6904">
          <cell r="A6904" t="str">
            <v>1RE1ARBPC1A11191</v>
          </cell>
          <cell r="B6904">
            <v>170</v>
          </cell>
        </row>
        <row r="6905">
          <cell r="A6905" t="str">
            <v>1RE1ARBPC1A11231</v>
          </cell>
          <cell r="B6905">
            <v>170</v>
          </cell>
        </row>
        <row r="6906">
          <cell r="A6906" t="str">
            <v>1RH1ARBPC1A10911</v>
          </cell>
          <cell r="B6906">
            <v>19</v>
          </cell>
        </row>
        <row r="6907">
          <cell r="A6907" t="str">
            <v>1RH1ARBPC1A11191</v>
          </cell>
          <cell r="B6907">
            <v>19</v>
          </cell>
        </row>
        <row r="6908">
          <cell r="A6908" t="str">
            <v>1RH1ARBPC1A11231</v>
          </cell>
          <cell r="B6908">
            <v>19</v>
          </cell>
        </row>
        <row r="6909">
          <cell r="A6909" t="str">
            <v>1AE1ARBPC1A07172</v>
          </cell>
          <cell r="B6909">
            <v>7</v>
          </cell>
        </row>
        <row r="6910">
          <cell r="A6910" t="str">
            <v>1AE1ARBPC1A07490</v>
          </cell>
          <cell r="B6910">
            <v>56</v>
          </cell>
        </row>
        <row r="6911">
          <cell r="A6911" t="str">
            <v>1AE1ARBPC1A09174</v>
          </cell>
          <cell r="B6911">
            <v>6</v>
          </cell>
        </row>
        <row r="6912">
          <cell r="A6912" t="str">
            <v>1AE1ARBPC1A09832</v>
          </cell>
          <cell r="B6912">
            <v>5</v>
          </cell>
        </row>
        <row r="6913">
          <cell r="A6913" t="str">
            <v>1AE1ARBPC1A11252</v>
          </cell>
          <cell r="B6913">
            <v>6</v>
          </cell>
        </row>
        <row r="6914">
          <cell r="A6914" t="str">
            <v>1CM1ARBPC1A07490</v>
          </cell>
          <cell r="B6914">
            <v>286</v>
          </cell>
        </row>
        <row r="6915">
          <cell r="A6915" t="str">
            <v>1RE1ARBPC1A07172</v>
          </cell>
          <cell r="B6915">
            <v>157</v>
          </cell>
        </row>
        <row r="6916">
          <cell r="A6916" t="str">
            <v>1RE1ARBPC1A09174</v>
          </cell>
          <cell r="B6916">
            <v>170</v>
          </cell>
        </row>
        <row r="6917">
          <cell r="A6917" t="str">
            <v>1RE1ARBPC1A09832</v>
          </cell>
          <cell r="B6917">
            <v>150</v>
          </cell>
        </row>
        <row r="6918">
          <cell r="A6918" t="str">
            <v>1RE1ARBPC1A11252</v>
          </cell>
          <cell r="B6918">
            <v>171</v>
          </cell>
        </row>
        <row r="6919">
          <cell r="A6919" t="str">
            <v>1RH1ARBPC1A07172</v>
          </cell>
          <cell r="B6919">
            <v>14</v>
          </cell>
        </row>
        <row r="6920">
          <cell r="A6920" t="str">
            <v>1RH1ARBPC1A07490</v>
          </cell>
          <cell r="B6920">
            <v>16</v>
          </cell>
        </row>
        <row r="6921">
          <cell r="A6921" t="str">
            <v>1RH1ARBPC1A09174</v>
          </cell>
          <cell r="B6921">
            <v>19</v>
          </cell>
        </row>
        <row r="6922">
          <cell r="A6922" t="str">
            <v>1RH1ARBPC1A09832</v>
          </cell>
          <cell r="B6922">
            <v>17</v>
          </cell>
        </row>
        <row r="6923">
          <cell r="A6923" t="str">
            <v>1RH1ARBPC1A11252</v>
          </cell>
          <cell r="B6923">
            <v>19</v>
          </cell>
        </row>
        <row r="6924">
          <cell r="A6924" t="str">
            <v>1AE1ARBPC1A12371</v>
          </cell>
          <cell r="B6924">
            <v>3</v>
          </cell>
        </row>
        <row r="6925">
          <cell r="A6925" t="str">
            <v>1CM1ARBPC1A12371</v>
          </cell>
          <cell r="B6925">
            <v>92</v>
          </cell>
        </row>
        <row r="6926">
          <cell r="A6926" t="str">
            <v>1RE1ARBPC1A12371</v>
          </cell>
          <cell r="B6926">
            <v>256</v>
          </cell>
        </row>
        <row r="6927">
          <cell r="A6927" t="str">
            <v>1RH1ARBPC1A12371</v>
          </cell>
          <cell r="B6927">
            <v>16</v>
          </cell>
        </row>
        <row r="6928">
          <cell r="A6928" t="str">
            <v>1AE1ARBPC1A10831</v>
          </cell>
          <cell r="B6928">
            <v>6</v>
          </cell>
        </row>
        <row r="6929">
          <cell r="A6929" t="str">
            <v>1AE1ARBPC1A11391</v>
          </cell>
          <cell r="B6929">
            <v>6</v>
          </cell>
        </row>
        <row r="6930">
          <cell r="A6930" t="str">
            <v>1AE1ARBPC1A11401</v>
          </cell>
          <cell r="B6930">
            <v>6</v>
          </cell>
        </row>
        <row r="6931">
          <cell r="A6931" t="str">
            <v>1AE1ARBPC1A11411</v>
          </cell>
          <cell r="B6931">
            <v>6</v>
          </cell>
        </row>
        <row r="6932">
          <cell r="A6932" t="str">
            <v>1AE1ARBPC1A11463</v>
          </cell>
          <cell r="B6932">
            <v>8</v>
          </cell>
        </row>
        <row r="6933">
          <cell r="A6933" t="str">
            <v>1AE1ARBPC1A12631</v>
          </cell>
          <cell r="B6933">
            <v>7</v>
          </cell>
        </row>
        <row r="6934">
          <cell r="A6934" t="str">
            <v>1AE1ARBPC1A12911</v>
          </cell>
          <cell r="B6934">
            <v>5</v>
          </cell>
        </row>
        <row r="6935">
          <cell r="A6935" t="str">
            <v>1CM1ARBPC1A12631</v>
          </cell>
          <cell r="B6935">
            <v>23</v>
          </cell>
        </row>
        <row r="6936">
          <cell r="A6936" t="str">
            <v>1CM1ARBPC1A12911</v>
          </cell>
          <cell r="B6936">
            <v>23</v>
          </cell>
        </row>
        <row r="6937">
          <cell r="A6937" t="str">
            <v>1RE1ARBPC1A10831</v>
          </cell>
          <cell r="B6937">
            <v>172</v>
          </cell>
        </row>
        <row r="6938">
          <cell r="A6938" t="str">
            <v>1RE1ARBPC1A11391</v>
          </cell>
          <cell r="B6938">
            <v>171</v>
          </cell>
        </row>
        <row r="6939">
          <cell r="A6939" t="str">
            <v>1RE1ARBPC1A11401</v>
          </cell>
          <cell r="B6939">
            <v>171</v>
          </cell>
        </row>
        <row r="6940">
          <cell r="A6940" t="str">
            <v>1RE1ARBPC1A11411</v>
          </cell>
          <cell r="B6940">
            <v>171</v>
          </cell>
        </row>
        <row r="6941">
          <cell r="A6941" t="str">
            <v>1RE1ARBPC1A11463</v>
          </cell>
          <cell r="B6941">
            <v>166</v>
          </cell>
        </row>
        <row r="6942">
          <cell r="A6942" t="str">
            <v>1RE1ARBPC1A12631</v>
          </cell>
          <cell r="B6942">
            <v>278</v>
          </cell>
        </row>
        <row r="6943">
          <cell r="A6943" t="str">
            <v>1RE1ARBPC1A12911</v>
          </cell>
          <cell r="B6943">
            <v>278</v>
          </cell>
        </row>
        <row r="6944">
          <cell r="A6944" t="str">
            <v>1RH1ARBPC1A10831</v>
          </cell>
          <cell r="B6944">
            <v>19</v>
          </cell>
        </row>
        <row r="6945">
          <cell r="A6945" t="str">
            <v>1RH1ARBPC1A11391</v>
          </cell>
          <cell r="B6945">
            <v>19</v>
          </cell>
        </row>
        <row r="6946">
          <cell r="A6946" t="str">
            <v>1RH1ARBPC1A11401</v>
          </cell>
          <cell r="B6946">
            <v>19</v>
          </cell>
        </row>
        <row r="6947">
          <cell r="A6947" t="str">
            <v>1RH1ARBPC1A11411</v>
          </cell>
          <cell r="B6947">
            <v>19</v>
          </cell>
        </row>
        <row r="6948">
          <cell r="A6948" t="str">
            <v>1RH1ARBPC1A11463</v>
          </cell>
          <cell r="B6948">
            <v>19</v>
          </cell>
        </row>
        <row r="6949">
          <cell r="A6949" t="str">
            <v>1RH1ARBPC1A12631</v>
          </cell>
          <cell r="B6949">
            <v>24</v>
          </cell>
        </row>
        <row r="6950">
          <cell r="A6950" t="str">
            <v>1RH1ARBPC1A12911</v>
          </cell>
          <cell r="B6950">
            <v>24</v>
          </cell>
        </row>
        <row r="6951">
          <cell r="A6951" t="str">
            <v>1AE1ARBPC1A04072</v>
          </cell>
          <cell r="B6951">
            <v>56</v>
          </cell>
        </row>
        <row r="6952">
          <cell r="A6952" t="str">
            <v>1AE1ARBPC1A09823</v>
          </cell>
          <cell r="B6952">
            <v>6</v>
          </cell>
        </row>
        <row r="6953">
          <cell r="A6953" t="str">
            <v>1AE1ARBPC1A13130</v>
          </cell>
          <cell r="B6953">
            <v>5</v>
          </cell>
        </row>
        <row r="6954">
          <cell r="A6954" t="str">
            <v>1AE1ARBPC1A13160</v>
          </cell>
          <cell r="B6954">
            <v>6</v>
          </cell>
        </row>
        <row r="6955">
          <cell r="A6955" t="str">
            <v>1CM1ARBPC1A04075</v>
          </cell>
          <cell r="B6955">
            <v>269</v>
          </cell>
        </row>
        <row r="6956">
          <cell r="A6956" t="str">
            <v>1RE1ARBPC1A09823</v>
          </cell>
          <cell r="B6956">
            <v>170</v>
          </cell>
        </row>
        <row r="6957">
          <cell r="A6957" t="str">
            <v>1RE1ARBPC1A13130</v>
          </cell>
          <cell r="B6957">
            <v>149</v>
          </cell>
        </row>
        <row r="6958">
          <cell r="A6958" t="str">
            <v>1RE1ARBPC1A13160</v>
          </cell>
          <cell r="B6958">
            <v>170</v>
          </cell>
        </row>
        <row r="6959">
          <cell r="A6959" t="str">
            <v>1RH1ARBPC1A04075</v>
          </cell>
          <cell r="B6959">
            <v>16</v>
          </cell>
        </row>
        <row r="6960">
          <cell r="A6960" t="str">
            <v>1RH1ARBPC1A09823</v>
          </cell>
          <cell r="B6960">
            <v>16</v>
          </cell>
        </row>
        <row r="6961">
          <cell r="A6961" t="str">
            <v>1RH1ARBPC1A13130</v>
          </cell>
          <cell r="B6961">
            <v>17</v>
          </cell>
        </row>
        <row r="6962">
          <cell r="A6962" t="str">
            <v>1RH1ARBPC1A13160</v>
          </cell>
          <cell r="B6962">
            <v>19</v>
          </cell>
        </row>
        <row r="6963">
          <cell r="A6963" t="str">
            <v>1AE1ARBPC1A09852</v>
          </cell>
          <cell r="B6963">
            <v>5</v>
          </cell>
        </row>
        <row r="6964">
          <cell r="A6964" t="str">
            <v>1AE1ARBPC1A12361</v>
          </cell>
          <cell r="B6964">
            <v>3</v>
          </cell>
        </row>
        <row r="6965">
          <cell r="A6965" t="str">
            <v>1AE1ARBPC1A13110</v>
          </cell>
          <cell r="B6965">
            <v>5</v>
          </cell>
        </row>
        <row r="6966">
          <cell r="A6966" t="str">
            <v>1AE1ARBPC1A13170</v>
          </cell>
          <cell r="B6966">
            <v>6</v>
          </cell>
        </row>
        <row r="6967">
          <cell r="A6967" t="str">
            <v>1CM1ARBPC1A12361</v>
          </cell>
          <cell r="B6967">
            <v>83</v>
          </cell>
        </row>
        <row r="6968">
          <cell r="A6968" t="str">
            <v>1RE1ARBPC1A09852</v>
          </cell>
          <cell r="B6968">
            <v>149</v>
          </cell>
        </row>
        <row r="6969">
          <cell r="A6969" t="str">
            <v>1RE1ARBPC1A12361</v>
          </cell>
          <cell r="B6969">
            <v>275</v>
          </cell>
        </row>
        <row r="6970">
          <cell r="A6970" t="str">
            <v>1RE1ARBPC1A13110</v>
          </cell>
          <cell r="B6970">
            <v>149</v>
          </cell>
        </row>
        <row r="6971">
          <cell r="A6971" t="str">
            <v>1RE1ARBPC1A13170</v>
          </cell>
          <cell r="B6971">
            <v>170</v>
          </cell>
        </row>
        <row r="6972">
          <cell r="A6972" t="str">
            <v>1RH1ARBPC1A09852</v>
          </cell>
          <cell r="B6972">
            <v>17</v>
          </cell>
        </row>
        <row r="6973">
          <cell r="A6973" t="str">
            <v>1RH1ARBPC1A12361</v>
          </cell>
          <cell r="B6973">
            <v>17</v>
          </cell>
        </row>
        <row r="6974">
          <cell r="A6974" t="str">
            <v>1RH1ARBPC1A13110</v>
          </cell>
          <cell r="B6974">
            <v>17</v>
          </cell>
        </row>
        <row r="6975">
          <cell r="A6975" t="str">
            <v>1RH1ARBPC1A13170</v>
          </cell>
          <cell r="B6975">
            <v>17</v>
          </cell>
        </row>
        <row r="6976">
          <cell r="A6976" t="str">
            <v>1AE1ARBPC1A13200</v>
          </cell>
          <cell r="B6976">
            <v>5</v>
          </cell>
        </row>
        <row r="6977">
          <cell r="A6977" t="str">
            <v>1RE1ARBPC1A13200</v>
          </cell>
          <cell r="B6977">
            <v>181</v>
          </cell>
        </row>
        <row r="6978">
          <cell r="A6978" t="str">
            <v>1RH1ARBPC1A13200</v>
          </cell>
          <cell r="B6978">
            <v>19</v>
          </cell>
        </row>
        <row r="6979">
          <cell r="A6979" t="str">
            <v>1RE2A605S-3J0Z-T</v>
          </cell>
          <cell r="B6979">
            <v>9</v>
          </cell>
        </row>
        <row r="6980">
          <cell r="A6980" t="str">
            <v>1AE1ARBPC1A13140</v>
          </cell>
          <cell r="B6980">
            <v>6</v>
          </cell>
        </row>
        <row r="6981">
          <cell r="A6981" t="str">
            <v>1AE1ARBPC1A13220</v>
          </cell>
          <cell r="B6981">
            <v>5</v>
          </cell>
        </row>
        <row r="6982">
          <cell r="A6982" t="str">
            <v>1RE1ARBPC1A13140</v>
          </cell>
          <cell r="B6982">
            <v>170</v>
          </cell>
        </row>
        <row r="6983">
          <cell r="A6983" t="str">
            <v>1RE1ARBPC1A13220</v>
          </cell>
          <cell r="B6983">
            <v>182</v>
          </cell>
        </row>
        <row r="6984">
          <cell r="A6984" t="str">
            <v>1RH1ARBPC1A13140</v>
          </cell>
          <cell r="B6984">
            <v>19</v>
          </cell>
        </row>
        <row r="6985">
          <cell r="A6985" t="str">
            <v>1RH1ARBPC1A13220</v>
          </cell>
          <cell r="B6985">
            <v>19</v>
          </cell>
        </row>
        <row r="6986">
          <cell r="A6986" t="str">
            <v>1AE1ARBPC1A13120</v>
          </cell>
          <cell r="B6986">
            <v>5</v>
          </cell>
        </row>
        <row r="6987">
          <cell r="A6987" t="str">
            <v>1RE1ARBPC1A13120</v>
          </cell>
          <cell r="B6987">
            <v>149</v>
          </cell>
        </row>
        <row r="6988">
          <cell r="A6988" t="str">
            <v>1RH1ARBPC1A13120</v>
          </cell>
          <cell r="B6988">
            <v>17</v>
          </cell>
        </row>
        <row r="6989">
          <cell r="A6989" t="str">
            <v>1AE1ARBPC1A07514</v>
          </cell>
          <cell r="B6989">
            <v>3</v>
          </cell>
        </row>
        <row r="6990">
          <cell r="A6990" t="str">
            <v>1AE1ARBPC1A09895</v>
          </cell>
          <cell r="B6990">
            <v>5</v>
          </cell>
        </row>
        <row r="6991">
          <cell r="A6991" t="str">
            <v>1AE1ARBPC1A13150</v>
          </cell>
          <cell r="B6991">
            <v>6</v>
          </cell>
        </row>
        <row r="6992">
          <cell r="A6992" t="str">
            <v>1AE1ARBPC1A13210</v>
          </cell>
          <cell r="B6992">
            <v>3</v>
          </cell>
        </row>
        <row r="6993">
          <cell r="A6993" t="str">
            <v>1AE1RBPC1A09190</v>
          </cell>
          <cell r="B6993">
            <v>6</v>
          </cell>
        </row>
        <row r="6994">
          <cell r="A6994" t="str">
            <v>1CM1ARBPC1A07514</v>
          </cell>
          <cell r="B6994">
            <v>90</v>
          </cell>
        </row>
        <row r="6995">
          <cell r="A6995" t="str">
            <v>1CM1ARBPC1A13210</v>
          </cell>
          <cell r="B6995">
            <v>90</v>
          </cell>
        </row>
        <row r="6996">
          <cell r="A6996" t="str">
            <v>1RE1ARBP0DA02721</v>
          </cell>
          <cell r="B6996">
            <v>113</v>
          </cell>
        </row>
        <row r="6997">
          <cell r="A6997" t="str">
            <v>1RE1ARBPC1A07514</v>
          </cell>
          <cell r="B6997">
            <v>227</v>
          </cell>
        </row>
        <row r="6998">
          <cell r="A6998" t="str">
            <v>1RE1ARBPC1A09895</v>
          </cell>
          <cell r="B6998">
            <v>181</v>
          </cell>
        </row>
        <row r="6999">
          <cell r="A6999" t="str">
            <v>1RE1ARBPC1A13150</v>
          </cell>
          <cell r="B6999">
            <v>170</v>
          </cell>
        </row>
        <row r="7000">
          <cell r="A7000" t="str">
            <v>1RE1ARBPC1A13210</v>
          </cell>
          <cell r="B7000">
            <v>227</v>
          </cell>
        </row>
        <row r="7001">
          <cell r="A7001" t="str">
            <v>1RE1RBPC1A09190</v>
          </cell>
          <cell r="B7001">
            <v>170</v>
          </cell>
        </row>
        <row r="7002">
          <cell r="A7002" t="str">
            <v>1RE2ARBP0DA02721</v>
          </cell>
          <cell r="B7002">
            <v>39</v>
          </cell>
        </row>
        <row r="7003">
          <cell r="A7003" t="str">
            <v>1RH1ARBPC1A07514</v>
          </cell>
          <cell r="B7003">
            <v>17</v>
          </cell>
        </row>
        <row r="7004">
          <cell r="A7004" t="str">
            <v>1RH1ARBPC1A09895</v>
          </cell>
          <cell r="B7004">
            <v>19</v>
          </cell>
        </row>
        <row r="7005">
          <cell r="A7005" t="str">
            <v>1RH1ARBPC1A13150</v>
          </cell>
          <cell r="B7005">
            <v>19</v>
          </cell>
        </row>
        <row r="7006">
          <cell r="A7006" t="str">
            <v>1RH1ARBPC1A13210</v>
          </cell>
          <cell r="B7006">
            <v>17</v>
          </cell>
        </row>
        <row r="7007">
          <cell r="A7007" t="str">
            <v>1RH1RBPC1A09190</v>
          </cell>
          <cell r="B7007">
            <v>16</v>
          </cell>
        </row>
        <row r="7008">
          <cell r="A7008" t="str">
            <v>1AE1ARBPC1A05242</v>
          </cell>
          <cell r="B7008">
            <v>7</v>
          </cell>
        </row>
        <row r="7009">
          <cell r="A7009" t="str">
            <v>1CM1ARBP0DA01301</v>
          </cell>
          <cell r="B7009">
            <v>58</v>
          </cell>
        </row>
        <row r="7010">
          <cell r="A7010" t="str">
            <v>1RE1ARBP0DA01301</v>
          </cell>
          <cell r="B7010">
            <v>17</v>
          </cell>
        </row>
        <row r="7011">
          <cell r="A7011" t="str">
            <v>1RE1ARBPC1A05242</v>
          </cell>
          <cell r="B7011">
            <v>160</v>
          </cell>
        </row>
        <row r="7012">
          <cell r="A7012" t="str">
            <v>1RH1ARBP0DA01301</v>
          </cell>
          <cell r="B7012">
            <v>8</v>
          </cell>
        </row>
        <row r="7013">
          <cell r="A7013" t="str">
            <v>1RH1ARBPC1A05244</v>
          </cell>
          <cell r="B7013">
            <v>18</v>
          </cell>
        </row>
        <row r="7014">
          <cell r="A7014" t="str">
            <v>1AE1ARBPC1A13180</v>
          </cell>
          <cell r="B7014">
            <v>6</v>
          </cell>
        </row>
        <row r="7015">
          <cell r="A7015" t="str">
            <v>1RE1ARBPC1A13180</v>
          </cell>
          <cell r="B7015">
            <v>170</v>
          </cell>
        </row>
        <row r="7016">
          <cell r="A7016" t="str">
            <v>1RH1ARBPC1A13180</v>
          </cell>
          <cell r="B7016">
            <v>17</v>
          </cell>
        </row>
        <row r="7017">
          <cell r="A7017" t="str">
            <v>1AE1H603L3J82P1-T</v>
          </cell>
          <cell r="B7017">
            <v>12</v>
          </cell>
        </row>
        <row r="7018">
          <cell r="A7018" t="str">
            <v>1CM1H603L3J82P1-T</v>
          </cell>
          <cell r="B7018">
            <v>134</v>
          </cell>
        </row>
        <row r="7019">
          <cell r="A7019" t="str">
            <v>1RE1A607B3J81P1-T</v>
          </cell>
          <cell r="B7019">
            <v>300</v>
          </cell>
        </row>
        <row r="7020">
          <cell r="A7020" t="str">
            <v>1RE1H603L3J82P1-T</v>
          </cell>
          <cell r="B7020">
            <v>127</v>
          </cell>
        </row>
        <row r="7021">
          <cell r="A7021" t="str">
            <v>1RE1H608D-3J80-T</v>
          </cell>
          <cell r="B7021">
            <v>1</v>
          </cell>
        </row>
        <row r="7022">
          <cell r="A7022" t="str">
            <v>1RE2A607B3J81P1-T</v>
          </cell>
          <cell r="B7022">
            <v>180</v>
          </cell>
        </row>
        <row r="7023">
          <cell r="A7023" t="str">
            <v>1RH1H603L3J82P1-T</v>
          </cell>
          <cell r="B7023">
            <v>10</v>
          </cell>
        </row>
        <row r="7024">
          <cell r="A7024" t="str">
            <v>1AE1ARBPC1A12362</v>
          </cell>
          <cell r="B7024">
            <v>3</v>
          </cell>
        </row>
        <row r="7025">
          <cell r="A7025" t="str">
            <v>1AE1ARBPC1A12372</v>
          </cell>
          <cell r="B7025">
            <v>3</v>
          </cell>
        </row>
        <row r="7026">
          <cell r="A7026" t="str">
            <v>1CM1ARBPC1A12362</v>
          </cell>
          <cell r="B7026">
            <v>83</v>
          </cell>
        </row>
        <row r="7027">
          <cell r="A7027" t="str">
            <v>1CM1ARBPC1A12372</v>
          </cell>
          <cell r="B7027">
            <v>92</v>
          </cell>
        </row>
        <row r="7028">
          <cell r="A7028" t="str">
            <v>1RE1ARBPC1A12362</v>
          </cell>
          <cell r="B7028">
            <v>275</v>
          </cell>
        </row>
        <row r="7029">
          <cell r="A7029" t="str">
            <v>1RE1ARBPC1A12372</v>
          </cell>
          <cell r="B7029">
            <v>256</v>
          </cell>
        </row>
        <row r="7030">
          <cell r="A7030" t="str">
            <v>1RH1ARBPC1A12362</v>
          </cell>
          <cell r="B7030">
            <v>16</v>
          </cell>
        </row>
        <row r="7031">
          <cell r="A7031" t="str">
            <v>1RH1ARBPC1A12372</v>
          </cell>
          <cell r="B7031">
            <v>17</v>
          </cell>
        </row>
        <row r="7032">
          <cell r="A7032" t="str">
            <v>1AE1ARBPC1A08804</v>
          </cell>
          <cell r="B7032">
            <v>4</v>
          </cell>
        </row>
        <row r="7033">
          <cell r="A7033" t="str">
            <v>1AE1ARBPC1A12632</v>
          </cell>
          <cell r="B7033">
            <v>7</v>
          </cell>
        </row>
        <row r="7034">
          <cell r="A7034" t="str">
            <v>1AE1ARBPC2A00371</v>
          </cell>
          <cell r="B7034">
            <v>23</v>
          </cell>
        </row>
        <row r="7035">
          <cell r="A7035" t="str">
            <v>1AE1ARBPC2A00461</v>
          </cell>
          <cell r="B7035">
            <v>27</v>
          </cell>
        </row>
        <row r="7036">
          <cell r="A7036" t="str">
            <v>1CM1ARBPC1A08804</v>
          </cell>
          <cell r="B7036">
            <v>23</v>
          </cell>
        </row>
        <row r="7037">
          <cell r="A7037" t="str">
            <v>1CM1ARBPC1A12632</v>
          </cell>
          <cell r="B7037">
            <v>23</v>
          </cell>
        </row>
        <row r="7038">
          <cell r="A7038" t="str">
            <v>1CM1ARBPC2A00371</v>
          </cell>
          <cell r="B7038">
            <v>96</v>
          </cell>
        </row>
        <row r="7039">
          <cell r="A7039" t="str">
            <v>1CM1ARBPC2A00461</v>
          </cell>
          <cell r="B7039">
            <v>78</v>
          </cell>
        </row>
        <row r="7040">
          <cell r="A7040" t="str">
            <v>1RE1ARBPC1A08804</v>
          </cell>
          <cell r="B7040">
            <v>275</v>
          </cell>
        </row>
        <row r="7041">
          <cell r="A7041" t="str">
            <v>1RE1ARBPC1A12632</v>
          </cell>
          <cell r="B7041">
            <v>277</v>
          </cell>
        </row>
        <row r="7042">
          <cell r="A7042" t="str">
            <v>1RH1ARBPC1A08804</v>
          </cell>
          <cell r="B7042">
            <v>21</v>
          </cell>
        </row>
        <row r="7043">
          <cell r="A7043" t="str">
            <v>1RH1ARBPC1A12632</v>
          </cell>
          <cell r="B7043">
            <v>25</v>
          </cell>
        </row>
        <row r="7044">
          <cell r="A7044" t="str">
            <v>1RH1ARBPC2A00371</v>
          </cell>
          <cell r="B7044">
            <v>12</v>
          </cell>
        </row>
        <row r="7045">
          <cell r="A7045" t="str">
            <v>1RH1ARBPC2A00461</v>
          </cell>
          <cell r="B7045">
            <v>12</v>
          </cell>
        </row>
        <row r="7046">
          <cell r="A7046" t="str">
            <v>1RE2H608D-3J80-T</v>
          </cell>
          <cell r="B7046">
            <v>1</v>
          </cell>
        </row>
        <row r="7047">
          <cell r="A7047" t="str">
            <v>1AE1ARBPC1A05246</v>
          </cell>
          <cell r="B7047">
            <v>7</v>
          </cell>
        </row>
        <row r="7048">
          <cell r="A7048" t="str">
            <v>1RE1ARBPC1A05246</v>
          </cell>
          <cell r="B7048">
            <v>160</v>
          </cell>
        </row>
        <row r="7049">
          <cell r="A7049" t="str">
            <v>1RH1ARBPC1A05246</v>
          </cell>
          <cell r="B7049">
            <v>14</v>
          </cell>
        </row>
        <row r="7050">
          <cell r="A7050" t="str">
            <v>1AE1ARBPC1A09505</v>
          </cell>
          <cell r="B7050">
            <v>8</v>
          </cell>
        </row>
        <row r="7051">
          <cell r="A7051" t="str">
            <v>1RE1ARBPC1A09505</v>
          </cell>
          <cell r="B7051">
            <v>164</v>
          </cell>
        </row>
        <row r="7052">
          <cell r="A7052" t="str">
            <v>1RH1ARBPC1A09505</v>
          </cell>
          <cell r="B7052">
            <v>19</v>
          </cell>
        </row>
        <row r="7053">
          <cell r="A7053" t="str">
            <v>1AE1ARBPC1A13230</v>
          </cell>
          <cell r="B7053">
            <v>5</v>
          </cell>
        </row>
        <row r="7054">
          <cell r="A7054" t="str">
            <v>1RE1ARBPC1A13230</v>
          </cell>
          <cell r="B7054">
            <v>182</v>
          </cell>
        </row>
        <row r="7055">
          <cell r="A7055" t="str">
            <v>1RH1ARBPC1A13230</v>
          </cell>
          <cell r="B7055">
            <v>19</v>
          </cell>
        </row>
        <row r="7056">
          <cell r="A7056" t="str">
            <v>1CM1ARBPC1A11811</v>
          </cell>
          <cell r="B7056">
            <v>22</v>
          </cell>
        </row>
        <row r="7057">
          <cell r="A7057" t="str">
            <v>1RH1ARBPC1A11811</v>
          </cell>
          <cell r="B7057">
            <v>22</v>
          </cell>
        </row>
        <row r="7058">
          <cell r="A7058" t="str">
            <v>1AE1ARBPC1A11811</v>
          </cell>
          <cell r="B7058">
            <v>4</v>
          </cell>
        </row>
        <row r="7059">
          <cell r="A7059" t="str">
            <v>1RE1ARBPC1A11811</v>
          </cell>
          <cell r="B7059">
            <v>198</v>
          </cell>
        </row>
        <row r="7060">
          <cell r="A7060" t="str">
            <v>1RE2TP3MH1250BM-1</v>
          </cell>
          <cell r="B7060">
            <v>823</v>
          </cell>
        </row>
        <row r="7061">
          <cell r="A7061" t="str">
            <v>1RE1TP8MH1250BM-1</v>
          </cell>
          <cell r="B7061">
            <v>615</v>
          </cell>
        </row>
        <row r="7062">
          <cell r="A7062" t="str">
            <v>1CM1ARBPC1A10023</v>
          </cell>
          <cell r="B7062">
            <v>23</v>
          </cell>
        </row>
        <row r="7063">
          <cell r="A7063" t="str">
            <v>1RH1ARBPC1A10023</v>
          </cell>
          <cell r="B7063">
            <v>24</v>
          </cell>
        </row>
        <row r="7064">
          <cell r="A7064" t="str">
            <v>1AE1ARBPC1A10023</v>
          </cell>
          <cell r="B7064">
            <v>5</v>
          </cell>
        </row>
        <row r="7065">
          <cell r="A7065" t="str">
            <v>1RE1ARBPC1A10023</v>
          </cell>
          <cell r="B7065">
            <v>277</v>
          </cell>
        </row>
        <row r="7066">
          <cell r="A7066" t="str">
            <v>1CM1ARBP0DA01950-1</v>
          </cell>
          <cell r="B7066">
            <v>62</v>
          </cell>
        </row>
        <row r="7067">
          <cell r="A7067" t="str">
            <v>1RE1ARBP0DA01950-1</v>
          </cell>
          <cell r="B7067">
            <v>17</v>
          </cell>
        </row>
        <row r="7068">
          <cell r="A7068" t="str">
            <v>1RH1ARBP0DA01950-1</v>
          </cell>
          <cell r="B7068">
            <v>10</v>
          </cell>
        </row>
        <row r="7069">
          <cell r="A7069" t="str">
            <v>1CM1ARBP0DA01940-1</v>
          </cell>
          <cell r="B7069">
            <v>62</v>
          </cell>
        </row>
        <row r="7070">
          <cell r="A7070" t="str">
            <v>1RE1ARBP0DA01940-1</v>
          </cell>
          <cell r="B7070">
            <v>17</v>
          </cell>
        </row>
        <row r="7071">
          <cell r="A7071" t="str">
            <v>1RH1ARBP0DA01940-1</v>
          </cell>
          <cell r="B7071">
            <v>10</v>
          </cell>
        </row>
        <row r="7072">
          <cell r="A7072" t="str">
            <v>1CM1ARBP0DA01470-1</v>
          </cell>
          <cell r="B7072">
            <v>62</v>
          </cell>
        </row>
        <row r="7073">
          <cell r="A7073" t="str">
            <v>1RE1ARBP0DA01470-1</v>
          </cell>
          <cell r="B7073">
            <v>17</v>
          </cell>
        </row>
        <row r="7074">
          <cell r="A7074" t="str">
            <v>1RH1ARBP0DA01470-1</v>
          </cell>
          <cell r="B7074">
            <v>11</v>
          </cell>
        </row>
        <row r="7075">
          <cell r="A7075" t="str">
            <v>1RE1A605S-3J0A-T</v>
          </cell>
          <cell r="B7075">
            <v>9</v>
          </cell>
        </row>
        <row r="7076">
          <cell r="A7076" t="str">
            <v>1RE1A605S-3J8A-T</v>
          </cell>
          <cell r="B7076">
            <v>3</v>
          </cell>
        </row>
        <row r="7077">
          <cell r="A7077" t="str">
            <v>1RE1A608T-3G6A-T</v>
          </cell>
          <cell r="B7077">
            <v>43</v>
          </cell>
        </row>
        <row r="7078">
          <cell r="A7078" t="str">
            <v>1RH1ARBPC1A11464</v>
          </cell>
          <cell r="B7078">
            <v>19</v>
          </cell>
        </row>
        <row r="7079">
          <cell r="A7079" t="str">
            <v>1AE1ARBPC1A11464</v>
          </cell>
          <cell r="B7079">
            <v>8</v>
          </cell>
        </row>
        <row r="7080">
          <cell r="A7080" t="str">
            <v>1RE1ARBPC1A11464</v>
          </cell>
          <cell r="B7080">
            <v>165</v>
          </cell>
        </row>
        <row r="7081">
          <cell r="A7081" t="str">
            <v>2RE2AAB25-ES1</v>
          </cell>
          <cell r="B7081">
            <v>212</v>
          </cell>
        </row>
        <row r="7082">
          <cell r="A7082" t="str">
            <v>1AE1ARBPC1A05970</v>
          </cell>
          <cell r="B7082">
            <v>42</v>
          </cell>
        </row>
        <row r="7083">
          <cell r="A7083" t="str">
            <v>1AE1ARBPC1A13050</v>
          </cell>
          <cell r="B7083">
            <v>4</v>
          </cell>
        </row>
        <row r="7084">
          <cell r="A7084" t="str">
            <v>1CM1ARBPC1A05973</v>
          </cell>
          <cell r="B7084">
            <v>267</v>
          </cell>
        </row>
        <row r="7085">
          <cell r="A7085" t="str">
            <v>1CM1ARBPC1A13050</v>
          </cell>
          <cell r="B7085">
            <v>67</v>
          </cell>
        </row>
        <row r="7086">
          <cell r="A7086" t="str">
            <v>1RE1ARBPC1A13050</v>
          </cell>
          <cell r="B7086">
            <v>402</v>
          </cell>
        </row>
        <row r="7087">
          <cell r="A7087" t="str">
            <v>1RH1ARBPC1A05973</v>
          </cell>
          <cell r="B7087">
            <v>16</v>
          </cell>
        </row>
        <row r="7088">
          <cell r="A7088" t="str">
            <v>1RH1ARBPC1A13050</v>
          </cell>
          <cell r="B7088">
            <v>19</v>
          </cell>
        </row>
        <row r="7089">
          <cell r="A7089" t="str">
            <v>1CM1ARBPC1A13550</v>
          </cell>
          <cell r="B7089">
            <v>27</v>
          </cell>
        </row>
        <row r="7090">
          <cell r="A7090" t="str">
            <v>1RE1ARBPC1A13550</v>
          </cell>
          <cell r="B7090">
            <v>284</v>
          </cell>
        </row>
        <row r="7091">
          <cell r="A7091" t="str">
            <v>1RH1ARBPC1A13550</v>
          </cell>
          <cell r="B7091">
            <v>24</v>
          </cell>
        </row>
        <row r="7092">
          <cell r="A7092" t="str">
            <v>1AE1ARBPC1A05232</v>
          </cell>
          <cell r="B7092">
            <v>7</v>
          </cell>
        </row>
        <row r="7093">
          <cell r="A7093" t="str">
            <v>1AE1ARBPC1A08481</v>
          </cell>
          <cell r="B7093">
            <v>6</v>
          </cell>
        </row>
        <row r="7094">
          <cell r="A7094" t="str">
            <v>1AE1ARBPC1A09201</v>
          </cell>
          <cell r="B7094">
            <v>6</v>
          </cell>
        </row>
        <row r="7095">
          <cell r="A7095" t="str">
            <v>1AE1ARBPC1A10014</v>
          </cell>
          <cell r="B7095">
            <v>7</v>
          </cell>
        </row>
        <row r="7096">
          <cell r="A7096" t="str">
            <v>1AE1ARBPC1A11792</v>
          </cell>
          <cell r="B7096">
            <v>7</v>
          </cell>
        </row>
        <row r="7097">
          <cell r="A7097" t="str">
            <v>1AE1ARBPC1A13231</v>
          </cell>
          <cell r="B7097">
            <v>5</v>
          </cell>
        </row>
        <row r="7098">
          <cell r="A7098" t="str">
            <v>1AE1ARBPC1A13530</v>
          </cell>
          <cell r="B7098">
            <v>1</v>
          </cell>
        </row>
        <row r="7099">
          <cell r="A7099" t="str">
            <v>1CM1ARBP0DA00963</v>
          </cell>
          <cell r="B7099">
            <v>61</v>
          </cell>
        </row>
        <row r="7100">
          <cell r="A7100" t="str">
            <v>1CM1ARBPC1A13530</v>
          </cell>
          <cell r="B7100">
            <v>25</v>
          </cell>
        </row>
        <row r="7101">
          <cell r="A7101" t="str">
            <v>1RE1ARBP01A01231</v>
          </cell>
          <cell r="B7101">
            <v>76</v>
          </cell>
        </row>
        <row r="7102">
          <cell r="A7102" t="str">
            <v>1RE1ARBP0DA00963</v>
          </cell>
          <cell r="B7102">
            <v>17</v>
          </cell>
        </row>
        <row r="7103">
          <cell r="A7103" t="str">
            <v>1RE1ARBPC1A05232</v>
          </cell>
          <cell r="B7103">
            <v>151</v>
          </cell>
        </row>
        <row r="7104">
          <cell r="A7104" t="str">
            <v>1RE1ARBPC1A08481</v>
          </cell>
          <cell r="B7104">
            <v>172</v>
          </cell>
        </row>
        <row r="7105">
          <cell r="A7105" t="str">
            <v>1RE1ARBPC1A09201</v>
          </cell>
          <cell r="B7105">
            <v>171</v>
          </cell>
        </row>
        <row r="7106">
          <cell r="A7106" t="str">
            <v>1RE1ARBPC1A10014</v>
          </cell>
          <cell r="B7106">
            <v>144</v>
          </cell>
        </row>
        <row r="7107">
          <cell r="A7107" t="str">
            <v>1RE1ARBPC1A11792</v>
          </cell>
          <cell r="B7107">
            <v>144</v>
          </cell>
        </row>
        <row r="7108">
          <cell r="A7108" t="str">
            <v>1RE1ARBPC1A13231</v>
          </cell>
          <cell r="B7108">
            <v>182</v>
          </cell>
        </row>
        <row r="7109">
          <cell r="A7109" t="str">
            <v>1RE1ARBPC1A13530</v>
          </cell>
          <cell r="B7109">
            <v>271</v>
          </cell>
        </row>
        <row r="7110">
          <cell r="A7110" t="str">
            <v>1RE2ARBP01A01231</v>
          </cell>
          <cell r="B7110">
            <v>28</v>
          </cell>
        </row>
        <row r="7111">
          <cell r="A7111" t="str">
            <v>1RH1ARBP0DA00963</v>
          </cell>
          <cell r="B7111">
            <v>9</v>
          </cell>
        </row>
        <row r="7112">
          <cell r="A7112" t="str">
            <v>1RH1ARBPC1A05234</v>
          </cell>
          <cell r="B7112">
            <v>14</v>
          </cell>
        </row>
        <row r="7113">
          <cell r="A7113" t="str">
            <v>1RH1ARBPC1A08481</v>
          </cell>
          <cell r="B7113">
            <v>16</v>
          </cell>
        </row>
        <row r="7114">
          <cell r="A7114" t="str">
            <v>1RH1ARBPC1A09201</v>
          </cell>
          <cell r="B7114">
            <v>16</v>
          </cell>
        </row>
        <row r="7115">
          <cell r="A7115" t="str">
            <v>1RH1ARBPC1A10014</v>
          </cell>
          <cell r="B7115">
            <v>17</v>
          </cell>
        </row>
        <row r="7116">
          <cell r="A7116" t="str">
            <v>1RH1ARBPC1A11792</v>
          </cell>
          <cell r="B7116">
            <v>17</v>
          </cell>
        </row>
        <row r="7117">
          <cell r="A7117" t="str">
            <v>1RH1ARBPC1A13231</v>
          </cell>
          <cell r="B7117">
            <v>17</v>
          </cell>
        </row>
        <row r="7118">
          <cell r="A7118" t="str">
            <v>1RH1ARBPC1A13530</v>
          </cell>
          <cell r="B7118">
            <v>20</v>
          </cell>
        </row>
        <row r="7119">
          <cell r="A7119" t="str">
            <v>1AE1ARBPC1A03741</v>
          </cell>
          <cell r="B7119">
            <v>55</v>
          </cell>
        </row>
        <row r="7120">
          <cell r="A7120" t="str">
            <v>1AE1ARBPC1A03940</v>
          </cell>
          <cell r="B7120">
            <v>42</v>
          </cell>
        </row>
        <row r="7121">
          <cell r="A7121" t="str">
            <v>1AE1ARBPC1A05235</v>
          </cell>
          <cell r="B7121">
            <v>7</v>
          </cell>
        </row>
        <row r="7122">
          <cell r="A7122" t="str">
            <v>1AE1ARBPC1A09212</v>
          </cell>
          <cell r="B7122">
            <v>6</v>
          </cell>
        </row>
        <row r="7123">
          <cell r="A7123" t="str">
            <v>1CM1ARBPC1A03741</v>
          </cell>
          <cell r="B7123">
            <v>277</v>
          </cell>
        </row>
        <row r="7124">
          <cell r="A7124" t="str">
            <v>1CM1ARBPC1A03944</v>
          </cell>
          <cell r="B7124">
            <v>267</v>
          </cell>
        </row>
        <row r="7125">
          <cell r="A7125" t="str">
            <v>1RE1ARBPC1A05235</v>
          </cell>
          <cell r="B7125">
            <v>151</v>
          </cell>
        </row>
        <row r="7126">
          <cell r="A7126" t="str">
            <v>1RE1ARBPC1A09212</v>
          </cell>
          <cell r="B7126">
            <v>170</v>
          </cell>
        </row>
        <row r="7127">
          <cell r="A7127" t="str">
            <v>1RH1ARBPC1A03741</v>
          </cell>
          <cell r="B7127">
            <v>11</v>
          </cell>
        </row>
        <row r="7128">
          <cell r="A7128" t="str">
            <v>1RH1ARBPC1A03944</v>
          </cell>
          <cell r="B7128">
            <v>12</v>
          </cell>
        </row>
        <row r="7129">
          <cell r="A7129" t="str">
            <v>1RH1ARBPC1A05235</v>
          </cell>
          <cell r="B7129">
            <v>10</v>
          </cell>
        </row>
        <row r="7130">
          <cell r="A7130" t="str">
            <v>1RH1ARBPC1A09212</v>
          </cell>
          <cell r="B7130">
            <v>16</v>
          </cell>
        </row>
        <row r="7131">
          <cell r="A7131" t="str">
            <v>1RE1TP8NA7911AA</v>
          </cell>
          <cell r="B7131">
            <v>102</v>
          </cell>
        </row>
        <row r="7132">
          <cell r="A7132" t="str">
            <v>1AE1ARBPC1A07544</v>
          </cell>
          <cell r="B7132">
            <v>3</v>
          </cell>
        </row>
        <row r="7133">
          <cell r="A7133" t="str">
            <v>1AE1ARBPC1A09482</v>
          </cell>
          <cell r="B7133">
            <v>6</v>
          </cell>
        </row>
        <row r="7134">
          <cell r="A7134" t="str">
            <v>1CM1ARBPC1A07544</v>
          </cell>
          <cell r="B7134">
            <v>80</v>
          </cell>
        </row>
        <row r="7135">
          <cell r="A7135" t="str">
            <v>1RE1ARBPC1A07544</v>
          </cell>
          <cell r="B7135">
            <v>236</v>
          </cell>
        </row>
        <row r="7136">
          <cell r="A7136" t="str">
            <v>1RE1ARBPC1A09482</v>
          </cell>
          <cell r="B7136">
            <v>170</v>
          </cell>
        </row>
        <row r="7137">
          <cell r="A7137" t="str">
            <v>1RH1ARBPC1A07544</v>
          </cell>
          <cell r="B7137">
            <v>16</v>
          </cell>
        </row>
        <row r="7138">
          <cell r="A7138" t="str">
            <v>1RH1ARBPC1A09482</v>
          </cell>
          <cell r="B7138">
            <v>21</v>
          </cell>
        </row>
        <row r="7139">
          <cell r="A7139" t="str">
            <v>1AE1ARBPC1A13051</v>
          </cell>
          <cell r="B7139">
            <v>4</v>
          </cell>
        </row>
        <row r="7140">
          <cell r="A7140" t="str">
            <v>1CM1ARBPC1A13051</v>
          </cell>
          <cell r="B7140">
            <v>67</v>
          </cell>
        </row>
        <row r="7141">
          <cell r="A7141" t="str">
            <v>1RE1ARBPC1A13051</v>
          </cell>
          <cell r="B7141">
            <v>402</v>
          </cell>
        </row>
        <row r="7142">
          <cell r="A7142" t="str">
            <v>1RH1ARBPC1A13051</v>
          </cell>
          <cell r="B7142">
            <v>19</v>
          </cell>
        </row>
        <row r="7143">
          <cell r="A7143" t="str">
            <v>1AE1ARBPC1A06372</v>
          </cell>
          <cell r="B7143">
            <v>7</v>
          </cell>
        </row>
        <row r="7144">
          <cell r="A7144" t="str">
            <v>1RE1ARBPC1A06372</v>
          </cell>
          <cell r="B7144">
            <v>151</v>
          </cell>
        </row>
        <row r="7145">
          <cell r="A7145" t="str">
            <v>1RH1ARBPC1A06372</v>
          </cell>
          <cell r="B7145">
            <v>14</v>
          </cell>
        </row>
        <row r="7146">
          <cell r="A7146" t="str">
            <v>1AE1A603L3K60EP-PP</v>
          </cell>
          <cell r="B7146">
            <v>54</v>
          </cell>
        </row>
        <row r="7147">
          <cell r="A7147" t="str">
            <v>1AE1A603Y-3J8A-FE1</v>
          </cell>
          <cell r="B7147">
            <v>15</v>
          </cell>
        </row>
        <row r="7148">
          <cell r="A7148" t="str">
            <v>1AE1H603L3J82P1-FE</v>
          </cell>
          <cell r="B7148">
            <v>12</v>
          </cell>
        </row>
        <row r="7149">
          <cell r="A7149" t="str">
            <v>1AE1H603L3K70BP-T</v>
          </cell>
          <cell r="B7149">
            <v>59</v>
          </cell>
        </row>
        <row r="7150">
          <cell r="A7150" t="str">
            <v>1AE1H603L3K90TP-T</v>
          </cell>
          <cell r="B7150">
            <v>59</v>
          </cell>
        </row>
        <row r="7151">
          <cell r="A7151" t="str">
            <v>1AE1H683L3K20P2</v>
          </cell>
          <cell r="B7151">
            <v>150</v>
          </cell>
        </row>
        <row r="7152">
          <cell r="A7152" t="str">
            <v>1CM1A603L3K60EP-PP</v>
          </cell>
          <cell r="B7152">
            <v>168</v>
          </cell>
        </row>
        <row r="7153">
          <cell r="A7153" t="str">
            <v>1CM1A603Y-3J8A-FE1</v>
          </cell>
          <cell r="B7153">
            <v>48</v>
          </cell>
        </row>
        <row r="7154">
          <cell r="A7154" t="str">
            <v>1CM1H603L3J82P1-FE</v>
          </cell>
          <cell r="B7154">
            <v>130</v>
          </cell>
        </row>
        <row r="7155">
          <cell r="A7155" t="str">
            <v>1CM1H603L3K70BP-T</v>
          </cell>
          <cell r="B7155">
            <v>168</v>
          </cell>
        </row>
        <row r="7156">
          <cell r="A7156" t="str">
            <v>1CM1H603L3K90TP-T</v>
          </cell>
          <cell r="B7156">
            <v>168</v>
          </cell>
        </row>
        <row r="7157">
          <cell r="A7157" t="str">
            <v>1CM1H683L3K20P2</v>
          </cell>
          <cell r="B7157">
            <v>415</v>
          </cell>
        </row>
        <row r="7158">
          <cell r="A7158" t="str">
            <v>1HT1A603Y-3J8A-FE1</v>
          </cell>
          <cell r="B7158">
            <v>20</v>
          </cell>
        </row>
        <row r="7159">
          <cell r="A7159" t="str">
            <v>1HT1H683L3K20P2</v>
          </cell>
          <cell r="B7159">
            <v>18</v>
          </cell>
        </row>
        <row r="7160">
          <cell r="A7160" t="str">
            <v>1RE1A607B3J81P1-FE</v>
          </cell>
          <cell r="B7160">
            <v>180</v>
          </cell>
        </row>
        <row r="7161">
          <cell r="A7161" t="str">
            <v>1RE1H603L3J82P1-FE</v>
          </cell>
          <cell r="B7161">
            <v>130</v>
          </cell>
        </row>
        <row r="7162">
          <cell r="A7162" t="str">
            <v>1RE1H608D-3J80-FE</v>
          </cell>
          <cell r="B7162">
            <v>1</v>
          </cell>
        </row>
        <row r="7163">
          <cell r="A7163" t="str">
            <v>1RE1H685Q3K20P2</v>
          </cell>
          <cell r="B7163">
            <v>142</v>
          </cell>
        </row>
        <row r="7164">
          <cell r="A7164" t="str">
            <v>1RE2A607B3J81P1-FE</v>
          </cell>
          <cell r="B7164">
            <v>300</v>
          </cell>
        </row>
        <row r="7165">
          <cell r="A7165" t="str">
            <v>1RE2H608D-3J80-FE</v>
          </cell>
          <cell r="B7165">
            <v>1</v>
          </cell>
        </row>
        <row r="7166">
          <cell r="A7166" t="str">
            <v>1RE2H685Q3K20P2</v>
          </cell>
          <cell r="B7166">
            <v>308</v>
          </cell>
        </row>
        <row r="7167">
          <cell r="A7167" t="str">
            <v>1RH1A603L3K60EP-PP</v>
          </cell>
          <cell r="B7167">
            <v>9</v>
          </cell>
        </row>
        <row r="7168">
          <cell r="A7168" t="str">
            <v>1RH1A603Y-3J8A-FE1</v>
          </cell>
          <cell r="B7168">
            <v>14</v>
          </cell>
        </row>
        <row r="7169">
          <cell r="A7169" t="str">
            <v>1RH1H603L3J82P1-FE</v>
          </cell>
          <cell r="B7169">
            <v>10</v>
          </cell>
        </row>
        <row r="7170">
          <cell r="A7170" t="str">
            <v>1RH1H603L3K70BP-T</v>
          </cell>
          <cell r="B7170">
            <v>9</v>
          </cell>
        </row>
        <row r="7171">
          <cell r="A7171" t="str">
            <v>1RH1H603L3K90TP-T</v>
          </cell>
          <cell r="B7171">
            <v>9</v>
          </cell>
        </row>
        <row r="7172">
          <cell r="A7172" t="str">
            <v>1RH1H683L3K20P2</v>
          </cell>
          <cell r="B7172">
            <v>33</v>
          </cell>
        </row>
        <row r="7173">
          <cell r="A7173" t="str">
            <v>1TE1A603Y-3J8A-FE1</v>
          </cell>
          <cell r="B7173">
            <v>5</v>
          </cell>
        </row>
        <row r="7174">
          <cell r="A7174" t="str">
            <v>1TE1H683L3K20P2</v>
          </cell>
          <cell r="B7174">
            <v>1</v>
          </cell>
        </row>
        <row r="7175">
          <cell r="A7175" t="str">
            <v>1CM1ARBP0DA01973-1</v>
          </cell>
          <cell r="B7175">
            <v>61</v>
          </cell>
        </row>
        <row r="7176">
          <cell r="A7176" t="str">
            <v>1CM1ARBP0DA02265</v>
          </cell>
          <cell r="B7176">
            <v>69</v>
          </cell>
        </row>
        <row r="7177">
          <cell r="A7177" t="str">
            <v>1CM1ARBP0DA02274</v>
          </cell>
          <cell r="B7177">
            <v>60</v>
          </cell>
        </row>
        <row r="7178">
          <cell r="A7178" t="str">
            <v>1RE1ARBP0DA01973-1</v>
          </cell>
          <cell r="B7178">
            <v>23</v>
          </cell>
        </row>
        <row r="7179">
          <cell r="A7179" t="str">
            <v>1RE1ARBP0DA02265</v>
          </cell>
          <cell r="B7179">
            <v>26</v>
          </cell>
        </row>
        <row r="7180">
          <cell r="A7180" t="str">
            <v>1RE1ARBP0DA02274</v>
          </cell>
          <cell r="B7180">
            <v>23</v>
          </cell>
        </row>
        <row r="7181">
          <cell r="A7181" t="str">
            <v>1RH1ARBP0DA01973-1</v>
          </cell>
          <cell r="B7181">
            <v>10</v>
          </cell>
        </row>
        <row r="7182">
          <cell r="A7182" t="str">
            <v>1RH1ARBP0DA02265</v>
          </cell>
          <cell r="B7182">
            <v>13</v>
          </cell>
        </row>
        <row r="7183">
          <cell r="A7183" t="str">
            <v>1RH1ARBP0DA02274</v>
          </cell>
          <cell r="B7183">
            <v>10</v>
          </cell>
        </row>
        <row r="7184">
          <cell r="A7184" t="str">
            <v>1CM1ARBP0DA01474-1</v>
          </cell>
          <cell r="B7184">
            <v>63</v>
          </cell>
        </row>
        <row r="7185">
          <cell r="A7185" t="str">
            <v>1CM1ARBP0DA01963-1</v>
          </cell>
          <cell r="B7185">
            <v>61</v>
          </cell>
        </row>
        <row r="7186">
          <cell r="A7186" t="str">
            <v>1RE1ARBP0DA01474-1</v>
          </cell>
          <cell r="B7186">
            <v>23</v>
          </cell>
        </row>
        <row r="7187">
          <cell r="A7187" t="str">
            <v>1RE1ARBP0DA01963-1</v>
          </cell>
          <cell r="B7187">
            <v>23</v>
          </cell>
        </row>
        <row r="7188">
          <cell r="A7188" t="str">
            <v>1RH1ARBP0DA01474-1</v>
          </cell>
          <cell r="B7188">
            <v>11</v>
          </cell>
        </row>
        <row r="7189">
          <cell r="A7189" t="str">
            <v>1RH1ARBP0DA01963-1</v>
          </cell>
          <cell r="B7189">
            <v>10</v>
          </cell>
        </row>
        <row r="7190">
          <cell r="A7190" t="str">
            <v>1RE1ARBP0DA02284</v>
          </cell>
          <cell r="B7190">
            <v>109</v>
          </cell>
        </row>
        <row r="7191">
          <cell r="A7191" t="str">
            <v>1RE1ARBP0DA02295</v>
          </cell>
          <cell r="B7191">
            <v>105</v>
          </cell>
        </row>
        <row r="7192">
          <cell r="A7192" t="str">
            <v>1RE1ARBP0DA02851</v>
          </cell>
          <cell r="B7192">
            <v>109</v>
          </cell>
        </row>
        <row r="7193">
          <cell r="A7193" t="str">
            <v>1RE2ARBP0DA02284</v>
          </cell>
          <cell r="B7193">
            <v>36</v>
          </cell>
        </row>
        <row r="7194">
          <cell r="A7194" t="str">
            <v>1RE2ARBP0DA02295</v>
          </cell>
          <cell r="B7194">
            <v>33</v>
          </cell>
        </row>
        <row r="7195">
          <cell r="A7195" t="str">
            <v>1RE2ARBP0DA02851</v>
          </cell>
          <cell r="B7195">
            <v>36</v>
          </cell>
        </row>
        <row r="7196">
          <cell r="A7196" t="str">
            <v>1AE1ARBPC1A13060</v>
          </cell>
          <cell r="B7196">
            <v>42</v>
          </cell>
        </row>
        <row r="7197">
          <cell r="A7197" t="str">
            <v>1AE1ARBPC1A13070</v>
          </cell>
          <cell r="B7197">
            <v>42</v>
          </cell>
        </row>
        <row r="7198">
          <cell r="A7198" t="str">
            <v>1CM1ARBPC1A13060</v>
          </cell>
          <cell r="B7198">
            <v>262</v>
          </cell>
        </row>
        <row r="7199">
          <cell r="A7199" t="str">
            <v>1CM1ARBPC1A13070</v>
          </cell>
          <cell r="B7199">
            <v>262</v>
          </cell>
        </row>
        <row r="7200">
          <cell r="A7200" t="str">
            <v>1RH1ARBPC1A13060</v>
          </cell>
          <cell r="B7200">
            <v>14</v>
          </cell>
        </row>
        <row r="7201">
          <cell r="A7201" t="str">
            <v>1RH1ARBPC1A13070</v>
          </cell>
          <cell r="B7201">
            <v>14</v>
          </cell>
        </row>
        <row r="7202">
          <cell r="A7202" t="str">
            <v>1AE1ARBP01A00382-1</v>
          </cell>
          <cell r="B7202">
            <v>5</v>
          </cell>
        </row>
        <row r="7203">
          <cell r="A7203" t="str">
            <v>1AE1ARBP01A00420-1</v>
          </cell>
          <cell r="B7203">
            <v>13</v>
          </cell>
        </row>
        <row r="7204">
          <cell r="A7204" t="str">
            <v>1AE1ARBP01A00850-1</v>
          </cell>
          <cell r="B7204">
            <v>13</v>
          </cell>
        </row>
        <row r="7205">
          <cell r="A7205" t="str">
            <v>1CM1ARBP01A00382-1</v>
          </cell>
          <cell r="B7205">
            <v>45</v>
          </cell>
        </row>
        <row r="7206">
          <cell r="A7206" t="str">
            <v>1CM1ARBP01A00420-1</v>
          </cell>
          <cell r="B7206">
            <v>54</v>
          </cell>
        </row>
        <row r="7207">
          <cell r="A7207" t="str">
            <v>1CM1ARBP01A00850-1</v>
          </cell>
          <cell r="B7207">
            <v>54</v>
          </cell>
        </row>
        <row r="7208">
          <cell r="A7208" t="str">
            <v>1RH1ARBP01A00382-1</v>
          </cell>
          <cell r="B7208">
            <v>9</v>
          </cell>
        </row>
        <row r="7209">
          <cell r="A7209" t="str">
            <v>1RH1ARBP01A00420-1</v>
          </cell>
          <cell r="B7209">
            <v>10</v>
          </cell>
        </row>
        <row r="7210">
          <cell r="A7210" t="str">
            <v>1RH1ARBP01A00850-1</v>
          </cell>
          <cell r="B7210">
            <v>10</v>
          </cell>
        </row>
        <row r="7211">
          <cell r="A7211" t="str">
            <v>1AE1ARBPC1A08952</v>
          </cell>
          <cell r="B7211">
            <v>5</v>
          </cell>
        </row>
        <row r="7212">
          <cell r="A7212" t="str">
            <v>1AE1ARBPC1A09824</v>
          </cell>
          <cell r="B7212">
            <v>6</v>
          </cell>
        </row>
        <row r="7213">
          <cell r="A7213" t="str">
            <v>1CM1ARBP0DA02790-1</v>
          </cell>
          <cell r="B7213">
            <v>46</v>
          </cell>
        </row>
        <row r="7214">
          <cell r="A7214" t="str">
            <v>1RE1ARBP01A01012</v>
          </cell>
          <cell r="B7214">
            <v>126</v>
          </cell>
        </row>
        <row r="7215">
          <cell r="A7215" t="str">
            <v>1RE1ARBP0DA02178</v>
          </cell>
          <cell r="B7215">
            <v>109</v>
          </cell>
        </row>
        <row r="7216">
          <cell r="A7216" t="str">
            <v>1RE1ARBP0DA02305</v>
          </cell>
          <cell r="B7216">
            <v>102</v>
          </cell>
        </row>
        <row r="7217">
          <cell r="A7217" t="str">
            <v>1RE1ARBP0DA02722</v>
          </cell>
          <cell r="B7217">
            <v>112</v>
          </cell>
        </row>
        <row r="7218">
          <cell r="A7218" t="str">
            <v>1RE1ARBP0DA02790-1</v>
          </cell>
          <cell r="B7218">
            <v>18</v>
          </cell>
        </row>
        <row r="7219">
          <cell r="A7219" t="str">
            <v>1RE1ARBPC1A08952</v>
          </cell>
          <cell r="B7219">
            <v>149</v>
          </cell>
        </row>
        <row r="7220">
          <cell r="A7220" t="str">
            <v>1RE1ARBPC1A09824</v>
          </cell>
          <cell r="B7220">
            <v>169</v>
          </cell>
        </row>
        <row r="7221">
          <cell r="A7221" t="str">
            <v>1RE2ARBP0DA02178</v>
          </cell>
          <cell r="B7221">
            <v>36</v>
          </cell>
        </row>
        <row r="7222">
          <cell r="A7222" t="str">
            <v>1RE2ARBP0DA02305</v>
          </cell>
          <cell r="B7222">
            <v>37</v>
          </cell>
        </row>
        <row r="7223">
          <cell r="A7223" t="str">
            <v>1RE2ARBP0DA02722</v>
          </cell>
          <cell r="B7223">
            <v>39</v>
          </cell>
        </row>
        <row r="7224">
          <cell r="A7224" t="str">
            <v>1RH1ARBP0DA02790-1</v>
          </cell>
          <cell r="B7224">
            <v>9</v>
          </cell>
        </row>
        <row r="7225">
          <cell r="A7225" t="str">
            <v>1RH1ARBPC1A08952</v>
          </cell>
          <cell r="B7225">
            <v>14</v>
          </cell>
        </row>
        <row r="7226">
          <cell r="A7226" t="str">
            <v>1RH1ARBPC1A09824</v>
          </cell>
          <cell r="B7226">
            <v>19</v>
          </cell>
        </row>
        <row r="7227">
          <cell r="A7227" t="str">
            <v>1RE1AAB25</v>
          </cell>
          <cell r="B7227">
            <v>212</v>
          </cell>
        </row>
        <row r="7228">
          <cell r="A7228" t="str">
            <v>1AE1A603L3K60EP</v>
          </cell>
          <cell r="B7228">
            <v>54</v>
          </cell>
        </row>
        <row r="7229">
          <cell r="A7229" t="str">
            <v>1CM1A603L3K60EP</v>
          </cell>
          <cell r="B7229">
            <v>168</v>
          </cell>
        </row>
        <row r="7230">
          <cell r="A7230" t="str">
            <v>1RH1A603L3K60EP</v>
          </cell>
          <cell r="B7230">
            <v>9</v>
          </cell>
        </row>
        <row r="7231">
          <cell r="A7231" t="str">
            <v>1AE1ARBPC1A05301</v>
          </cell>
          <cell r="B7231">
            <v>56</v>
          </cell>
        </row>
        <row r="7232">
          <cell r="A7232" t="str">
            <v>1AE1ARBPC1A06880</v>
          </cell>
          <cell r="B7232">
            <v>56</v>
          </cell>
        </row>
        <row r="7233">
          <cell r="A7233" t="str">
            <v>1AE1ARBPC1A09995</v>
          </cell>
          <cell r="B7233">
            <v>5</v>
          </cell>
        </row>
        <row r="7234">
          <cell r="A7234" t="str">
            <v>1CM1ARBPC1A06102</v>
          </cell>
          <cell r="B7234">
            <v>272</v>
          </cell>
        </row>
        <row r="7235">
          <cell r="A7235" t="str">
            <v>1CM1ARBPC1A06880</v>
          </cell>
          <cell r="B7235">
            <v>272</v>
          </cell>
        </row>
        <row r="7236">
          <cell r="A7236" t="str">
            <v>1CM1ARBPC1A09995</v>
          </cell>
          <cell r="B7236">
            <v>23</v>
          </cell>
        </row>
        <row r="7237">
          <cell r="A7237" t="str">
            <v>1RE1ARBPC1A09995</v>
          </cell>
          <cell r="B7237">
            <v>215</v>
          </cell>
        </row>
        <row r="7238">
          <cell r="A7238" t="str">
            <v>1RH1ARBPC1A06102</v>
          </cell>
          <cell r="B7238">
            <v>16</v>
          </cell>
        </row>
        <row r="7239">
          <cell r="A7239" t="str">
            <v>1RH1ARBPC1A06880</v>
          </cell>
          <cell r="B7239">
            <v>16</v>
          </cell>
        </row>
        <row r="7240">
          <cell r="A7240" t="str">
            <v>1RH1ARBPC1A09995</v>
          </cell>
          <cell r="B7240">
            <v>20</v>
          </cell>
        </row>
        <row r="7241">
          <cell r="A7241" t="str">
            <v>1AE1H603Y3J90BP-FE</v>
          </cell>
          <cell r="B7241">
            <v>18</v>
          </cell>
        </row>
        <row r="7242">
          <cell r="A7242" t="str">
            <v>1CM1H603Y3J90BP-FE</v>
          </cell>
          <cell r="B7242">
            <v>52</v>
          </cell>
        </row>
        <row r="7243">
          <cell r="A7243" t="str">
            <v>1HT1H603Y3J90BP-FE</v>
          </cell>
          <cell r="B7243">
            <v>22</v>
          </cell>
        </row>
        <row r="7244">
          <cell r="A7244" t="str">
            <v>1RH1H603Y3J90BP-FE</v>
          </cell>
          <cell r="B7244">
            <v>12</v>
          </cell>
        </row>
        <row r="7245">
          <cell r="A7245" t="str">
            <v>1TE1H603Y3J90BP-FE</v>
          </cell>
          <cell r="B7245">
            <v>5</v>
          </cell>
        </row>
        <row r="7246">
          <cell r="A7246" t="str">
            <v>1AE1ARBPC1A03940</v>
          </cell>
          <cell r="B7246">
            <v>42</v>
          </cell>
        </row>
        <row r="7247">
          <cell r="A7247" t="str">
            <v>1CM1ARBPC1A03942</v>
          </cell>
          <cell r="B7247">
            <v>267</v>
          </cell>
        </row>
        <row r="7248">
          <cell r="A7248" t="str">
            <v>1RH1ARBPC1A03940</v>
          </cell>
          <cell r="B7248">
            <v>12</v>
          </cell>
        </row>
        <row r="7249">
          <cell r="A7249" t="str">
            <v>1AE1A603L-3G9A-MP</v>
          </cell>
          <cell r="B7249">
            <v>93</v>
          </cell>
        </row>
        <row r="7250">
          <cell r="A7250" t="str">
            <v>1CM1A603L-3G9A-MP</v>
          </cell>
          <cell r="B7250">
            <v>230</v>
          </cell>
        </row>
        <row r="7251">
          <cell r="A7251" t="str">
            <v>1HT1A603L-3G9A-MP</v>
          </cell>
          <cell r="B7251">
            <v>19</v>
          </cell>
        </row>
        <row r="7252">
          <cell r="A7252" t="str">
            <v>1RH1A603L-3G9A-MP</v>
          </cell>
          <cell r="B7252">
            <v>14</v>
          </cell>
        </row>
        <row r="7253">
          <cell r="A7253" t="str">
            <v>1TE1A603L-3G9A-MP</v>
          </cell>
          <cell r="B7253">
            <v>7</v>
          </cell>
        </row>
        <row r="7254">
          <cell r="A7254" t="str">
            <v>1AE1A603L3G9AP1-MP</v>
          </cell>
          <cell r="B7254">
            <v>93</v>
          </cell>
        </row>
        <row r="7255">
          <cell r="A7255" t="str">
            <v>1CM1A603L3G9AP1-MP</v>
          </cell>
          <cell r="B7255">
            <v>230</v>
          </cell>
        </row>
        <row r="7256">
          <cell r="A7256" t="str">
            <v>1HT1A603L3G9AP1-MP</v>
          </cell>
          <cell r="B7256">
            <v>19</v>
          </cell>
        </row>
        <row r="7257">
          <cell r="A7257" t="str">
            <v>1RH1A603L3G9AP1-MP</v>
          </cell>
          <cell r="B7257">
            <v>14</v>
          </cell>
        </row>
        <row r="7258">
          <cell r="A7258" t="str">
            <v>1TE1A603L3G9AP1-MP</v>
          </cell>
          <cell r="B7258">
            <v>7</v>
          </cell>
        </row>
        <row r="7259">
          <cell r="A7259" t="str">
            <v>1AE1A603L3G8AYP-MP</v>
          </cell>
          <cell r="B7259">
            <v>115</v>
          </cell>
        </row>
        <row r="7260">
          <cell r="A7260" t="str">
            <v>1CM1A603L3G8AYP-MP</v>
          </cell>
          <cell r="B7260">
            <v>391</v>
          </cell>
        </row>
        <row r="7261">
          <cell r="A7261" t="str">
            <v>1HT1A603L3G8AYP-MP</v>
          </cell>
          <cell r="B7261">
            <v>19</v>
          </cell>
        </row>
        <row r="7262">
          <cell r="A7262" t="str">
            <v>1RH1A603L3G8AYP-MP</v>
          </cell>
          <cell r="B7262">
            <v>14</v>
          </cell>
        </row>
        <row r="7263">
          <cell r="A7263" t="str">
            <v>1TE1A603L3G8AYP-MP</v>
          </cell>
          <cell r="B7263">
            <v>7</v>
          </cell>
        </row>
        <row r="7264">
          <cell r="A7264" t="str">
            <v>1AE1A603L3G8AAP-MP</v>
          </cell>
          <cell r="B7264">
            <v>133</v>
          </cell>
        </row>
        <row r="7265">
          <cell r="A7265" t="str">
            <v>1CM1A603L3G8AAP-MP</v>
          </cell>
          <cell r="B7265">
            <v>328</v>
          </cell>
        </row>
        <row r="7266">
          <cell r="A7266" t="str">
            <v>1HT1A603L3G8AAP-MP</v>
          </cell>
          <cell r="B7266">
            <v>18</v>
          </cell>
        </row>
        <row r="7267">
          <cell r="A7267" t="str">
            <v>1RH1A603L3G8AAP-MP</v>
          </cell>
          <cell r="B7267">
            <v>15</v>
          </cell>
        </row>
        <row r="7268">
          <cell r="A7268" t="str">
            <v>1TE1A603L3G8AAP-MP</v>
          </cell>
          <cell r="B7268">
            <v>3</v>
          </cell>
        </row>
        <row r="7269">
          <cell r="A7269" t="str">
            <v>1AE1H603Y-3K20-MP</v>
          </cell>
          <cell r="B7269">
            <v>10</v>
          </cell>
        </row>
        <row r="7270">
          <cell r="A7270" t="str">
            <v>1CM1H603Y-3K20-MP</v>
          </cell>
          <cell r="B7270">
            <v>6</v>
          </cell>
        </row>
        <row r="7271">
          <cell r="A7271" t="str">
            <v>1HT1H603Y-3K20-MP</v>
          </cell>
          <cell r="B7271">
            <v>10</v>
          </cell>
        </row>
        <row r="7272">
          <cell r="A7272" t="str">
            <v>1RH1H603Y-3K20-MP</v>
          </cell>
          <cell r="B7272">
            <v>4</v>
          </cell>
        </row>
        <row r="7273">
          <cell r="A7273" t="str">
            <v>1TE1H603Y-3K20-MP</v>
          </cell>
          <cell r="B7273">
            <v>10</v>
          </cell>
        </row>
        <row r="7274">
          <cell r="A7274" t="str">
            <v>1AE1ARBPC1A09164</v>
          </cell>
          <cell r="B7274">
            <v>6</v>
          </cell>
        </row>
        <row r="7275">
          <cell r="A7275" t="str">
            <v>1AE1ARBPC1A10775</v>
          </cell>
          <cell r="B7275">
            <v>4</v>
          </cell>
        </row>
        <row r="7276">
          <cell r="A7276" t="str">
            <v>1AE1ARBPC1A10784</v>
          </cell>
          <cell r="B7276">
            <v>4</v>
          </cell>
        </row>
        <row r="7277">
          <cell r="A7277" t="str">
            <v>1AE1ARBPC1A11952</v>
          </cell>
          <cell r="B7277">
            <v>4</v>
          </cell>
        </row>
        <row r="7278">
          <cell r="A7278" t="str">
            <v>1CM1ARBPC1A10775</v>
          </cell>
          <cell r="B7278">
            <v>67</v>
          </cell>
        </row>
        <row r="7279">
          <cell r="A7279" t="str">
            <v>1CM1ARBPC1A10784</v>
          </cell>
          <cell r="B7279">
            <v>67</v>
          </cell>
        </row>
        <row r="7280">
          <cell r="A7280" t="str">
            <v>1CM1ARBPC1A11952</v>
          </cell>
          <cell r="B7280">
            <v>67</v>
          </cell>
        </row>
        <row r="7281">
          <cell r="A7281" t="str">
            <v>1RE1ARBPC1A09164</v>
          </cell>
          <cell r="B7281">
            <v>169</v>
          </cell>
        </row>
        <row r="7282">
          <cell r="A7282" t="str">
            <v>1RE1ARBPC1A10775</v>
          </cell>
          <cell r="B7282">
            <v>401</v>
          </cell>
        </row>
        <row r="7283">
          <cell r="A7283" t="str">
            <v>1RE1ARBPC1A10784</v>
          </cell>
          <cell r="B7283">
            <v>418</v>
          </cell>
        </row>
        <row r="7284">
          <cell r="A7284" t="str">
            <v>1RE1ARBPC1A11952</v>
          </cell>
          <cell r="B7284">
            <v>401</v>
          </cell>
        </row>
        <row r="7285">
          <cell r="A7285" t="str">
            <v>1RH1ARBPC1A09164</v>
          </cell>
          <cell r="B7285">
            <v>19</v>
          </cell>
        </row>
        <row r="7286">
          <cell r="A7286" t="str">
            <v>1RH1ARBPC1A10775</v>
          </cell>
          <cell r="B7286">
            <v>20</v>
          </cell>
        </row>
        <row r="7287">
          <cell r="A7287" t="str">
            <v>1RH1ARBPC1A10784</v>
          </cell>
          <cell r="B7287">
            <v>20</v>
          </cell>
        </row>
        <row r="7288">
          <cell r="A7288" t="str">
            <v>1RH1ARBPC1A11952</v>
          </cell>
          <cell r="B7288">
            <v>20</v>
          </cell>
        </row>
        <row r="7289">
          <cell r="A7289" t="str">
            <v>1AE1ARBPC1A13760</v>
          </cell>
          <cell r="B7289">
            <v>4</v>
          </cell>
        </row>
        <row r="7290">
          <cell r="A7290" t="str">
            <v>1AE1ARBPC1A13870</v>
          </cell>
          <cell r="B7290">
            <v>3</v>
          </cell>
        </row>
        <row r="7291">
          <cell r="A7291" t="str">
            <v>1AE1ARR000B22460</v>
          </cell>
          <cell r="B7291">
            <v>5</v>
          </cell>
        </row>
        <row r="7292">
          <cell r="A7292" t="str">
            <v>1AE1ARR000B22470</v>
          </cell>
          <cell r="B7292">
            <v>5</v>
          </cell>
        </row>
        <row r="7293">
          <cell r="A7293" t="str">
            <v>1AE1ART002T89520</v>
          </cell>
          <cell r="B7293">
            <v>2</v>
          </cell>
        </row>
        <row r="7294">
          <cell r="A7294" t="str">
            <v>1CM1ARBPC1A13531</v>
          </cell>
          <cell r="B7294">
            <v>25</v>
          </cell>
        </row>
        <row r="7295">
          <cell r="A7295" t="str">
            <v>1CM1ARBPC1A13541</v>
          </cell>
          <cell r="B7295">
            <v>25</v>
          </cell>
        </row>
        <row r="7296">
          <cell r="A7296" t="str">
            <v>1CM1ARBPC1A13760</v>
          </cell>
          <cell r="B7296">
            <v>67</v>
          </cell>
        </row>
        <row r="7297">
          <cell r="A7297" t="str">
            <v>1CM1ARBPC1A13870</v>
          </cell>
          <cell r="B7297">
            <v>23</v>
          </cell>
        </row>
        <row r="7298">
          <cell r="A7298" t="str">
            <v>1CM1ARR000B22460</v>
          </cell>
          <cell r="B7298">
            <v>66</v>
          </cell>
        </row>
        <row r="7299">
          <cell r="A7299" t="str">
            <v>1CM1ARR000B22470</v>
          </cell>
          <cell r="B7299">
            <v>67</v>
          </cell>
        </row>
        <row r="7300">
          <cell r="A7300" t="str">
            <v>1RE1ARBP0DA02179</v>
          </cell>
          <cell r="B7300">
            <v>110</v>
          </cell>
        </row>
        <row r="7301">
          <cell r="A7301" t="str">
            <v>1RE1ARBP0DA0218A</v>
          </cell>
          <cell r="B7301">
            <v>112</v>
          </cell>
        </row>
        <row r="7302">
          <cell r="A7302" t="str">
            <v>1RE1ARBP0DA02296</v>
          </cell>
          <cell r="B7302">
            <v>106</v>
          </cell>
        </row>
        <row r="7303">
          <cell r="A7303" t="str">
            <v>1RE1ARBP0DA02852</v>
          </cell>
          <cell r="B7303">
            <v>110</v>
          </cell>
        </row>
        <row r="7304">
          <cell r="A7304" t="str">
            <v>1RE1ARBP0DA03080</v>
          </cell>
          <cell r="B7304">
            <v>111</v>
          </cell>
        </row>
        <row r="7305">
          <cell r="A7305" t="str">
            <v>1RE1ARBPC1A13531</v>
          </cell>
          <cell r="B7305">
            <v>271</v>
          </cell>
        </row>
        <row r="7306">
          <cell r="A7306" t="str">
            <v>1RE1ARBPC1A13541</v>
          </cell>
          <cell r="B7306">
            <v>271</v>
          </cell>
        </row>
        <row r="7307">
          <cell r="A7307" t="str">
            <v>1RE1ARBPC1A13760</v>
          </cell>
          <cell r="B7307">
            <v>389</v>
          </cell>
        </row>
        <row r="7308">
          <cell r="A7308" t="str">
            <v>1RE1ARBPC1A13870</v>
          </cell>
          <cell r="B7308">
            <v>217</v>
          </cell>
        </row>
        <row r="7309">
          <cell r="A7309" t="str">
            <v>1RE1ARR000B22460</v>
          </cell>
          <cell r="B7309">
            <v>385</v>
          </cell>
        </row>
        <row r="7310">
          <cell r="A7310" t="str">
            <v>1RE1ARR000B22470</v>
          </cell>
          <cell r="B7310">
            <v>406</v>
          </cell>
        </row>
        <row r="7311">
          <cell r="A7311" t="str">
            <v>1RE1ART002T89520</v>
          </cell>
          <cell r="B7311">
            <v>197</v>
          </cell>
        </row>
        <row r="7312">
          <cell r="A7312" t="str">
            <v>1RE2ARBP0DA02179</v>
          </cell>
          <cell r="B7312">
            <v>36</v>
          </cell>
        </row>
        <row r="7313">
          <cell r="A7313" t="str">
            <v>1RE2ARBP0DA0218A</v>
          </cell>
          <cell r="B7313">
            <v>38</v>
          </cell>
        </row>
        <row r="7314">
          <cell r="A7314" t="str">
            <v>1RE2ARBP0DA02296</v>
          </cell>
          <cell r="B7314">
            <v>33</v>
          </cell>
        </row>
        <row r="7315">
          <cell r="A7315" t="str">
            <v>1RE2ARBP0DA02852</v>
          </cell>
          <cell r="B7315">
            <v>36</v>
          </cell>
        </row>
        <row r="7316">
          <cell r="A7316" t="str">
            <v>1RE2ARBP0DA03080</v>
          </cell>
          <cell r="B7316">
            <v>37</v>
          </cell>
        </row>
        <row r="7317">
          <cell r="A7317" t="str">
            <v>1RH1ARBPC1A13531</v>
          </cell>
          <cell r="B7317">
            <v>20</v>
          </cell>
        </row>
        <row r="7318">
          <cell r="A7318" t="str">
            <v>1RH1ARBPC1A13541</v>
          </cell>
          <cell r="B7318">
            <v>20</v>
          </cell>
        </row>
        <row r="7319">
          <cell r="A7319" t="str">
            <v>1RH1ARBPC1A13760</v>
          </cell>
          <cell r="B7319">
            <v>19</v>
          </cell>
        </row>
        <row r="7320">
          <cell r="A7320" t="str">
            <v>1RH1ARBPC1A13870</v>
          </cell>
          <cell r="B7320">
            <v>23</v>
          </cell>
        </row>
        <row r="7321">
          <cell r="A7321" t="str">
            <v>1RH1ARR000B22460</v>
          </cell>
          <cell r="B7321">
            <v>18</v>
          </cell>
        </row>
        <row r="7322">
          <cell r="A7322" t="str">
            <v>1RH1ARR000B22470</v>
          </cell>
          <cell r="B7322">
            <v>18</v>
          </cell>
        </row>
        <row r="7323">
          <cell r="A7323" t="str">
            <v>1RH1ART002T89520</v>
          </cell>
          <cell r="B7323">
            <v>15</v>
          </cell>
        </row>
        <row r="7324">
          <cell r="A7324" t="str">
            <v>1AE1A603L3G8BBP</v>
          </cell>
          <cell r="B7324">
            <v>115</v>
          </cell>
        </row>
        <row r="7325">
          <cell r="A7325" t="str">
            <v>1AE1A603L3G8BYP</v>
          </cell>
          <cell r="B7325">
            <v>115</v>
          </cell>
        </row>
        <row r="7326">
          <cell r="A7326" t="str">
            <v>1AE1A603L-3G9B</v>
          </cell>
          <cell r="B7326">
            <v>93</v>
          </cell>
        </row>
        <row r="7327">
          <cell r="A7327" t="str">
            <v>1AE1A603L3G9BP1</v>
          </cell>
          <cell r="B7327">
            <v>93</v>
          </cell>
        </row>
        <row r="7328">
          <cell r="A7328" t="str">
            <v>1CM1A603L3G8BBP</v>
          </cell>
          <cell r="B7328">
            <v>391</v>
          </cell>
        </row>
        <row r="7329">
          <cell r="A7329" t="str">
            <v>1CM1A603L3G8BYP</v>
          </cell>
          <cell r="B7329">
            <v>391</v>
          </cell>
        </row>
        <row r="7330">
          <cell r="A7330" t="str">
            <v>1CM1A603L-3G9B</v>
          </cell>
          <cell r="B7330">
            <v>230</v>
          </cell>
        </row>
        <row r="7331">
          <cell r="A7331" t="str">
            <v>1CM1A603L3G9BP1</v>
          </cell>
          <cell r="B7331">
            <v>230</v>
          </cell>
        </row>
        <row r="7332">
          <cell r="A7332" t="str">
            <v>1HT1A603L3G8BBP</v>
          </cell>
          <cell r="B7332">
            <v>20</v>
          </cell>
        </row>
        <row r="7333">
          <cell r="A7333" t="str">
            <v>1HT1A603L3G8BYP</v>
          </cell>
          <cell r="B7333">
            <v>20</v>
          </cell>
        </row>
        <row r="7334">
          <cell r="A7334" t="str">
            <v>1HT1A603L-3G9B</v>
          </cell>
          <cell r="B7334">
            <v>20</v>
          </cell>
        </row>
        <row r="7335">
          <cell r="A7335" t="str">
            <v>1HT1A603L3G9BP1</v>
          </cell>
          <cell r="B7335">
            <v>20</v>
          </cell>
        </row>
        <row r="7336">
          <cell r="A7336" t="str">
            <v>1RH1A603L3G8BBP</v>
          </cell>
          <cell r="B7336">
            <v>14</v>
          </cell>
        </row>
        <row r="7337">
          <cell r="A7337" t="str">
            <v>1RH1A603L3G8BYP</v>
          </cell>
          <cell r="B7337">
            <v>14</v>
          </cell>
        </row>
        <row r="7338">
          <cell r="A7338" t="str">
            <v>1RH1A603L-3G9B</v>
          </cell>
          <cell r="B7338">
            <v>14</v>
          </cell>
        </row>
        <row r="7339">
          <cell r="A7339" t="str">
            <v>1RH1A603L3G9BP1</v>
          </cell>
          <cell r="B7339">
            <v>14</v>
          </cell>
        </row>
        <row r="7340">
          <cell r="A7340" t="str">
            <v>1TE1A603L3G8BBP</v>
          </cell>
          <cell r="B7340">
            <v>7</v>
          </cell>
        </row>
        <row r="7341">
          <cell r="A7341" t="str">
            <v>1TE1A603L3G8BYP</v>
          </cell>
          <cell r="B7341">
            <v>7</v>
          </cell>
        </row>
        <row r="7342">
          <cell r="A7342" t="str">
            <v>1TE1A603L-3G9B</v>
          </cell>
          <cell r="B7342">
            <v>7</v>
          </cell>
        </row>
        <row r="7343">
          <cell r="A7343" t="str">
            <v>1TE1A603L3G9BP1</v>
          </cell>
          <cell r="B7343">
            <v>7</v>
          </cell>
        </row>
        <row r="7344">
          <cell r="A7344" t="str">
            <v>1AE1ARBPC1A13680</v>
          </cell>
          <cell r="B7344">
            <v>5</v>
          </cell>
        </row>
        <row r="7345">
          <cell r="A7345" t="str">
            <v>1AE1ARBPC1A13690</v>
          </cell>
          <cell r="B7345">
            <v>5</v>
          </cell>
        </row>
        <row r="7346">
          <cell r="A7346" t="str">
            <v>1AE1ARBPC1A13710</v>
          </cell>
          <cell r="B7346">
            <v>4</v>
          </cell>
        </row>
        <row r="7347">
          <cell r="A7347" t="str">
            <v>1CM1ARBPC1A13710</v>
          </cell>
          <cell r="B7347">
            <v>23</v>
          </cell>
        </row>
        <row r="7348">
          <cell r="A7348" t="str">
            <v>1RE1ARBPC1A13680</v>
          </cell>
          <cell r="B7348">
            <v>182</v>
          </cell>
        </row>
        <row r="7349">
          <cell r="A7349" t="str">
            <v>1RE1ARBPC1A13690</v>
          </cell>
          <cell r="B7349">
            <v>182</v>
          </cell>
        </row>
        <row r="7350">
          <cell r="A7350" t="str">
            <v>1RE1ARBPC1A13710</v>
          </cell>
          <cell r="B7350">
            <v>234</v>
          </cell>
        </row>
        <row r="7351">
          <cell r="A7351" t="str">
            <v>1RH1ARBPC1A13680</v>
          </cell>
          <cell r="B7351">
            <v>19</v>
          </cell>
        </row>
        <row r="7352">
          <cell r="A7352" t="str">
            <v>1RH1ARBPC1A13690</v>
          </cell>
          <cell r="B7352">
            <v>19</v>
          </cell>
        </row>
        <row r="7353">
          <cell r="A7353" t="str">
            <v>1RH1ARBPC1A13710</v>
          </cell>
          <cell r="B7353">
            <v>20</v>
          </cell>
        </row>
        <row r="7354">
          <cell r="A7354" t="str">
            <v>1RE1AV800ZA</v>
          </cell>
          <cell r="B7354">
            <v>44</v>
          </cell>
        </row>
        <row r="7355">
          <cell r="A7355" t="str">
            <v>1RE1CH458</v>
          </cell>
          <cell r="B7355">
            <v>141</v>
          </cell>
        </row>
        <row r="7356">
          <cell r="A7356" t="str">
            <v>1RE1CH458P</v>
          </cell>
          <cell r="B7356">
            <v>141</v>
          </cell>
        </row>
        <row r="7357">
          <cell r="A7357" t="str">
            <v>1RE1PC200AZA</v>
          </cell>
          <cell r="B7357">
            <v>172</v>
          </cell>
        </row>
        <row r="7358">
          <cell r="A7358" t="str">
            <v>1RE2AV800ZA</v>
          </cell>
          <cell r="B7358">
            <v>2</v>
          </cell>
        </row>
        <row r="7359">
          <cell r="A7359" t="str">
            <v>1RE2CH458</v>
          </cell>
          <cell r="B7359">
            <v>85</v>
          </cell>
        </row>
        <row r="7360">
          <cell r="A7360" t="str">
            <v>1RE2CH458P</v>
          </cell>
          <cell r="B7360">
            <v>85</v>
          </cell>
        </row>
        <row r="7361">
          <cell r="A7361" t="str">
            <v>1RE2PC200AZA</v>
          </cell>
          <cell r="B7361">
            <v>122</v>
          </cell>
        </row>
        <row r="7362">
          <cell r="A7362" t="str">
            <v>2RE1CH458P</v>
          </cell>
          <cell r="B7362">
            <v>14</v>
          </cell>
        </row>
        <row r="7363">
          <cell r="A7363" t="str">
            <v>2RE2CH458P</v>
          </cell>
          <cell r="B7363">
            <v>7</v>
          </cell>
        </row>
        <row r="7364">
          <cell r="A7364" t="str">
            <v>3RE1AV800ZA</v>
          </cell>
          <cell r="B7364">
            <v>494</v>
          </cell>
        </row>
        <row r="7365">
          <cell r="A7365" t="str">
            <v>3RE2AV800ZA</v>
          </cell>
          <cell r="B7365">
            <v>637</v>
          </cell>
        </row>
        <row r="7366">
          <cell r="A7366" t="str">
            <v>4RE1AV800ZA</v>
          </cell>
          <cell r="B7366">
            <v>212</v>
          </cell>
        </row>
        <row r="7367">
          <cell r="A7367" t="str">
            <v>5RE1AV800ZA</v>
          </cell>
          <cell r="B7367">
            <v>370</v>
          </cell>
        </row>
        <row r="7368">
          <cell r="A7368" t="str">
            <v>5RE2AV800ZA</v>
          </cell>
          <cell r="B7368">
            <v>302</v>
          </cell>
        </row>
        <row r="7369">
          <cell r="A7369" t="str">
            <v>6CM1AV800ZA</v>
          </cell>
          <cell r="B7369">
            <v>58</v>
          </cell>
        </row>
        <row r="7370">
          <cell r="A7370" t="str">
            <v>PULB1129ZA-XM</v>
          </cell>
        </row>
        <row r="7371">
          <cell r="A7371" t="str">
            <v>PULB1044ZA-GL</v>
          </cell>
        </row>
        <row r="7372">
          <cell r="A7372" t="str">
            <v>PULB1043YA-GL</v>
          </cell>
        </row>
        <row r="7373">
          <cell r="A7373" t="str">
            <v>PULB1128ZA-XM</v>
          </cell>
        </row>
        <row r="7374">
          <cell r="A7374" t="str">
            <v>PULB1127ZA-XM</v>
          </cell>
        </row>
        <row r="7375">
          <cell r="A7375" t="str">
            <v>PULB1069XA-XM</v>
          </cell>
        </row>
        <row r="7376">
          <cell r="A7376" t="str">
            <v>PULB1123ZA-GL</v>
          </cell>
        </row>
        <row r="7377">
          <cell r="A7377" t="str">
            <v>PULB1024ZA-XM</v>
          </cell>
        </row>
        <row r="7378">
          <cell r="A7378" t="str">
            <v>PULB1123ZA-GL</v>
          </cell>
        </row>
        <row r="7379">
          <cell r="A7379" t="str">
            <v>1VJ1PC200AZA</v>
          </cell>
        </row>
        <row r="7380">
          <cell r="A7380" t="str">
            <v>1VJ1CH458</v>
          </cell>
        </row>
        <row r="7381">
          <cell r="A7381" t="str">
            <v>1VJ1CH458P</v>
          </cell>
        </row>
        <row r="7382">
          <cell r="A7382" t="str">
            <v>1AE1ARBPC1A10784</v>
          </cell>
          <cell r="B7382">
            <v>4</v>
          </cell>
        </row>
        <row r="7383">
          <cell r="A7383" t="str">
            <v>1AE1ARBPC1A13680</v>
          </cell>
          <cell r="B7383">
            <v>5</v>
          </cell>
        </row>
        <row r="7384">
          <cell r="A7384" t="str">
            <v>1AE1ARBPC1A13690</v>
          </cell>
          <cell r="B7384">
            <v>5</v>
          </cell>
        </row>
        <row r="7385">
          <cell r="A7385" t="str">
            <v>1AE1ARBPC1A13710</v>
          </cell>
          <cell r="B7385">
            <v>4</v>
          </cell>
        </row>
        <row r="7386">
          <cell r="A7386" t="str">
            <v>1CM1ARBP0DA01484-1</v>
          </cell>
          <cell r="B7386">
            <v>63</v>
          </cell>
        </row>
        <row r="7387">
          <cell r="A7387" t="str">
            <v>1CM1ARBPC1A10784</v>
          </cell>
          <cell r="B7387">
            <v>67</v>
          </cell>
        </row>
        <row r="7388">
          <cell r="A7388" t="str">
            <v>1CM1ARBPC1A13710</v>
          </cell>
          <cell r="B7388">
            <v>23</v>
          </cell>
        </row>
        <row r="7389">
          <cell r="A7389" t="str">
            <v>1RE1ARBP0DA01484-1</v>
          </cell>
          <cell r="B7389">
            <v>22</v>
          </cell>
        </row>
        <row r="7390">
          <cell r="A7390" t="str">
            <v>1RE1ARBPC1A10784</v>
          </cell>
          <cell r="B7390">
            <v>418</v>
          </cell>
        </row>
        <row r="7391">
          <cell r="A7391" t="str">
            <v>1RE1ARBPC1A13680</v>
          </cell>
          <cell r="B7391">
            <v>182</v>
          </cell>
        </row>
        <row r="7392">
          <cell r="A7392" t="str">
            <v>1RE1ARBPC1A13690</v>
          </cell>
          <cell r="B7392">
            <v>182</v>
          </cell>
        </row>
        <row r="7393">
          <cell r="A7393" t="str">
            <v>1RE1ARBPC1A13710</v>
          </cell>
          <cell r="B7393">
            <v>234</v>
          </cell>
        </row>
        <row r="7394">
          <cell r="A7394" t="str">
            <v>1RH1ARBP0DA01484-1</v>
          </cell>
          <cell r="B7394">
            <v>10</v>
          </cell>
        </row>
        <row r="7395">
          <cell r="A7395" t="str">
            <v>1RH1ARBPC1A10784</v>
          </cell>
          <cell r="B7395">
            <v>20</v>
          </cell>
        </row>
        <row r="7396">
          <cell r="A7396" t="str">
            <v>1RH1ARBPC1A13680</v>
          </cell>
          <cell r="B7396">
            <v>19</v>
          </cell>
        </row>
        <row r="7397">
          <cell r="A7397" t="str">
            <v>1RH1ARBPC1A13690</v>
          </cell>
          <cell r="B7397">
            <v>19</v>
          </cell>
        </row>
        <row r="7398">
          <cell r="A7398" t="str">
            <v>1RH1ARBPC1A13710</v>
          </cell>
          <cell r="B7398">
            <v>20</v>
          </cell>
        </row>
        <row r="7399">
          <cell r="A7399" t="str">
            <v>1RE1ART002T93790</v>
          </cell>
          <cell r="B7399">
            <v>76</v>
          </cell>
        </row>
        <row r="7400">
          <cell r="A7400" t="str">
            <v>1RE1ART002T93800</v>
          </cell>
          <cell r="B7400">
            <v>6</v>
          </cell>
        </row>
        <row r="7401">
          <cell r="A7401" t="str">
            <v>1RE1ART002T93810</v>
          </cell>
          <cell r="B7401">
            <v>111</v>
          </cell>
        </row>
        <row r="7402">
          <cell r="A7402" t="str">
            <v>1RE1ART002T93820</v>
          </cell>
          <cell r="B7402">
            <v>102</v>
          </cell>
        </row>
        <row r="7403">
          <cell r="A7403" t="str">
            <v>1RE2ART002T93790</v>
          </cell>
          <cell r="B7403">
            <v>4</v>
          </cell>
        </row>
        <row r="7404">
          <cell r="A7404" t="str">
            <v>1RE2ART002T93810</v>
          </cell>
          <cell r="B7404">
            <v>3</v>
          </cell>
        </row>
        <row r="7405">
          <cell r="A7405" t="str">
            <v>1AE1H603Y3J90BP-T</v>
          </cell>
          <cell r="B7405">
            <v>18</v>
          </cell>
        </row>
        <row r="7406">
          <cell r="A7406" t="str">
            <v>1CM1H603Y3J90BP-T</v>
          </cell>
          <cell r="B7406">
            <v>52</v>
          </cell>
        </row>
        <row r="7407">
          <cell r="A7407" t="str">
            <v>1CM1H608E3K70BP-T</v>
          </cell>
          <cell r="B7407">
            <v>23</v>
          </cell>
        </row>
        <row r="7408">
          <cell r="A7408" t="str">
            <v>1HT1H603Y3J90BP-T</v>
          </cell>
          <cell r="B7408">
            <v>22</v>
          </cell>
        </row>
        <row r="7409">
          <cell r="A7409" t="str">
            <v>1HT1H608E3K70BP-T</v>
          </cell>
          <cell r="B7409">
            <v>4</v>
          </cell>
        </row>
        <row r="7410">
          <cell r="A7410" t="str">
            <v>1RH1H603Y3J90BP-T</v>
          </cell>
          <cell r="B7410">
            <v>12</v>
          </cell>
        </row>
        <row r="7411">
          <cell r="A7411" t="str">
            <v>1RH1H608E3K70BP-T</v>
          </cell>
          <cell r="B7411">
            <v>8</v>
          </cell>
        </row>
        <row r="7412">
          <cell r="A7412" t="str">
            <v>1TE1H603Y3J90BP-T</v>
          </cell>
          <cell r="B7412">
            <v>5</v>
          </cell>
        </row>
        <row r="7413">
          <cell r="A7413" t="str">
            <v>H65553J90BP</v>
          </cell>
        </row>
        <row r="7414">
          <cell r="A7414" t="str">
            <v>H67493K70BP</v>
          </cell>
        </row>
        <row r="7415">
          <cell r="A7415" t="str">
            <v>1AE1ARBPC1A13761</v>
          </cell>
          <cell r="B7415">
            <v>4</v>
          </cell>
        </row>
        <row r="7416">
          <cell r="A7416" t="str">
            <v>1CM1ARBPC1A13761</v>
          </cell>
          <cell r="B7416">
            <v>67</v>
          </cell>
        </row>
        <row r="7417">
          <cell r="A7417" t="str">
            <v>1CM1ART002T92010</v>
          </cell>
          <cell r="B7417">
            <v>62</v>
          </cell>
        </row>
        <row r="7418">
          <cell r="A7418" t="str">
            <v>1CM1ART002T92020</v>
          </cell>
          <cell r="B7418">
            <v>62</v>
          </cell>
        </row>
        <row r="7419">
          <cell r="A7419" t="str">
            <v>1CM1ART002T92310</v>
          </cell>
          <cell r="B7419">
            <v>64</v>
          </cell>
        </row>
        <row r="7420">
          <cell r="A7420" t="str">
            <v>1RE1ARBP0DA03081</v>
          </cell>
          <cell r="B7420">
            <v>111</v>
          </cell>
        </row>
        <row r="7421">
          <cell r="A7421" t="str">
            <v>1RE1ARBPC1A13761</v>
          </cell>
          <cell r="B7421">
            <v>381</v>
          </cell>
        </row>
        <row r="7422">
          <cell r="A7422" t="str">
            <v>1RE1ART002T92010</v>
          </cell>
          <cell r="B7422">
            <v>23</v>
          </cell>
        </row>
        <row r="7423">
          <cell r="A7423" t="str">
            <v>1RE1ART002T92020</v>
          </cell>
          <cell r="B7423">
            <v>23</v>
          </cell>
        </row>
        <row r="7424">
          <cell r="A7424" t="str">
            <v>1RE1ART002T92310</v>
          </cell>
          <cell r="B7424">
            <v>23</v>
          </cell>
        </row>
        <row r="7425">
          <cell r="A7425" t="str">
            <v>1RE1ART002T93790</v>
          </cell>
          <cell r="B7425">
            <v>76</v>
          </cell>
        </row>
        <row r="7426">
          <cell r="A7426" t="str">
            <v>1RE1ART002T93800</v>
          </cell>
          <cell r="B7426">
            <v>6</v>
          </cell>
        </row>
        <row r="7427">
          <cell r="A7427" t="str">
            <v>1RE1ART002T93810</v>
          </cell>
          <cell r="B7427">
            <v>111</v>
          </cell>
        </row>
        <row r="7428">
          <cell r="A7428" t="str">
            <v>1RE1ART002T93820</v>
          </cell>
          <cell r="B7428">
            <v>102</v>
          </cell>
        </row>
        <row r="7429">
          <cell r="A7429" t="str">
            <v>1RE2ARBP0DA03081</v>
          </cell>
          <cell r="B7429">
            <v>37</v>
          </cell>
        </row>
        <row r="7430">
          <cell r="A7430" t="str">
            <v>1RE2ART002T93790</v>
          </cell>
          <cell r="B7430">
            <v>4</v>
          </cell>
        </row>
        <row r="7431">
          <cell r="A7431" t="str">
            <v>1RE2ART002T93810</v>
          </cell>
          <cell r="B7431">
            <v>3</v>
          </cell>
        </row>
        <row r="7432">
          <cell r="A7432" t="str">
            <v>1RH1ARBPC1A13761</v>
          </cell>
          <cell r="B7432">
            <v>19</v>
          </cell>
        </row>
        <row r="7433">
          <cell r="A7433" t="str">
            <v>1RH1ART002T92010</v>
          </cell>
          <cell r="B7433">
            <v>10</v>
          </cell>
        </row>
        <row r="7434">
          <cell r="A7434" t="str">
            <v>1RH1ART002T92020</v>
          </cell>
          <cell r="B7434">
            <v>10</v>
          </cell>
        </row>
        <row r="7435">
          <cell r="A7435" t="str">
            <v>1RH1ART002T92310</v>
          </cell>
          <cell r="B7435">
            <v>10</v>
          </cell>
        </row>
        <row r="7436">
          <cell r="A7436" t="str">
            <v>1AE1ARBPC1A11623</v>
          </cell>
          <cell r="B7436">
            <v>7</v>
          </cell>
        </row>
        <row r="7437">
          <cell r="A7437" t="str">
            <v>1CM1ARBPC1A11623</v>
          </cell>
          <cell r="B7437">
            <v>23</v>
          </cell>
        </row>
        <row r="7438">
          <cell r="A7438" t="str">
            <v>1CM1ARBPC1A14030</v>
          </cell>
          <cell r="B7438">
            <v>25</v>
          </cell>
        </row>
        <row r="7439">
          <cell r="A7439" t="str">
            <v>1RE1ARBPC1A11623</v>
          </cell>
          <cell r="B7439">
            <v>285</v>
          </cell>
        </row>
        <row r="7440">
          <cell r="A7440" t="str">
            <v>1RE1ARBPC1A14030</v>
          </cell>
          <cell r="B7440">
            <v>269</v>
          </cell>
        </row>
        <row r="7441">
          <cell r="A7441" t="str">
            <v>1RH1ARBPC1A11623</v>
          </cell>
          <cell r="B7441">
            <v>24</v>
          </cell>
        </row>
        <row r="7442">
          <cell r="A7442" t="str">
            <v>1RH1ARBPC1A14030</v>
          </cell>
          <cell r="B7442">
            <v>24</v>
          </cell>
        </row>
        <row r="7443">
          <cell r="A7443" t="str">
            <v>1AE1ARBPC1A08237-T</v>
          </cell>
          <cell r="B7443">
            <v>5</v>
          </cell>
        </row>
        <row r="7444">
          <cell r="A7444" t="str">
            <v>1AE1ARBPC1A10776-T</v>
          </cell>
          <cell r="B7444">
            <v>4</v>
          </cell>
        </row>
        <row r="7445">
          <cell r="A7445" t="str">
            <v>1AE1ARBPC1A11622-T</v>
          </cell>
          <cell r="B7445">
            <v>7</v>
          </cell>
        </row>
        <row r="7446">
          <cell r="A7446" t="str">
            <v>1CM1ARBPC1A08237-T</v>
          </cell>
          <cell r="B7446">
            <v>23</v>
          </cell>
        </row>
        <row r="7447">
          <cell r="A7447" t="str">
            <v>1CM1ARBPC1A10776-T</v>
          </cell>
          <cell r="B7447">
            <v>67</v>
          </cell>
        </row>
        <row r="7448">
          <cell r="A7448" t="str">
            <v>1CM1ARBPC1A11622-T</v>
          </cell>
          <cell r="B7448">
            <v>23</v>
          </cell>
        </row>
        <row r="7449">
          <cell r="A7449" t="str">
            <v>1CM1ARBPC1A12383-T</v>
          </cell>
          <cell r="B7449">
            <v>25</v>
          </cell>
        </row>
        <row r="7450">
          <cell r="A7450" t="str">
            <v>1RE1ARBP01A01630</v>
          </cell>
          <cell r="B7450">
            <v>140</v>
          </cell>
        </row>
        <row r="7451">
          <cell r="A7451" t="str">
            <v>1RE1ARBPC1A08237-T</v>
          </cell>
          <cell r="B7451">
            <v>277</v>
          </cell>
        </row>
        <row r="7452">
          <cell r="A7452" t="str">
            <v>1RE1ARBPC1A10776-T</v>
          </cell>
          <cell r="B7452">
            <v>401</v>
          </cell>
        </row>
        <row r="7453">
          <cell r="A7453" t="str">
            <v>1RE1ARBPC1A11622-T</v>
          </cell>
          <cell r="B7453">
            <v>285</v>
          </cell>
        </row>
        <row r="7454">
          <cell r="A7454" t="str">
            <v>1RE1ARBPC1A12383-T</v>
          </cell>
          <cell r="B7454">
            <v>270</v>
          </cell>
        </row>
        <row r="7455">
          <cell r="A7455" t="str">
            <v>1RH1ARBPC1A08237-T</v>
          </cell>
          <cell r="B7455">
            <v>20</v>
          </cell>
        </row>
        <row r="7456">
          <cell r="A7456" t="str">
            <v>1RH1ARBPC1A10776-T</v>
          </cell>
          <cell r="B7456">
            <v>20</v>
          </cell>
        </row>
        <row r="7457">
          <cell r="A7457" t="str">
            <v>1RH1ARBPC1A11622-T</v>
          </cell>
          <cell r="B7457">
            <v>24</v>
          </cell>
        </row>
        <row r="7458">
          <cell r="A7458" t="str">
            <v>1RH1ARBPC1A12383-T</v>
          </cell>
          <cell r="B7458">
            <v>24</v>
          </cell>
        </row>
        <row r="7459">
          <cell r="A7459" t="str">
            <v>1CM1ARBPC1A13552</v>
          </cell>
          <cell r="B7459">
            <v>28</v>
          </cell>
        </row>
        <row r="7460">
          <cell r="A7460" t="str">
            <v>1RE1ARBPC1A13552</v>
          </cell>
          <cell r="B7460">
            <v>289</v>
          </cell>
        </row>
        <row r="7461">
          <cell r="A7461" t="str">
            <v>1RH1ARBPC1A13552</v>
          </cell>
          <cell r="B7461">
            <v>24</v>
          </cell>
        </row>
        <row r="7462">
          <cell r="A7462" t="str">
            <v>1AE1ARBPC1A08412</v>
          </cell>
          <cell r="B7462">
            <v>3</v>
          </cell>
        </row>
        <row r="7463">
          <cell r="A7463" t="str">
            <v>1CM1ARBPC1A08412</v>
          </cell>
          <cell r="B7463">
            <v>83</v>
          </cell>
        </row>
        <row r="7464">
          <cell r="A7464" t="str">
            <v>1RE1ARBPC1A08412</v>
          </cell>
          <cell r="B7464">
            <v>275</v>
          </cell>
        </row>
        <row r="7465">
          <cell r="A7465" t="str">
            <v>1RE1ARBPLPA00190</v>
          </cell>
          <cell r="B7465">
            <v>9</v>
          </cell>
        </row>
        <row r="7466">
          <cell r="A7466" t="str">
            <v>1RH1ARBPC1A08412</v>
          </cell>
          <cell r="B7466">
            <v>16</v>
          </cell>
        </row>
        <row r="7467">
          <cell r="A7467" t="str">
            <v>1AE1ARBPC1A05411</v>
          </cell>
          <cell r="B7467">
            <v>56</v>
          </cell>
        </row>
        <row r="7468">
          <cell r="A7468" t="str">
            <v>1AE1ARBPC1A07320</v>
          </cell>
          <cell r="B7468">
            <v>56</v>
          </cell>
        </row>
        <row r="7469">
          <cell r="A7469" t="str">
            <v>1AE1ARBPC1A07330</v>
          </cell>
          <cell r="B7469">
            <v>56</v>
          </cell>
        </row>
        <row r="7470">
          <cell r="A7470" t="str">
            <v>1AE1ARBPC1A11063</v>
          </cell>
          <cell r="B7470">
            <v>6</v>
          </cell>
        </row>
        <row r="7471">
          <cell r="A7471" t="str">
            <v>1AE1ARBPC1A11453</v>
          </cell>
          <cell r="B7471">
            <v>6</v>
          </cell>
        </row>
        <row r="7472">
          <cell r="A7472" t="str">
            <v>1CM1ARBP0DA0072A-1</v>
          </cell>
          <cell r="B7472">
            <v>62</v>
          </cell>
        </row>
        <row r="7473">
          <cell r="A7473" t="str">
            <v>1CM1ARBPC1A06121</v>
          </cell>
          <cell r="B7473">
            <v>271</v>
          </cell>
        </row>
        <row r="7474">
          <cell r="A7474" t="str">
            <v>1CM1ARBPC1A07320</v>
          </cell>
          <cell r="B7474">
            <v>269</v>
          </cell>
        </row>
        <row r="7475">
          <cell r="A7475" t="str">
            <v>1CM1ARBPC1A07330</v>
          </cell>
          <cell r="B7475">
            <v>269</v>
          </cell>
        </row>
        <row r="7476">
          <cell r="A7476" t="str">
            <v>1CM1ARBPC1A11063</v>
          </cell>
          <cell r="B7476">
            <v>23</v>
          </cell>
        </row>
        <row r="7477">
          <cell r="A7477" t="str">
            <v>1CM1ARBPC1A11453</v>
          </cell>
          <cell r="B7477">
            <v>22</v>
          </cell>
        </row>
        <row r="7478">
          <cell r="A7478" t="str">
            <v>1CM1ART002T92011</v>
          </cell>
          <cell r="B7478">
            <v>62</v>
          </cell>
        </row>
        <row r="7479">
          <cell r="A7479" t="str">
            <v>1CM1ART002T93680</v>
          </cell>
          <cell r="B7479">
            <v>48</v>
          </cell>
        </row>
        <row r="7480">
          <cell r="A7480" t="str">
            <v>1CM1ART002T93690</v>
          </cell>
          <cell r="B7480">
            <v>48</v>
          </cell>
        </row>
        <row r="7481">
          <cell r="A7481" t="str">
            <v>1CM1ART002T94810</v>
          </cell>
          <cell r="B7481">
            <v>69</v>
          </cell>
        </row>
        <row r="7482">
          <cell r="A7482" t="str">
            <v>1CM1ART002T94811</v>
          </cell>
          <cell r="B7482">
            <v>69</v>
          </cell>
        </row>
        <row r="7483">
          <cell r="A7483" t="str">
            <v>1RE1ARBP0DA0072A-1</v>
          </cell>
          <cell r="B7483">
            <v>22</v>
          </cell>
        </row>
        <row r="7484">
          <cell r="A7484" t="str">
            <v>1RE1ARBPC1A11063</v>
          </cell>
          <cell r="B7484">
            <v>225</v>
          </cell>
        </row>
        <row r="7485">
          <cell r="A7485" t="str">
            <v>1RE1ARBPC1A11453</v>
          </cell>
          <cell r="B7485">
            <v>219</v>
          </cell>
        </row>
        <row r="7486">
          <cell r="A7486" t="str">
            <v>1RE1ART002T92011</v>
          </cell>
          <cell r="B7486">
            <v>22</v>
          </cell>
        </row>
        <row r="7487">
          <cell r="A7487" t="str">
            <v>1RE1ART002T93680</v>
          </cell>
          <cell r="B7487">
            <v>18</v>
          </cell>
        </row>
        <row r="7488">
          <cell r="A7488" t="str">
            <v>1RE1ART002T93690</v>
          </cell>
          <cell r="B7488">
            <v>18</v>
          </cell>
        </row>
        <row r="7489">
          <cell r="A7489" t="str">
            <v>1RE1ART002T94810</v>
          </cell>
          <cell r="B7489">
            <v>21</v>
          </cell>
        </row>
        <row r="7490">
          <cell r="A7490" t="str">
            <v>1RE1ART002T94811</v>
          </cell>
          <cell r="B7490">
            <v>21</v>
          </cell>
        </row>
        <row r="7491">
          <cell r="A7491" t="str">
            <v>1RH1ARBP0DA0072A-1</v>
          </cell>
          <cell r="B7491">
            <v>10</v>
          </cell>
        </row>
        <row r="7492">
          <cell r="A7492" t="str">
            <v>1RH1ARBPC1A06121</v>
          </cell>
          <cell r="B7492">
            <v>16</v>
          </cell>
        </row>
        <row r="7493">
          <cell r="A7493" t="str">
            <v>1RH1ARBPC1A07320</v>
          </cell>
          <cell r="B7493">
            <v>16</v>
          </cell>
        </row>
        <row r="7494">
          <cell r="A7494" t="str">
            <v>1RH1ARBPC1A07330</v>
          </cell>
          <cell r="B7494">
            <v>16</v>
          </cell>
        </row>
        <row r="7495">
          <cell r="A7495" t="str">
            <v>1RH1ARBPC1A11063</v>
          </cell>
          <cell r="B7495">
            <v>21</v>
          </cell>
        </row>
        <row r="7496">
          <cell r="A7496" t="str">
            <v>1RH1ARBPC1A11453</v>
          </cell>
          <cell r="B7496">
            <v>21</v>
          </cell>
        </row>
        <row r="7497">
          <cell r="A7497" t="str">
            <v>1RH1ART002T92011</v>
          </cell>
          <cell r="B7497">
            <v>10</v>
          </cell>
        </row>
        <row r="7498">
          <cell r="A7498" t="str">
            <v>1RH1ART002T93680</v>
          </cell>
          <cell r="B7498">
            <v>9</v>
          </cell>
        </row>
        <row r="7499">
          <cell r="A7499" t="str">
            <v>1RH1ART002T93690</v>
          </cell>
          <cell r="B7499">
            <v>9</v>
          </cell>
        </row>
        <row r="7500">
          <cell r="A7500" t="str">
            <v>1RH1ART002T94810</v>
          </cell>
          <cell r="B7500">
            <v>13</v>
          </cell>
        </row>
        <row r="7501">
          <cell r="A7501" t="str">
            <v>1RH1ART002T94811</v>
          </cell>
          <cell r="B7501">
            <v>13</v>
          </cell>
        </row>
        <row r="7502">
          <cell r="A7502" t="str">
            <v>1AE1H603L3K20RP-PP</v>
          </cell>
          <cell r="B7502">
            <v>150</v>
          </cell>
        </row>
        <row r="7503">
          <cell r="A7503" t="str">
            <v>1CM1H603L3K20RP-PP</v>
          </cell>
          <cell r="B7503">
            <v>430</v>
          </cell>
        </row>
        <row r="7504">
          <cell r="A7504" t="str">
            <v>1HT1H603L3K20RP-PP</v>
          </cell>
          <cell r="B7504">
            <v>18</v>
          </cell>
        </row>
        <row r="7505">
          <cell r="A7505" t="str">
            <v>1RH1H603L3K20RP-PP</v>
          </cell>
          <cell r="B7505">
            <v>36</v>
          </cell>
        </row>
        <row r="7506">
          <cell r="A7506" t="str">
            <v>1TE1H603L3K20RP-PP</v>
          </cell>
          <cell r="B7506">
            <v>1</v>
          </cell>
        </row>
        <row r="7507">
          <cell r="A7507" t="str">
            <v>1AE1ARBPC1A12633</v>
          </cell>
          <cell r="B7507">
            <v>7</v>
          </cell>
        </row>
        <row r="7508">
          <cell r="A7508" t="str">
            <v>1CM1ARBPC1A12633</v>
          </cell>
          <cell r="B7508">
            <v>23</v>
          </cell>
        </row>
        <row r="7509">
          <cell r="A7509" t="str">
            <v>1RE1ARBPC1A12633</v>
          </cell>
          <cell r="B7509">
            <v>278</v>
          </cell>
        </row>
        <row r="7510">
          <cell r="A7510" t="str">
            <v>1RH1ARBPC1A12633</v>
          </cell>
          <cell r="B7510">
            <v>22</v>
          </cell>
        </row>
        <row r="7511">
          <cell r="A7511" t="str">
            <v>1AE1ART002T97440</v>
          </cell>
          <cell r="B7511">
            <v>4</v>
          </cell>
        </row>
        <row r="7512">
          <cell r="A7512" t="str">
            <v>1CM1ART002T97440</v>
          </cell>
          <cell r="B7512">
            <v>67</v>
          </cell>
        </row>
        <row r="7513">
          <cell r="A7513" t="str">
            <v>1RE1ART002T97440</v>
          </cell>
          <cell r="B7513">
            <v>401</v>
          </cell>
        </row>
        <row r="7514">
          <cell r="A7514" t="str">
            <v>1RH1ART002T97440</v>
          </cell>
          <cell r="B7514">
            <v>19</v>
          </cell>
        </row>
        <row r="7515">
          <cell r="A7515" t="str">
            <v>1AE1ARBPC1A14070</v>
          </cell>
          <cell r="B7515">
            <v>5</v>
          </cell>
        </row>
        <row r="7516">
          <cell r="A7516" t="str">
            <v>1AE1ARBPC1A14080</v>
          </cell>
          <cell r="B7516">
            <v>4</v>
          </cell>
        </row>
        <row r="7517">
          <cell r="A7517" t="str">
            <v>1AE1ARBPC1A14110</v>
          </cell>
          <cell r="B7517">
            <v>5</v>
          </cell>
        </row>
        <row r="7518">
          <cell r="A7518" t="str">
            <v>1CM1ARBPC1A14070</v>
          </cell>
          <cell r="B7518">
            <v>67</v>
          </cell>
        </row>
        <row r="7519">
          <cell r="A7519" t="str">
            <v>1CM1ARBPC1A14080</v>
          </cell>
          <cell r="B7519">
            <v>67</v>
          </cell>
        </row>
        <row r="7520">
          <cell r="A7520" t="str">
            <v>1CM1ARBPC1A14110</v>
          </cell>
          <cell r="B7520">
            <v>66</v>
          </cell>
        </row>
        <row r="7521">
          <cell r="A7521" t="str">
            <v>1RE1ARBP0DA03130</v>
          </cell>
          <cell r="B7521">
            <v>112</v>
          </cell>
        </row>
        <row r="7522">
          <cell r="A7522" t="str">
            <v>1RE1ARBPC1A14070</v>
          </cell>
          <cell r="B7522">
            <v>398</v>
          </cell>
        </row>
        <row r="7523">
          <cell r="A7523" t="str">
            <v>1RE1ARBPC1A14080</v>
          </cell>
          <cell r="B7523">
            <v>398</v>
          </cell>
        </row>
        <row r="7524">
          <cell r="A7524" t="str">
            <v>1RE1ARBPC1A14110</v>
          </cell>
          <cell r="B7524">
            <v>377</v>
          </cell>
        </row>
        <row r="7525">
          <cell r="A7525" t="str">
            <v>1RE2ARBP0DA03130</v>
          </cell>
          <cell r="B7525">
            <v>38</v>
          </cell>
        </row>
        <row r="7526">
          <cell r="A7526" t="str">
            <v>1RH1ARBPC1A14070</v>
          </cell>
          <cell r="B7526">
            <v>18</v>
          </cell>
        </row>
        <row r="7527">
          <cell r="A7527" t="str">
            <v>1RH1ARBPC1A14080</v>
          </cell>
          <cell r="B7527">
            <v>19</v>
          </cell>
        </row>
        <row r="7528">
          <cell r="A7528" t="str">
            <v>1RH1ARBPC1A14110</v>
          </cell>
          <cell r="B7528">
            <v>20</v>
          </cell>
        </row>
        <row r="7529">
          <cell r="A7529" t="str">
            <v>1AE1ARBPC1A13730</v>
          </cell>
          <cell r="B7529">
            <v>5</v>
          </cell>
        </row>
        <row r="7530">
          <cell r="A7530" t="str">
            <v>1AE1ART002T97480</v>
          </cell>
          <cell r="B7530">
            <v>7</v>
          </cell>
        </row>
        <row r="7531">
          <cell r="A7531" t="str">
            <v>1AE1ART002T97490</v>
          </cell>
          <cell r="B7531">
            <v>8</v>
          </cell>
        </row>
        <row r="7532">
          <cell r="A7532" t="str">
            <v>1AE1ART002T97510</v>
          </cell>
          <cell r="B7532">
            <v>7</v>
          </cell>
        </row>
        <row r="7533">
          <cell r="A7533" t="str">
            <v>1CM1ART002T97510</v>
          </cell>
          <cell r="B7533">
            <v>23</v>
          </cell>
        </row>
        <row r="7534">
          <cell r="A7534" t="str">
            <v>1RE1ARBPC1A13730</v>
          </cell>
          <cell r="B7534">
            <v>181</v>
          </cell>
        </row>
        <row r="7535">
          <cell r="A7535" t="str">
            <v>1RE1ART002T97480</v>
          </cell>
          <cell r="B7535">
            <v>144</v>
          </cell>
        </row>
        <row r="7536">
          <cell r="A7536" t="str">
            <v>1RE1ART002T97490</v>
          </cell>
          <cell r="B7536">
            <v>165</v>
          </cell>
        </row>
        <row r="7537">
          <cell r="A7537" t="str">
            <v>1RE1ART002T97510</v>
          </cell>
          <cell r="B7537">
            <v>286</v>
          </cell>
        </row>
        <row r="7538">
          <cell r="A7538" t="str">
            <v>1RH1ARBPC1A13730</v>
          </cell>
          <cell r="B7538">
            <v>19</v>
          </cell>
        </row>
        <row r="7539">
          <cell r="A7539" t="str">
            <v>1RH1ART002T97480</v>
          </cell>
          <cell r="B7539">
            <v>14</v>
          </cell>
        </row>
        <row r="7540">
          <cell r="A7540" t="str">
            <v>1RH1ART002T97490</v>
          </cell>
          <cell r="B7540">
            <v>18</v>
          </cell>
        </row>
        <row r="7541">
          <cell r="A7541" t="str">
            <v>1RH1ART002T97510</v>
          </cell>
          <cell r="B7541">
            <v>23</v>
          </cell>
        </row>
        <row r="7542">
          <cell r="A7542" t="str">
            <v>1AE1A603L3J3BP1</v>
          </cell>
          <cell r="B7542">
            <v>74</v>
          </cell>
        </row>
        <row r="7543">
          <cell r="A7543" t="str">
            <v>1CM1A603L3J3BP1</v>
          </cell>
          <cell r="B7543">
            <v>222</v>
          </cell>
        </row>
        <row r="7544">
          <cell r="A7544" t="str">
            <v>1RH1A603L3J3BP1</v>
          </cell>
          <cell r="B7544">
            <v>7</v>
          </cell>
        </row>
        <row r="7545">
          <cell r="A7545" t="str">
            <v>1AE1ARBPC1A14120</v>
          </cell>
          <cell r="B7545">
            <v>5</v>
          </cell>
        </row>
        <row r="7546">
          <cell r="A7546" t="str">
            <v>1AE1ARBPC1A14160</v>
          </cell>
          <cell r="B7546">
            <v>5</v>
          </cell>
        </row>
        <row r="7547">
          <cell r="A7547" t="str">
            <v>1CM1ARBPC1A14090</v>
          </cell>
          <cell r="B7547">
            <v>25</v>
          </cell>
        </row>
        <row r="7548">
          <cell r="A7548" t="str">
            <v>1CM1ARBPC1A14120</v>
          </cell>
          <cell r="B7548">
            <v>23</v>
          </cell>
        </row>
        <row r="7549">
          <cell r="A7549" t="str">
            <v>1CM1ARBPC1A14160</v>
          </cell>
          <cell r="B7549">
            <v>23</v>
          </cell>
        </row>
        <row r="7550">
          <cell r="A7550" t="str">
            <v>1RE1ARBP01A01631</v>
          </cell>
          <cell r="B7550">
            <v>140</v>
          </cell>
        </row>
        <row r="7551">
          <cell r="A7551" t="str">
            <v>1RE1ARBP01A01690</v>
          </cell>
          <cell r="B7551">
            <v>120</v>
          </cell>
        </row>
        <row r="7552">
          <cell r="A7552" t="str">
            <v>1RE1ARBPC1A14090</v>
          </cell>
          <cell r="B7552">
            <v>266</v>
          </cell>
        </row>
        <row r="7553">
          <cell r="A7553" t="str">
            <v>1RE1ARBPC1A14120</v>
          </cell>
          <cell r="B7553">
            <v>273</v>
          </cell>
        </row>
        <row r="7554">
          <cell r="A7554" t="str">
            <v>1RE1ARBPC1A14160</v>
          </cell>
          <cell r="B7554">
            <v>267</v>
          </cell>
        </row>
        <row r="7555">
          <cell r="A7555" t="str">
            <v>1RH1ARBPC1A14090</v>
          </cell>
          <cell r="B7555">
            <v>20</v>
          </cell>
        </row>
        <row r="7556">
          <cell r="A7556" t="str">
            <v>1RH1ARBPC1A14120</v>
          </cell>
          <cell r="B7556">
            <v>24</v>
          </cell>
        </row>
        <row r="7557">
          <cell r="A7557" t="str">
            <v>1RH1ARBPC1A14160</v>
          </cell>
          <cell r="B7557">
            <v>24</v>
          </cell>
        </row>
        <row r="7558">
          <cell r="A7558" t="str">
            <v>1RE1H605Q-3L10-T</v>
          </cell>
          <cell r="B7558">
            <v>89</v>
          </cell>
        </row>
        <row r="7559">
          <cell r="A7559" t="str">
            <v>1RE2H605Q-3L10-T</v>
          </cell>
          <cell r="B7559">
            <v>175</v>
          </cell>
        </row>
        <row r="7560">
          <cell r="A7560" t="str">
            <v>1AE1H683L3K21P2</v>
          </cell>
          <cell r="B7560">
            <v>150</v>
          </cell>
        </row>
        <row r="7561">
          <cell r="A7561" t="str">
            <v>1CM1H683L3K21P2</v>
          </cell>
          <cell r="B7561">
            <v>413</v>
          </cell>
        </row>
        <row r="7562">
          <cell r="A7562" t="str">
            <v>1HT1H683L3K21P2</v>
          </cell>
          <cell r="B7562">
            <v>18</v>
          </cell>
        </row>
        <row r="7563">
          <cell r="A7563" t="str">
            <v>1RH1H683L3K21P2</v>
          </cell>
          <cell r="B7563">
            <v>33</v>
          </cell>
        </row>
        <row r="7564">
          <cell r="A7564" t="str">
            <v>1TE1H683L3K21P2</v>
          </cell>
          <cell r="B7564">
            <v>1</v>
          </cell>
        </row>
        <row r="7565">
          <cell r="A7565" t="str">
            <v>1RE1SAB25-S2</v>
          </cell>
          <cell r="B7565">
            <v>35</v>
          </cell>
        </row>
        <row r="7566">
          <cell r="A7566" t="str">
            <v>1RE2SAB25-S2</v>
          </cell>
          <cell r="B7566">
            <v>131</v>
          </cell>
        </row>
        <row r="7567">
          <cell r="A7567" t="str">
            <v>2RE1LP157ZA</v>
          </cell>
          <cell r="B7567">
            <v>217</v>
          </cell>
        </row>
        <row r="7568">
          <cell r="A7568" t="str">
            <v>2RE1LP407ZA</v>
          </cell>
          <cell r="B7568">
            <v>237</v>
          </cell>
        </row>
        <row r="7569">
          <cell r="A7569" t="str">
            <v>2RH1LP157ZA</v>
          </cell>
          <cell r="B7569">
            <v>2</v>
          </cell>
        </row>
        <row r="7570">
          <cell r="A7570" t="str">
            <v>2RH1LP407ZA</v>
          </cell>
          <cell r="B7570">
            <v>2</v>
          </cell>
        </row>
        <row r="7571">
          <cell r="A7571" t="str">
            <v>3RE1LP157ZA</v>
          </cell>
          <cell r="B7571">
            <v>0</v>
          </cell>
        </row>
        <row r="7572">
          <cell r="A7572" t="str">
            <v>3RE1LP407ZA</v>
          </cell>
          <cell r="B7572">
            <v>29</v>
          </cell>
        </row>
        <row r="7573">
          <cell r="A7573" t="str">
            <v>4RE1LP157ZA</v>
          </cell>
          <cell r="B7573">
            <v>0</v>
          </cell>
        </row>
        <row r="7574">
          <cell r="A7574" t="str">
            <v>4RE1LP407ZA</v>
          </cell>
          <cell r="B7574">
            <v>30</v>
          </cell>
        </row>
        <row r="7575">
          <cell r="A7575" t="str">
            <v>PULB1130ZA-GL-S2</v>
          </cell>
        </row>
        <row r="7576">
          <cell r="A7576" t="str">
            <v>PULB1124ZA/X1</v>
          </cell>
        </row>
        <row r="7577">
          <cell r="A7577" t="str">
            <v>PULB1124ZA/X1</v>
          </cell>
        </row>
        <row r="7578">
          <cell r="A7578" t="str">
            <v>1CM1ARBPC1A13553</v>
          </cell>
          <cell r="B7578">
            <v>28</v>
          </cell>
        </row>
        <row r="7579">
          <cell r="A7579" t="str">
            <v>1RE1ARBPC1A13553</v>
          </cell>
          <cell r="B7579">
            <v>289</v>
          </cell>
        </row>
        <row r="7580">
          <cell r="A7580" t="str">
            <v>1RH1ARBPC1A13553</v>
          </cell>
          <cell r="B7580">
            <v>24</v>
          </cell>
        </row>
        <row r="7581">
          <cell r="A7581" t="str">
            <v>1AE1H603L3K20RP</v>
          </cell>
          <cell r="B7581">
            <v>150</v>
          </cell>
        </row>
        <row r="7582">
          <cell r="A7582" t="str">
            <v>1CM1H603L3K20RP</v>
          </cell>
          <cell r="B7582">
            <v>430</v>
          </cell>
        </row>
        <row r="7583">
          <cell r="A7583" t="str">
            <v>1HT1H603L3K20RP</v>
          </cell>
          <cell r="B7583">
            <v>18</v>
          </cell>
        </row>
        <row r="7584">
          <cell r="A7584" t="str">
            <v>1RH1H603L3K20RP</v>
          </cell>
          <cell r="B7584">
            <v>36</v>
          </cell>
        </row>
        <row r="7585">
          <cell r="A7585" t="str">
            <v>1TE1H603L3K20RP</v>
          </cell>
          <cell r="B7585">
            <v>1</v>
          </cell>
        </row>
        <row r="7586">
          <cell r="A7586" t="str">
            <v>1RE1A605S-3J0B</v>
          </cell>
          <cell r="B7586">
            <v>9</v>
          </cell>
        </row>
        <row r="7587">
          <cell r="A7587" t="str">
            <v>6RH1AV800ZA</v>
          </cell>
          <cell r="B7587">
            <v>2</v>
          </cell>
        </row>
        <row r="7588">
          <cell r="A7588" t="str">
            <v>1AE1ARBPC1A09975</v>
          </cell>
          <cell r="B7588">
            <v>6</v>
          </cell>
        </row>
        <row r="7589">
          <cell r="A7589" t="str">
            <v>1AE1ARBPC1A11044</v>
          </cell>
          <cell r="B7589">
            <v>5</v>
          </cell>
        </row>
        <row r="7590">
          <cell r="A7590" t="str">
            <v>1CM1ARBPC1A09975</v>
          </cell>
          <cell r="B7590">
            <v>23</v>
          </cell>
        </row>
        <row r="7591">
          <cell r="A7591" t="str">
            <v>1CM1ARBPC1A11044</v>
          </cell>
          <cell r="B7591">
            <v>22</v>
          </cell>
        </row>
        <row r="7592">
          <cell r="A7592" t="str">
            <v>1RE1ARBPC1A09975</v>
          </cell>
          <cell r="B7592">
            <v>222</v>
          </cell>
        </row>
        <row r="7593">
          <cell r="A7593" t="str">
            <v>1RE1ARBPC1A11044</v>
          </cell>
          <cell r="B7593">
            <v>210</v>
          </cell>
        </row>
        <row r="7594">
          <cell r="A7594" t="str">
            <v>1RH1ARBPC1A09975</v>
          </cell>
          <cell r="B7594">
            <v>21</v>
          </cell>
        </row>
        <row r="7595">
          <cell r="A7595" t="str">
            <v>1RH1ARBPC1A11044</v>
          </cell>
          <cell r="B7595">
            <v>20</v>
          </cell>
        </row>
        <row r="7596">
          <cell r="A7596" t="str">
            <v>1AE1H603L-3L10-T</v>
          </cell>
          <cell r="B7596">
            <v>150</v>
          </cell>
        </row>
        <row r="7597">
          <cell r="A7597" t="str">
            <v>1AE1H608T-3L10-T</v>
          </cell>
          <cell r="B7597">
            <v>24</v>
          </cell>
        </row>
        <row r="7598">
          <cell r="A7598" t="str">
            <v>1CM1H603L-3L10-T</v>
          </cell>
          <cell r="B7598">
            <v>324</v>
          </cell>
        </row>
        <row r="7599">
          <cell r="A7599" t="str">
            <v>1CM1H608T-3L10-T</v>
          </cell>
          <cell r="B7599">
            <v>110</v>
          </cell>
        </row>
        <row r="7600">
          <cell r="A7600" t="str">
            <v>1HT1H603L-3L10-T</v>
          </cell>
          <cell r="B7600">
            <v>12</v>
          </cell>
        </row>
        <row r="7601">
          <cell r="A7601" t="str">
            <v>1HT1H608T-3L10-T</v>
          </cell>
          <cell r="B7601">
            <v>6</v>
          </cell>
        </row>
        <row r="7602">
          <cell r="A7602" t="str">
            <v>1RH1H603L-3L10-T</v>
          </cell>
          <cell r="B7602">
            <v>17</v>
          </cell>
        </row>
        <row r="7603">
          <cell r="A7603" t="str">
            <v>1RH1H608T-3L10-T</v>
          </cell>
          <cell r="B7603">
            <v>15</v>
          </cell>
        </row>
        <row r="7604">
          <cell r="A7604" t="str">
            <v>1TE1H603L-3L10-T</v>
          </cell>
          <cell r="B7604">
            <v>3</v>
          </cell>
        </row>
        <row r="7605">
          <cell r="A7605" t="str">
            <v>1CM1ARBPC1A13554</v>
          </cell>
          <cell r="B7605">
            <v>28</v>
          </cell>
        </row>
        <row r="7606">
          <cell r="A7606" t="str">
            <v>1CM1ARBPC1A14031</v>
          </cell>
          <cell r="B7606">
            <v>25</v>
          </cell>
        </row>
        <row r="7607">
          <cell r="A7607" t="str">
            <v>1RE1ARBPC1A13554</v>
          </cell>
          <cell r="B7607">
            <v>290</v>
          </cell>
        </row>
        <row r="7608">
          <cell r="A7608" t="str">
            <v>1RE1ARBPC1A14031</v>
          </cell>
          <cell r="B7608">
            <v>270</v>
          </cell>
        </row>
        <row r="7609">
          <cell r="A7609" t="str">
            <v>1RH1ARBPC1A13554</v>
          </cell>
          <cell r="B7609">
            <v>22</v>
          </cell>
        </row>
        <row r="7610">
          <cell r="A7610" t="str">
            <v>1RH1ARBPC1A14031</v>
          </cell>
          <cell r="B7610">
            <v>22</v>
          </cell>
        </row>
        <row r="7611">
          <cell r="A7611" t="str">
            <v>1RE1H685Q3K20BP-PP</v>
          </cell>
          <cell r="B7611">
            <v>142</v>
          </cell>
        </row>
        <row r="7612">
          <cell r="A7612" t="str">
            <v>1RE2H685Q3K20BP-PP</v>
          </cell>
          <cell r="B7612">
            <v>308</v>
          </cell>
        </row>
        <row r="7613">
          <cell r="A7613" t="str">
            <v>1AE1ARBPC1A14071</v>
          </cell>
          <cell r="B7613">
            <v>3</v>
          </cell>
        </row>
        <row r="7614">
          <cell r="A7614" t="str">
            <v>1AE1ARBPC1A14081</v>
          </cell>
          <cell r="B7614">
            <v>3</v>
          </cell>
        </row>
        <row r="7615">
          <cell r="A7615" t="str">
            <v>1AE1ARBPC1A14130</v>
          </cell>
          <cell r="B7615">
            <v>3</v>
          </cell>
        </row>
        <row r="7616">
          <cell r="A7616" t="str">
            <v>1AE1ARBPC1A14170</v>
          </cell>
          <cell r="B7616">
            <v>3</v>
          </cell>
        </row>
        <row r="7617">
          <cell r="A7617" t="str">
            <v>1CM1ARBPC1A14071</v>
          </cell>
          <cell r="B7617">
            <v>67</v>
          </cell>
        </row>
        <row r="7618">
          <cell r="A7618" t="str">
            <v>1CM1ARBPC1A14081</v>
          </cell>
          <cell r="B7618">
            <v>67</v>
          </cell>
        </row>
        <row r="7619">
          <cell r="A7619" t="str">
            <v>1CM1ARBPC1A14130</v>
          </cell>
          <cell r="B7619">
            <v>23</v>
          </cell>
        </row>
        <row r="7620">
          <cell r="A7620" t="str">
            <v>1CM1ARBPC1A14170</v>
          </cell>
          <cell r="B7620">
            <v>23</v>
          </cell>
        </row>
        <row r="7621">
          <cell r="A7621" t="str">
            <v>1RE1ARBPC1A14071</v>
          </cell>
          <cell r="B7621">
            <v>398</v>
          </cell>
        </row>
        <row r="7622">
          <cell r="A7622" t="str">
            <v>1RE1ARBPC1A14081</v>
          </cell>
          <cell r="B7622">
            <v>398</v>
          </cell>
        </row>
        <row r="7623">
          <cell r="A7623" t="str">
            <v>1RE1ARBPC1A14130</v>
          </cell>
          <cell r="B7623">
            <v>273</v>
          </cell>
        </row>
        <row r="7624">
          <cell r="A7624" t="str">
            <v>1RE1ARBPC1A14170</v>
          </cell>
          <cell r="B7624">
            <v>273</v>
          </cell>
        </row>
        <row r="7625">
          <cell r="A7625" t="str">
            <v>1RH1ARBPC1A14071</v>
          </cell>
          <cell r="B7625">
            <v>20</v>
          </cell>
        </row>
        <row r="7626">
          <cell r="A7626" t="str">
            <v>1RH1ARBPC1A14081</v>
          </cell>
          <cell r="B7626">
            <v>19</v>
          </cell>
        </row>
        <row r="7627">
          <cell r="A7627" t="str">
            <v>1RH1ARBPC1A14130</v>
          </cell>
          <cell r="B7627">
            <v>24</v>
          </cell>
        </row>
        <row r="7628">
          <cell r="A7628" t="str">
            <v>1RH1ARBPC1A14170</v>
          </cell>
          <cell r="B7628">
            <v>24</v>
          </cell>
        </row>
        <row r="7629">
          <cell r="A7629" t="str">
            <v>1AE1A603L3K70BP-P1</v>
          </cell>
          <cell r="B7629">
            <v>55</v>
          </cell>
        </row>
        <row r="7630">
          <cell r="A7630" t="str">
            <v>1AE1A603L3K70EP-P1</v>
          </cell>
          <cell r="B7630">
            <v>55</v>
          </cell>
        </row>
        <row r="7631">
          <cell r="A7631" t="str">
            <v>1AE1A603L3K80KP-P1</v>
          </cell>
          <cell r="B7631">
            <v>55</v>
          </cell>
        </row>
        <row r="7632">
          <cell r="A7632" t="str">
            <v>1AE1A603L3K80TP-P1</v>
          </cell>
          <cell r="B7632">
            <v>55</v>
          </cell>
        </row>
        <row r="7633">
          <cell r="A7633" t="str">
            <v>1AE1A603L3L00TP-P1</v>
          </cell>
          <cell r="B7633">
            <v>54</v>
          </cell>
        </row>
        <row r="7634">
          <cell r="A7634" t="str">
            <v>1AE1H603Y3J90BP-P1</v>
          </cell>
          <cell r="B7634">
            <v>18</v>
          </cell>
        </row>
        <row r="7635">
          <cell r="A7635" t="str">
            <v>1CM1A603L3K70BP-P1</v>
          </cell>
          <cell r="B7635">
            <v>168</v>
          </cell>
        </row>
        <row r="7636">
          <cell r="A7636" t="str">
            <v>1CM1A603L3K70EP-P1</v>
          </cell>
          <cell r="B7636">
            <v>168</v>
          </cell>
        </row>
        <row r="7637">
          <cell r="A7637" t="str">
            <v>1CM1A603L3K80KP-P1</v>
          </cell>
          <cell r="B7637">
            <v>168</v>
          </cell>
        </row>
        <row r="7638">
          <cell r="A7638" t="str">
            <v>1CM1A603L3K80TP-P1</v>
          </cell>
          <cell r="B7638">
            <v>168</v>
          </cell>
        </row>
        <row r="7639">
          <cell r="A7639" t="str">
            <v>1CM1A603L3L00TP-P1</v>
          </cell>
          <cell r="B7639">
            <v>168</v>
          </cell>
        </row>
        <row r="7640">
          <cell r="A7640" t="str">
            <v>1CM1H603Y3J90BP-P1</v>
          </cell>
          <cell r="B7640">
            <v>52</v>
          </cell>
        </row>
        <row r="7641">
          <cell r="A7641" t="str">
            <v>1CM1H608E3K70BP-P1</v>
          </cell>
          <cell r="B7641">
            <v>23</v>
          </cell>
        </row>
        <row r="7642">
          <cell r="A7642" t="str">
            <v>1HT1H603Y3J90BP-P1</v>
          </cell>
          <cell r="B7642">
            <v>22</v>
          </cell>
        </row>
        <row r="7643">
          <cell r="A7643" t="str">
            <v>1HT1H608E3K70BP-P1</v>
          </cell>
          <cell r="B7643">
            <v>4</v>
          </cell>
        </row>
        <row r="7644">
          <cell r="A7644" t="str">
            <v>1RH1A603L3K70BP-P1</v>
          </cell>
          <cell r="B7644">
            <v>9</v>
          </cell>
        </row>
        <row r="7645">
          <cell r="A7645" t="str">
            <v>1RH1A603L3K70EP-P1</v>
          </cell>
          <cell r="B7645">
            <v>9</v>
          </cell>
        </row>
        <row r="7646">
          <cell r="A7646" t="str">
            <v>1RH1A603L3K80KP-P1</v>
          </cell>
          <cell r="B7646">
            <v>9</v>
          </cell>
        </row>
        <row r="7647">
          <cell r="A7647" t="str">
            <v>1RH1A603L3K80TP-P1</v>
          </cell>
          <cell r="B7647">
            <v>9</v>
          </cell>
        </row>
        <row r="7648">
          <cell r="A7648" t="str">
            <v>1RH1A603L3L00TP-P1</v>
          </cell>
          <cell r="B7648">
            <v>9</v>
          </cell>
        </row>
        <row r="7649">
          <cell r="A7649" t="str">
            <v>1RH1H603Y3J90BP-P1</v>
          </cell>
          <cell r="B7649">
            <v>12</v>
          </cell>
        </row>
        <row r="7650">
          <cell r="A7650" t="str">
            <v>1RH1H608E3K70BP-P1</v>
          </cell>
          <cell r="B7650">
            <v>6</v>
          </cell>
        </row>
        <row r="7651">
          <cell r="A7651" t="str">
            <v>1TE1H603Y3J90BP-P1</v>
          </cell>
          <cell r="B7651">
            <v>5</v>
          </cell>
        </row>
        <row r="7652">
          <cell r="A7652" t="str">
            <v>1AE1ARBPC1A09985</v>
          </cell>
          <cell r="B7652">
            <v>6</v>
          </cell>
        </row>
        <row r="7653">
          <cell r="A7653" t="str">
            <v>1CM1ARBPC1A09985</v>
          </cell>
          <cell r="B7653">
            <v>22</v>
          </cell>
        </row>
        <row r="7654">
          <cell r="A7654" t="str">
            <v>1RE1ARBPC1A09985</v>
          </cell>
          <cell r="B7654">
            <v>215</v>
          </cell>
        </row>
        <row r="7655">
          <cell r="A7655" t="str">
            <v>1RH1ARBPC1A09985</v>
          </cell>
          <cell r="B7655">
            <v>21</v>
          </cell>
        </row>
        <row r="7656">
          <cell r="A7656" t="str">
            <v>1AE1A603L-3J3B</v>
          </cell>
          <cell r="B7656">
            <v>74</v>
          </cell>
        </row>
        <row r="7657">
          <cell r="A7657" t="str">
            <v>1CM1A603L-3J3B</v>
          </cell>
          <cell r="B7657">
            <v>222</v>
          </cell>
        </row>
        <row r="7658">
          <cell r="A7658" t="str">
            <v>1RH1A603L-3J3B</v>
          </cell>
          <cell r="B7658">
            <v>7</v>
          </cell>
        </row>
        <row r="7659">
          <cell r="A7659" t="str">
            <v>1AE1H603L3K22BP</v>
          </cell>
          <cell r="B7659">
            <v>150</v>
          </cell>
        </row>
        <row r="7660">
          <cell r="A7660" t="str">
            <v>1CM1H603L3K22BP</v>
          </cell>
          <cell r="B7660">
            <v>428</v>
          </cell>
        </row>
        <row r="7661">
          <cell r="A7661" t="str">
            <v>1HT1H603L3K22BP</v>
          </cell>
          <cell r="B7661">
            <v>18</v>
          </cell>
        </row>
        <row r="7662">
          <cell r="A7662" t="str">
            <v>1RH1H603L3K22BP</v>
          </cell>
          <cell r="B7662">
            <v>36</v>
          </cell>
        </row>
        <row r="7663">
          <cell r="A7663" t="str">
            <v>1TE1H603L3K22BP</v>
          </cell>
          <cell r="B7663">
            <v>1</v>
          </cell>
        </row>
        <row r="7664">
          <cell r="A7664" t="str">
            <v>1AE1ART003T00400</v>
          </cell>
          <cell r="B7664">
            <v>3</v>
          </cell>
        </row>
        <row r="7665">
          <cell r="A7665" t="str">
            <v>1CM1ART003T00400</v>
          </cell>
          <cell r="B7665">
            <v>92</v>
          </cell>
        </row>
        <row r="7666">
          <cell r="A7666" t="str">
            <v>1RE1ART003T00400</v>
          </cell>
          <cell r="B7666">
            <v>256</v>
          </cell>
        </row>
        <row r="7667">
          <cell r="A7667" t="str">
            <v>1RH1ART003T00400</v>
          </cell>
          <cell r="B7667">
            <v>17</v>
          </cell>
        </row>
        <row r="7668">
          <cell r="A7668" t="str">
            <v>DVLB1208ZA/X1</v>
          </cell>
        </row>
        <row r="7669">
          <cell r="A7669" t="str">
            <v>DVLB1609ZB/X1</v>
          </cell>
        </row>
        <row r="7670">
          <cell r="A7670" t="str">
            <v>DVLB1645ZB/X1</v>
          </cell>
        </row>
        <row r="7671">
          <cell r="A7671" t="str">
            <v>DVLB1835ZA/X1</v>
          </cell>
        </row>
        <row r="7672">
          <cell r="A7672" t="str">
            <v>DVLB1991ZA/X1</v>
          </cell>
        </row>
        <row r="7673">
          <cell r="A7673" t="str">
            <v>1RE1DVLB1208ZA</v>
          </cell>
          <cell r="B7673">
            <v>41</v>
          </cell>
        </row>
        <row r="7674">
          <cell r="A7674" t="str">
            <v>1RE1DVLB1609ZB</v>
          </cell>
          <cell r="B7674">
            <v>47</v>
          </cell>
        </row>
        <row r="7675">
          <cell r="A7675" t="str">
            <v>1RE1DVLB1645YA</v>
          </cell>
          <cell r="B7675">
            <v>140</v>
          </cell>
        </row>
        <row r="7676">
          <cell r="A7676" t="str">
            <v>1RE1DVLB1835ZA</v>
          </cell>
          <cell r="B7676">
            <v>159</v>
          </cell>
        </row>
        <row r="7677">
          <cell r="A7677" t="str">
            <v>1RE1DVLB1991ZA</v>
          </cell>
          <cell r="B7677">
            <v>91</v>
          </cell>
        </row>
        <row r="7678">
          <cell r="A7678" t="str">
            <v>1RE2DVLB1208ZA</v>
          </cell>
          <cell r="B7678">
            <v>11</v>
          </cell>
        </row>
        <row r="7679">
          <cell r="A7679" t="str">
            <v>1RE2DVLB1609ZB</v>
          </cell>
          <cell r="B7679">
            <v>1</v>
          </cell>
        </row>
        <row r="7680">
          <cell r="A7680" t="str">
            <v>1RE2DVLB1645YA</v>
          </cell>
          <cell r="B7680">
            <v>1</v>
          </cell>
        </row>
        <row r="7681">
          <cell r="A7681" t="str">
            <v>1RE2DVLB1835ZA</v>
          </cell>
          <cell r="B7681">
            <v>1</v>
          </cell>
        </row>
        <row r="7682">
          <cell r="A7682" t="str">
            <v>1RE2DVLB1991ZA</v>
          </cell>
          <cell r="B7682">
            <v>3</v>
          </cell>
        </row>
        <row r="7683">
          <cell r="A7683" t="str">
            <v>1AE1H603L6P11AP1</v>
          </cell>
          <cell r="B7683">
            <v>24</v>
          </cell>
        </row>
        <row r="7684">
          <cell r="A7684" t="str">
            <v>1CM1H603L6P11AP1</v>
          </cell>
          <cell r="B7684">
            <v>67</v>
          </cell>
        </row>
        <row r="7685">
          <cell r="A7685" t="str">
            <v>1HT1H603L6P11AP1</v>
          </cell>
          <cell r="B7685">
            <v>6</v>
          </cell>
        </row>
        <row r="7686">
          <cell r="A7686" t="str">
            <v>1RH1H603L6P11AP1</v>
          </cell>
          <cell r="B7686">
            <v>2</v>
          </cell>
        </row>
        <row r="7687">
          <cell r="A7687" t="str">
            <v>1AE1A603L3K80TP</v>
          </cell>
          <cell r="B7687">
            <v>55</v>
          </cell>
        </row>
        <row r="7688">
          <cell r="A7688" t="str">
            <v>1AE1A603L3L00TP</v>
          </cell>
          <cell r="B7688">
            <v>54</v>
          </cell>
        </row>
        <row r="7689">
          <cell r="A7689" t="str">
            <v>1AE1F603LCE50P1S</v>
          </cell>
          <cell r="B7689">
            <v>71</v>
          </cell>
        </row>
        <row r="7690">
          <cell r="A7690" t="str">
            <v>1AE1F603LCE60P1S</v>
          </cell>
          <cell r="B7690">
            <v>71</v>
          </cell>
        </row>
        <row r="7691">
          <cell r="A7691" t="str">
            <v>1AE1H603Y3J90BP</v>
          </cell>
          <cell r="B7691">
            <v>18</v>
          </cell>
        </row>
        <row r="7692">
          <cell r="A7692" t="str">
            <v>1CM1A603L3K80TP</v>
          </cell>
          <cell r="B7692">
            <v>168</v>
          </cell>
        </row>
        <row r="7693">
          <cell r="A7693" t="str">
            <v>1CM1A603L3L00TP</v>
          </cell>
          <cell r="B7693">
            <v>168</v>
          </cell>
        </row>
        <row r="7694">
          <cell r="A7694" t="str">
            <v>1CM1F603LCE50P1S</v>
          </cell>
          <cell r="B7694">
            <v>83</v>
          </cell>
        </row>
        <row r="7695">
          <cell r="A7695" t="str">
            <v>1CM1F603LCE60P1S</v>
          </cell>
          <cell r="B7695">
            <v>83</v>
          </cell>
        </row>
        <row r="7696">
          <cell r="A7696" t="str">
            <v>1CM1H603Y3J90BP</v>
          </cell>
          <cell r="B7696">
            <v>52</v>
          </cell>
        </row>
        <row r="7697">
          <cell r="A7697" t="str">
            <v>1HT1F603LCE50P1S</v>
          </cell>
          <cell r="B7697">
            <v>12</v>
          </cell>
        </row>
        <row r="7698">
          <cell r="A7698" t="str">
            <v>1HT1F603LCE60P1S</v>
          </cell>
          <cell r="B7698">
            <v>12</v>
          </cell>
        </row>
        <row r="7699">
          <cell r="A7699" t="str">
            <v>1HT1H603Y3J90BP</v>
          </cell>
          <cell r="B7699">
            <v>22</v>
          </cell>
        </row>
        <row r="7700">
          <cell r="A7700" t="str">
            <v>1RH1A603L3K80TP</v>
          </cell>
          <cell r="B7700">
            <v>9</v>
          </cell>
        </row>
        <row r="7701">
          <cell r="A7701" t="str">
            <v>1RH1A603L3L00TP</v>
          </cell>
          <cell r="B7701">
            <v>9</v>
          </cell>
        </row>
        <row r="7702">
          <cell r="A7702" t="str">
            <v>1RH1F603LCE50P1S</v>
          </cell>
          <cell r="B7702">
            <v>5</v>
          </cell>
        </row>
        <row r="7703">
          <cell r="A7703" t="str">
            <v>1RH1F603LCE60P1S</v>
          </cell>
          <cell r="B7703">
            <v>5</v>
          </cell>
        </row>
        <row r="7704">
          <cell r="A7704" t="str">
            <v>1RH1H603Y3J90BP</v>
          </cell>
          <cell r="B7704">
            <v>12</v>
          </cell>
        </row>
        <row r="7705">
          <cell r="A7705" t="str">
            <v>1TE1H603Y3J90BP</v>
          </cell>
          <cell r="B7705">
            <v>5</v>
          </cell>
        </row>
        <row r="7706">
          <cell r="A7706" t="str">
            <v>A62603J90BP</v>
          </cell>
          <cell r="B7706">
            <v>0</v>
          </cell>
        </row>
        <row r="7707">
          <cell r="A7707" t="str">
            <v>A62603J90BP</v>
          </cell>
          <cell r="B7707">
            <v>0</v>
          </cell>
        </row>
        <row r="7708">
          <cell r="A7708" t="str">
            <v>F62603703AEU</v>
          </cell>
          <cell r="B7708">
            <v>0</v>
          </cell>
        </row>
        <row r="7709">
          <cell r="A7709" t="str">
            <v>F62603703AEU</v>
          </cell>
          <cell r="B7709">
            <v>0</v>
          </cell>
        </row>
        <row r="7710">
          <cell r="A7710" t="str">
            <v>1CM1ARBPC1A14091</v>
          </cell>
          <cell r="B7710">
            <v>25</v>
          </cell>
        </row>
        <row r="7711">
          <cell r="A7711" t="str">
            <v>1RH1ARBPC1A14091</v>
          </cell>
          <cell r="B7711">
            <v>20</v>
          </cell>
        </row>
        <row r="7712">
          <cell r="A7712" t="str">
            <v>1RE1ARBPC1A14091</v>
          </cell>
          <cell r="B7712">
            <v>234</v>
          </cell>
        </row>
        <row r="7713">
          <cell r="A7713" t="str">
            <v>1AE1ARBPC1A14111</v>
          </cell>
          <cell r="B7713">
            <v>3</v>
          </cell>
        </row>
        <row r="7714">
          <cell r="A7714" t="str">
            <v>1AE1ART003T03190</v>
          </cell>
          <cell r="B7714">
            <v>5</v>
          </cell>
        </row>
        <row r="7715">
          <cell r="A7715" t="str">
            <v>1AE1ART003T03220</v>
          </cell>
          <cell r="B7715">
            <v>6</v>
          </cell>
        </row>
        <row r="7716">
          <cell r="A7716" t="str">
            <v>1CM1ARBPC1A14111</v>
          </cell>
          <cell r="B7716">
            <v>66</v>
          </cell>
        </row>
        <row r="7717">
          <cell r="A7717" t="str">
            <v>1RE1ARBPC1A14111</v>
          </cell>
          <cell r="B7717">
            <v>377</v>
          </cell>
        </row>
        <row r="7718">
          <cell r="A7718" t="str">
            <v>1RE1ART003T03190</v>
          </cell>
          <cell r="B7718">
            <v>149</v>
          </cell>
        </row>
        <row r="7719">
          <cell r="A7719" t="str">
            <v>1RE1ART003T03220</v>
          </cell>
          <cell r="B7719">
            <v>170</v>
          </cell>
        </row>
        <row r="7720">
          <cell r="A7720" t="str">
            <v>1RH1ARBPC1A14111</v>
          </cell>
          <cell r="B7720">
            <v>18</v>
          </cell>
        </row>
        <row r="7721">
          <cell r="A7721" t="str">
            <v>1RH1ART003T03190</v>
          </cell>
          <cell r="B7721">
            <v>17</v>
          </cell>
        </row>
        <row r="7722">
          <cell r="A7722" t="str">
            <v>1RH1ART003T03220</v>
          </cell>
          <cell r="B7722">
            <v>17</v>
          </cell>
        </row>
        <row r="7723">
          <cell r="A7723" t="str">
            <v>1RE1DVLB2059ZA</v>
          </cell>
          <cell r="B7723">
            <v>328</v>
          </cell>
        </row>
        <row r="7724">
          <cell r="A7724" t="str">
            <v>1RE1DVLB2060ZA</v>
          </cell>
          <cell r="B7724">
            <v>307</v>
          </cell>
        </row>
        <row r="7725">
          <cell r="A7725" t="str">
            <v>1RE1DVLB2065ZA</v>
          </cell>
          <cell r="B7725">
            <v>177</v>
          </cell>
        </row>
        <row r="7726">
          <cell r="A7726" t="str">
            <v>1RE1SRB20YSZB-S1</v>
          </cell>
          <cell r="B7726">
            <v>293</v>
          </cell>
        </row>
        <row r="7727">
          <cell r="A7727" t="str">
            <v>1RE2DVLB2059ZA</v>
          </cell>
          <cell r="B7727">
            <v>1</v>
          </cell>
        </row>
        <row r="7728">
          <cell r="A7728" t="str">
            <v>1RE2DVLB2060ZA</v>
          </cell>
          <cell r="B7728">
            <v>1</v>
          </cell>
        </row>
        <row r="7729">
          <cell r="A7729" t="str">
            <v>1RE2DVLB2065ZA</v>
          </cell>
          <cell r="B7729">
            <v>1</v>
          </cell>
        </row>
        <row r="7730">
          <cell r="A7730" t="str">
            <v>1RE2SRB20YSZB-S1</v>
          </cell>
          <cell r="B7730">
            <v>568</v>
          </cell>
        </row>
        <row r="7731">
          <cell r="A7731" t="str">
            <v>PULB1043YA-GL</v>
          </cell>
          <cell r="B7731">
            <v>0</v>
          </cell>
        </row>
        <row r="7732">
          <cell r="A7732" t="str">
            <v>PULB1129ZA-XM</v>
          </cell>
          <cell r="B7732">
            <v>0</v>
          </cell>
        </row>
        <row r="7733">
          <cell r="A7733" t="str">
            <v>PULB1127ZA-XM</v>
          </cell>
          <cell r="B7733">
            <v>0</v>
          </cell>
        </row>
        <row r="7734">
          <cell r="A7734" t="str">
            <v>PULB1069XA-XM</v>
          </cell>
          <cell r="B7734">
            <v>0</v>
          </cell>
        </row>
        <row r="7735">
          <cell r="A7735" t="str">
            <v>1AE1ART002T99010</v>
          </cell>
          <cell r="B7735">
            <v>5</v>
          </cell>
        </row>
        <row r="7736">
          <cell r="A7736" t="str">
            <v>1AE1ART002T99020</v>
          </cell>
          <cell r="B7736">
            <v>4</v>
          </cell>
        </row>
        <row r="7737">
          <cell r="A7737" t="str">
            <v>1AE1ART002T99030</v>
          </cell>
          <cell r="B7737">
            <v>3</v>
          </cell>
        </row>
        <row r="7738">
          <cell r="A7738" t="str">
            <v>1CM1ART002T99010</v>
          </cell>
          <cell r="B7738">
            <v>23</v>
          </cell>
        </row>
        <row r="7739">
          <cell r="A7739" t="str">
            <v>1CM1ART002T99020</v>
          </cell>
          <cell r="B7739">
            <v>67</v>
          </cell>
        </row>
        <row r="7740">
          <cell r="A7740" t="str">
            <v>1CM1ART002T99030</v>
          </cell>
          <cell r="B7740">
            <v>83</v>
          </cell>
        </row>
        <row r="7741">
          <cell r="A7741" t="str">
            <v>1RE1ART002T99010</v>
          </cell>
          <cell r="B7741">
            <v>277</v>
          </cell>
        </row>
        <row r="7742">
          <cell r="A7742" t="str">
            <v>1RE1ART002T99020</v>
          </cell>
          <cell r="B7742">
            <v>401</v>
          </cell>
        </row>
        <row r="7743">
          <cell r="A7743" t="str">
            <v>1RE1ART002T99030</v>
          </cell>
          <cell r="B7743">
            <v>275</v>
          </cell>
        </row>
        <row r="7744">
          <cell r="A7744" t="str">
            <v>1RH1ART002T99010</v>
          </cell>
          <cell r="B7744">
            <v>21</v>
          </cell>
        </row>
        <row r="7745">
          <cell r="A7745" t="str">
            <v>1RH1ART002T99020</v>
          </cell>
          <cell r="B7745">
            <v>19</v>
          </cell>
        </row>
        <row r="7746">
          <cell r="A7746" t="str">
            <v>1RH1ART002T99030</v>
          </cell>
          <cell r="B7746">
            <v>16</v>
          </cell>
        </row>
        <row r="7747">
          <cell r="A7747" t="str">
            <v>1AE1ARBPC1A09834</v>
          </cell>
          <cell r="B7747">
            <v>5</v>
          </cell>
        </row>
        <row r="7748">
          <cell r="A7748" t="str">
            <v>1AE1ARBPC1A11625</v>
          </cell>
          <cell r="B7748">
            <v>7</v>
          </cell>
        </row>
        <row r="7749">
          <cell r="A7749" t="str">
            <v>1CM1ARBPC1A11625</v>
          </cell>
          <cell r="B7749">
            <v>23</v>
          </cell>
        </row>
        <row r="7750">
          <cell r="A7750" t="str">
            <v>1RE1ARBP01A00963</v>
          </cell>
          <cell r="B7750">
            <v>134</v>
          </cell>
        </row>
        <row r="7751">
          <cell r="A7751" t="str">
            <v>1RE1ARBPC1A09834</v>
          </cell>
          <cell r="B7751">
            <v>149</v>
          </cell>
        </row>
        <row r="7752">
          <cell r="A7752" t="str">
            <v>1RE1ARBPC1A11625</v>
          </cell>
          <cell r="B7752">
            <v>285</v>
          </cell>
        </row>
        <row r="7753">
          <cell r="A7753" t="str">
            <v>1RH1ARBPC1A09834</v>
          </cell>
          <cell r="B7753">
            <v>17</v>
          </cell>
        </row>
        <row r="7754">
          <cell r="A7754" t="str">
            <v>1RH1ARBPC1A11625</v>
          </cell>
          <cell r="B7754">
            <v>25</v>
          </cell>
        </row>
        <row r="7755">
          <cell r="A7755" t="str">
            <v>1AE1A603L3K70BP</v>
          </cell>
          <cell r="B7755">
            <v>55</v>
          </cell>
        </row>
        <row r="7756">
          <cell r="A7756" t="str">
            <v>1AE1A603L3K70EP</v>
          </cell>
          <cell r="B7756">
            <v>55</v>
          </cell>
        </row>
        <row r="7757">
          <cell r="A7757" t="str">
            <v>1AE1H603Y3L20EP-FE</v>
          </cell>
          <cell r="B7757">
            <v>18</v>
          </cell>
        </row>
        <row r="7758">
          <cell r="A7758" t="str">
            <v>1AE1H603Y3L40AP-FE</v>
          </cell>
          <cell r="B7758">
            <v>18</v>
          </cell>
        </row>
        <row r="7759">
          <cell r="A7759" t="str">
            <v>1AE1H603Y3L60AP-FE</v>
          </cell>
          <cell r="B7759">
            <v>18</v>
          </cell>
        </row>
        <row r="7760">
          <cell r="A7760" t="str">
            <v>1CM1A603L3K70BP</v>
          </cell>
          <cell r="B7760">
            <v>168</v>
          </cell>
        </row>
        <row r="7761">
          <cell r="A7761" t="str">
            <v>1CM1A603L3K70EP</v>
          </cell>
          <cell r="B7761">
            <v>168</v>
          </cell>
        </row>
        <row r="7762">
          <cell r="A7762" t="str">
            <v>1CM1H603Y3L20EP-FE</v>
          </cell>
          <cell r="B7762">
            <v>52</v>
          </cell>
        </row>
        <row r="7763">
          <cell r="A7763" t="str">
            <v>1CM1H603Y3L40AP-FE</v>
          </cell>
          <cell r="B7763">
            <v>52</v>
          </cell>
        </row>
        <row r="7764">
          <cell r="A7764" t="str">
            <v>1CM1H603Y3L60AP-FE</v>
          </cell>
          <cell r="B7764">
            <v>52</v>
          </cell>
        </row>
        <row r="7765">
          <cell r="A7765" t="str">
            <v>1CM1H608E3L60AP-FE</v>
          </cell>
          <cell r="B7765">
            <v>23</v>
          </cell>
        </row>
        <row r="7766">
          <cell r="A7766" t="str">
            <v>1HT1H603Y3L20EP-FE</v>
          </cell>
          <cell r="B7766">
            <v>23</v>
          </cell>
        </row>
        <row r="7767">
          <cell r="A7767" t="str">
            <v>1HT1H603Y3L40AP-FE</v>
          </cell>
          <cell r="B7767">
            <v>23</v>
          </cell>
        </row>
        <row r="7768">
          <cell r="A7768" t="str">
            <v>1HT1H603Y3L60AP-FE</v>
          </cell>
          <cell r="B7768">
            <v>23</v>
          </cell>
        </row>
        <row r="7769">
          <cell r="A7769" t="str">
            <v>1HT1H608E3L60AP-FE</v>
          </cell>
          <cell r="B7769">
            <v>4</v>
          </cell>
        </row>
        <row r="7770">
          <cell r="A7770" t="str">
            <v>1RH1A603L3K70BP</v>
          </cell>
          <cell r="B7770">
            <v>9</v>
          </cell>
        </row>
        <row r="7771">
          <cell r="A7771" t="str">
            <v>1RH1A603L3K70EP</v>
          </cell>
          <cell r="B7771">
            <v>9</v>
          </cell>
        </row>
        <row r="7772">
          <cell r="A7772" t="str">
            <v>1RH1H603Y3L20EP-FE</v>
          </cell>
          <cell r="B7772">
            <v>12</v>
          </cell>
        </row>
        <row r="7773">
          <cell r="A7773" t="str">
            <v>1RH1H603Y3L40AP-FE</v>
          </cell>
          <cell r="B7773">
            <v>12</v>
          </cell>
        </row>
        <row r="7774">
          <cell r="A7774" t="str">
            <v>1RH1H603Y3L60AP-FE</v>
          </cell>
          <cell r="B7774">
            <v>12</v>
          </cell>
        </row>
        <row r="7775">
          <cell r="A7775" t="str">
            <v>1RH1H608E3L60AP-FE</v>
          </cell>
          <cell r="B7775">
            <v>6</v>
          </cell>
        </row>
        <row r="7776">
          <cell r="A7776" t="str">
            <v>1TE1H603Y3L20EP-FE</v>
          </cell>
          <cell r="B7776">
            <v>5</v>
          </cell>
        </row>
        <row r="7777">
          <cell r="A7777" t="str">
            <v>1TE1H603Y3L40AP-FE</v>
          </cell>
          <cell r="B7777">
            <v>5</v>
          </cell>
        </row>
        <row r="7778">
          <cell r="A7778" t="str">
            <v>1TE1H603Y3L60AP-FE</v>
          </cell>
          <cell r="B7778">
            <v>5</v>
          </cell>
        </row>
        <row r="7779">
          <cell r="A7779" t="str">
            <v>1AE1ARBPC1A11340</v>
          </cell>
          <cell r="B7779">
            <v>8</v>
          </cell>
        </row>
        <row r="7780">
          <cell r="A7780" t="str">
            <v>1CM1ART003T03110</v>
          </cell>
          <cell r="B7780">
            <v>25</v>
          </cell>
        </row>
        <row r="7781">
          <cell r="A7781" t="str">
            <v>1CM1ART003T03140</v>
          </cell>
          <cell r="B7781">
            <v>25</v>
          </cell>
        </row>
        <row r="7782">
          <cell r="A7782" t="str">
            <v>1RE1ARBPC1A11340</v>
          </cell>
          <cell r="B7782">
            <v>166</v>
          </cell>
        </row>
        <row r="7783">
          <cell r="A7783" t="str">
            <v>1RE1ART003T03110</v>
          </cell>
          <cell r="B7783">
            <v>270</v>
          </cell>
        </row>
        <row r="7784">
          <cell r="A7784" t="str">
            <v>1RE1ART003T03140</v>
          </cell>
          <cell r="B7784">
            <v>270</v>
          </cell>
        </row>
        <row r="7785">
          <cell r="A7785" t="str">
            <v>1RH1ARBPC1A11340</v>
          </cell>
          <cell r="B7785">
            <v>18</v>
          </cell>
        </row>
        <row r="7786">
          <cell r="A7786" t="str">
            <v>1RH1ART003T03110</v>
          </cell>
          <cell r="B7786">
            <v>24</v>
          </cell>
        </row>
        <row r="7787">
          <cell r="A7787" t="str">
            <v>1RH1ART003T03140</v>
          </cell>
          <cell r="B7787">
            <v>24</v>
          </cell>
        </row>
        <row r="7788">
          <cell r="A7788" t="str">
            <v>1RE1SAB25</v>
          </cell>
          <cell r="B7788">
            <v>35</v>
          </cell>
        </row>
        <row r="7789">
          <cell r="A7789" t="str">
            <v>1RE2SAB25</v>
          </cell>
          <cell r="B7789">
            <v>135</v>
          </cell>
        </row>
        <row r="7790">
          <cell r="A7790" t="str">
            <v>1PB1DVLB1835ZA</v>
          </cell>
          <cell r="B7790">
            <v>3</v>
          </cell>
        </row>
        <row r="7791">
          <cell r="A7791" t="str">
            <v>1PB1DVLB1645YA</v>
          </cell>
          <cell r="B7791">
            <v>3</v>
          </cell>
        </row>
        <row r="7792">
          <cell r="A7792" t="str">
            <v>1PB1DVLB1609ZB</v>
          </cell>
          <cell r="B7792">
            <v>3</v>
          </cell>
        </row>
        <row r="7793">
          <cell r="A7793" t="str">
            <v>1PB1DVLB1991ZA</v>
          </cell>
          <cell r="B7793">
            <v>3</v>
          </cell>
        </row>
        <row r="7794">
          <cell r="A7794" t="str">
            <v>1PB1DVLB1208ZA</v>
          </cell>
          <cell r="B7794">
            <v>3</v>
          </cell>
        </row>
        <row r="7795">
          <cell r="A7795" t="str">
            <v>1PB1DVLB2059ZA</v>
          </cell>
          <cell r="B7795">
            <v>3</v>
          </cell>
        </row>
        <row r="7796">
          <cell r="A7796" t="str">
            <v>1PB1DVLB2060ZA</v>
          </cell>
          <cell r="B7796">
            <v>3</v>
          </cell>
        </row>
        <row r="7797">
          <cell r="A7797" t="str">
            <v>1PB1DVLB2065ZA</v>
          </cell>
          <cell r="B7797">
            <v>3</v>
          </cell>
        </row>
        <row r="7798">
          <cell r="A7798" t="str">
            <v>1RE1DVLB2029ZA</v>
          </cell>
          <cell r="B7798">
            <v>586</v>
          </cell>
        </row>
        <row r="7799">
          <cell r="A7799" t="str">
            <v>1RE2DVLB2029ZA</v>
          </cell>
          <cell r="B7799">
            <v>448</v>
          </cell>
        </row>
        <row r="7800">
          <cell r="A7800" t="str">
            <v>1RE2DVLB2052YA</v>
          </cell>
          <cell r="B7800">
            <v>17</v>
          </cell>
        </row>
        <row r="7801">
          <cell r="A7801" t="str">
            <v>1RE1DVLB2052YA</v>
          </cell>
          <cell r="B7801">
            <v>10</v>
          </cell>
        </row>
        <row r="7802">
          <cell r="A7802" t="str">
            <v>1RE1DVLB1613ZA</v>
          </cell>
          <cell r="B7802">
            <v>40</v>
          </cell>
        </row>
        <row r="7803">
          <cell r="A7803" t="str">
            <v>1RE1DVLB1731ZA</v>
          </cell>
          <cell r="B7803">
            <v>30</v>
          </cell>
        </row>
        <row r="7804">
          <cell r="A7804" t="str">
            <v>1RE2DVLB1855YB</v>
          </cell>
          <cell r="B7804">
            <v>632</v>
          </cell>
        </row>
        <row r="7805">
          <cell r="A7805" t="str">
            <v>1RE1DVLB1855YB</v>
          </cell>
          <cell r="B7805">
            <v>740</v>
          </cell>
        </row>
        <row r="7806">
          <cell r="A7806" t="str">
            <v>1RE2DVLB1855ZB</v>
          </cell>
          <cell r="B7806">
            <v>632</v>
          </cell>
        </row>
        <row r="7807">
          <cell r="A7807" t="str">
            <v>1RE1DVLB1855ZB</v>
          </cell>
          <cell r="B7807">
            <v>740</v>
          </cell>
        </row>
        <row r="7808">
          <cell r="A7808" t="str">
            <v>1RE2DVLB1972ZA</v>
          </cell>
          <cell r="B7808">
            <v>276</v>
          </cell>
        </row>
        <row r="7809">
          <cell r="A7809" t="str">
            <v>1RE1DVLB1972ZA</v>
          </cell>
          <cell r="B7809">
            <v>415</v>
          </cell>
        </row>
        <row r="7810">
          <cell r="A7810" t="str">
            <v>1RE2DVLB2061ZA</v>
          </cell>
          <cell r="B7810">
            <v>10</v>
          </cell>
        </row>
        <row r="7811">
          <cell r="A7811" t="str">
            <v>1RE1DVLB2061ZA</v>
          </cell>
          <cell r="B7811">
            <v>89</v>
          </cell>
        </row>
        <row r="7812">
          <cell r="A7812" t="str">
            <v>1RE2DVLB2082ZA</v>
          </cell>
          <cell r="B7812">
            <v>266</v>
          </cell>
        </row>
        <row r="7813">
          <cell r="A7813" t="str">
            <v>1RE1DVLB2082ZA</v>
          </cell>
          <cell r="B7813">
            <v>694</v>
          </cell>
        </row>
        <row r="7814">
          <cell r="A7814" t="str">
            <v>1RE2DVLB2021ZA</v>
          </cell>
          <cell r="B7814">
            <v>874</v>
          </cell>
        </row>
        <row r="7815">
          <cell r="A7815" t="str">
            <v>1RE1DVLB2021ZA</v>
          </cell>
          <cell r="B7815">
            <v>477</v>
          </cell>
        </row>
        <row r="7816">
          <cell r="A7816" t="str">
            <v>1RE2DVLB1916ZA</v>
          </cell>
          <cell r="B7816">
            <v>657</v>
          </cell>
        </row>
        <row r="7817">
          <cell r="A7817" t="str">
            <v>1RE1DVLB1916ZA</v>
          </cell>
          <cell r="B7817">
            <v>697</v>
          </cell>
        </row>
        <row r="7818">
          <cell r="A7818" t="str">
            <v>1RE1DVLB1738ZA</v>
          </cell>
          <cell r="B7818">
            <v>69</v>
          </cell>
        </row>
        <row r="7819">
          <cell r="A7819" t="str">
            <v>1RE1DVLD1475ZA</v>
          </cell>
          <cell r="B7819">
            <v>1</v>
          </cell>
        </row>
        <row r="7820">
          <cell r="A7820" t="str">
            <v>1AE1ARBP01A00351-1</v>
          </cell>
          <cell r="B7820">
            <v>13</v>
          </cell>
        </row>
        <row r="7821">
          <cell r="A7821" t="str">
            <v>1CM1ARBP01A00351-1</v>
          </cell>
          <cell r="B7821">
            <v>53</v>
          </cell>
        </row>
        <row r="7822">
          <cell r="A7822" t="str">
            <v>1RH1ARBP01A00351-1</v>
          </cell>
          <cell r="B7822">
            <v>10</v>
          </cell>
        </row>
        <row r="7823">
          <cell r="A7823" t="str">
            <v>1AE1H683L-3K21</v>
          </cell>
          <cell r="B7823">
            <v>150</v>
          </cell>
        </row>
        <row r="7824">
          <cell r="A7824" t="str">
            <v>1CM1H683L-3K21</v>
          </cell>
          <cell r="B7824">
            <v>413</v>
          </cell>
        </row>
        <row r="7825">
          <cell r="A7825" t="str">
            <v>1HT1H683L-3K21</v>
          </cell>
          <cell r="B7825">
            <v>18</v>
          </cell>
        </row>
        <row r="7826">
          <cell r="A7826" t="str">
            <v>1RH1H683L-3K21</v>
          </cell>
          <cell r="B7826">
            <v>33</v>
          </cell>
        </row>
        <row r="7827">
          <cell r="A7827" t="str">
            <v>1TE1H683L-3K21</v>
          </cell>
          <cell r="B7827">
            <v>1</v>
          </cell>
        </row>
        <row r="7828">
          <cell r="A7828" t="str">
            <v>1AE1H603L-3L10-FE</v>
          </cell>
          <cell r="B7828">
            <v>148</v>
          </cell>
        </row>
        <row r="7829">
          <cell r="A7829" t="str">
            <v>1AE1H603L-3L10FES</v>
          </cell>
          <cell r="B7829">
            <v>159</v>
          </cell>
        </row>
        <row r="7830">
          <cell r="A7830" t="str">
            <v>1CM1H603L-3L10-FE</v>
          </cell>
          <cell r="B7830">
            <v>328</v>
          </cell>
        </row>
        <row r="7831">
          <cell r="A7831" t="str">
            <v>1CM1H603L-3L10FES</v>
          </cell>
          <cell r="B7831">
            <v>437</v>
          </cell>
        </row>
        <row r="7832">
          <cell r="A7832" t="str">
            <v>1HT1H603L-3L10-FE</v>
          </cell>
          <cell r="B7832">
            <v>17</v>
          </cell>
        </row>
        <row r="7833">
          <cell r="A7833" t="str">
            <v>1HT1H603L-3L10FES</v>
          </cell>
          <cell r="B7833">
            <v>23</v>
          </cell>
        </row>
        <row r="7834">
          <cell r="A7834" t="str">
            <v>1RE1H605Q-3L10-FE</v>
          </cell>
          <cell r="B7834">
            <v>99</v>
          </cell>
        </row>
        <row r="7835">
          <cell r="A7835" t="str">
            <v>1RE2H605Q-3L10-FE</v>
          </cell>
          <cell r="B7835">
            <v>189</v>
          </cell>
        </row>
        <row r="7836">
          <cell r="A7836" t="str">
            <v>1RH1H603L-3L10-FE</v>
          </cell>
          <cell r="B7836">
            <v>17</v>
          </cell>
        </row>
        <row r="7837">
          <cell r="A7837" t="str">
            <v>1RH1H603L-3L10FES</v>
          </cell>
          <cell r="B7837">
            <v>31</v>
          </cell>
        </row>
        <row r="7838">
          <cell r="A7838" t="str">
            <v>1TE1H603L-3L10-FE</v>
          </cell>
          <cell r="B7838">
            <v>3</v>
          </cell>
        </row>
        <row r="7839">
          <cell r="A7839" t="str">
            <v>1TE1H603L-3L10FES</v>
          </cell>
          <cell r="B7839">
            <v>3</v>
          </cell>
        </row>
        <row r="7840">
          <cell r="A7840" t="str">
            <v>SEA1006AFZ</v>
          </cell>
          <cell r="B7840">
            <v>21</v>
          </cell>
        </row>
        <row r="7841">
          <cell r="A7841" t="str">
            <v>1RE1DVLB2073XA</v>
          </cell>
          <cell r="B7841">
            <v>743</v>
          </cell>
        </row>
        <row r="7842">
          <cell r="A7842" t="str">
            <v>1RE2DVLB2073XA</v>
          </cell>
          <cell r="B7842">
            <v>726</v>
          </cell>
        </row>
        <row r="7843">
          <cell r="A7843" t="str">
            <v>1RE1DVLB2073YA</v>
          </cell>
          <cell r="B7843">
            <v>736</v>
          </cell>
        </row>
        <row r="7844">
          <cell r="A7844" t="str">
            <v>1RE2DVLB2073YA</v>
          </cell>
          <cell r="B7844">
            <v>726</v>
          </cell>
        </row>
        <row r="7845">
          <cell r="A7845" t="str">
            <v>1RE1DVLB2075ZA</v>
          </cell>
          <cell r="B7845">
            <v>28</v>
          </cell>
        </row>
        <row r="7846">
          <cell r="A7846" t="str">
            <v>1RE2DVLB2075ZA</v>
          </cell>
          <cell r="B7846">
            <v>1</v>
          </cell>
        </row>
        <row r="7847">
          <cell r="A7847" t="str">
            <v>1RE1DVLB2073ZA</v>
          </cell>
          <cell r="B7847">
            <v>736</v>
          </cell>
        </row>
        <row r="7848">
          <cell r="A7848" t="str">
            <v>1RE2DVLB2073ZA</v>
          </cell>
          <cell r="B7848">
            <v>726</v>
          </cell>
        </row>
        <row r="7849">
          <cell r="A7849" t="str">
            <v>1AE1A603L3K80KP</v>
          </cell>
          <cell r="B7849">
            <v>12</v>
          </cell>
        </row>
        <row r="7850">
          <cell r="A7850" t="str">
            <v>1AE1H603Y-3K21</v>
          </cell>
          <cell r="B7850">
            <v>4</v>
          </cell>
        </row>
        <row r="7851">
          <cell r="A7851" t="str">
            <v>1AE1H603Y3K21BP</v>
          </cell>
          <cell r="B7851">
            <v>4</v>
          </cell>
        </row>
        <row r="7852">
          <cell r="A7852" t="str">
            <v>1CM1A603L3K80KP</v>
          </cell>
          <cell r="B7852">
            <v>168</v>
          </cell>
        </row>
        <row r="7853">
          <cell r="A7853" t="str">
            <v>1CM1H603Y-3K21</v>
          </cell>
          <cell r="B7853">
            <v>6</v>
          </cell>
        </row>
        <row r="7854">
          <cell r="A7854" t="str">
            <v>1CM1H603Y3K21BP</v>
          </cell>
          <cell r="B7854">
            <v>6</v>
          </cell>
        </row>
        <row r="7855">
          <cell r="A7855" t="str">
            <v>1HT1H603Y-3K21</v>
          </cell>
          <cell r="B7855">
            <v>10</v>
          </cell>
        </row>
        <row r="7856">
          <cell r="A7856" t="str">
            <v>1HT1H603Y3K21BP</v>
          </cell>
          <cell r="B7856">
            <v>10</v>
          </cell>
        </row>
        <row r="7857">
          <cell r="A7857" t="str">
            <v>1RH1A603L3K80KP</v>
          </cell>
          <cell r="B7857">
            <v>9</v>
          </cell>
        </row>
        <row r="7858">
          <cell r="A7858" t="str">
            <v>1RH1H603Y-3K21</v>
          </cell>
          <cell r="B7858">
            <v>4</v>
          </cell>
        </row>
        <row r="7859">
          <cell r="A7859" t="str">
            <v>1RH1H603Y3K21BP</v>
          </cell>
          <cell r="B7859">
            <v>4</v>
          </cell>
        </row>
        <row r="7860">
          <cell r="A7860" t="str">
            <v>1TE1H603Y-3K21</v>
          </cell>
          <cell r="B7860">
            <v>10</v>
          </cell>
        </row>
        <row r="7861">
          <cell r="A7861" t="str">
            <v>1TE1H603Y3K21BP</v>
          </cell>
          <cell r="B7861">
            <v>10</v>
          </cell>
        </row>
        <row r="7862">
          <cell r="A7862" t="str">
            <v>1AE1ARBPC1A13201</v>
          </cell>
          <cell r="B7862">
            <v>2</v>
          </cell>
        </row>
        <row r="7863">
          <cell r="A7863" t="str">
            <v>1AE1ARBPC1A14122</v>
          </cell>
          <cell r="B7863">
            <v>3</v>
          </cell>
        </row>
        <row r="7864">
          <cell r="A7864" t="str">
            <v>1AE1ARBPC1A14131</v>
          </cell>
          <cell r="B7864">
            <v>3</v>
          </cell>
        </row>
        <row r="7865">
          <cell r="A7865" t="str">
            <v>1AE1ARBPC1A14132</v>
          </cell>
          <cell r="B7865">
            <v>3</v>
          </cell>
        </row>
        <row r="7866">
          <cell r="A7866" t="str">
            <v>1AE1ARBPC1A14162</v>
          </cell>
          <cell r="B7866">
            <v>3</v>
          </cell>
        </row>
        <row r="7867">
          <cell r="A7867" t="str">
            <v>1AE1ARBPC1A14172</v>
          </cell>
          <cell r="B7867">
            <v>3</v>
          </cell>
        </row>
        <row r="7868">
          <cell r="A7868" t="str">
            <v>1CM1ARBP01A00103-1</v>
          </cell>
          <cell r="B7868">
            <v>54</v>
          </cell>
        </row>
        <row r="7869">
          <cell r="A7869" t="str">
            <v>1CM1ARBPC1A14122</v>
          </cell>
          <cell r="B7869">
            <v>23</v>
          </cell>
        </row>
        <row r="7870">
          <cell r="A7870" t="str">
            <v>1CM1ARBPC1A14131</v>
          </cell>
          <cell r="B7870">
            <v>23</v>
          </cell>
        </row>
        <row r="7871">
          <cell r="A7871" t="str">
            <v>1CM1ARBPC1A14132</v>
          </cell>
          <cell r="B7871">
            <v>23</v>
          </cell>
        </row>
        <row r="7872">
          <cell r="A7872" t="str">
            <v>1CM1ARBPC1A14162</v>
          </cell>
          <cell r="B7872">
            <v>23</v>
          </cell>
        </row>
        <row r="7873">
          <cell r="A7873" t="str">
            <v>1CM1ARBPC1A14172</v>
          </cell>
          <cell r="B7873">
            <v>23</v>
          </cell>
        </row>
        <row r="7874">
          <cell r="A7874" t="str">
            <v>1RE1ARBP01A01691</v>
          </cell>
          <cell r="B7874">
            <v>120</v>
          </cell>
        </row>
        <row r="7875">
          <cell r="A7875" t="str">
            <v>1RE1ARBP0DA02285</v>
          </cell>
          <cell r="B7875">
            <v>110</v>
          </cell>
        </row>
        <row r="7876">
          <cell r="A7876" t="str">
            <v>1RE1ARBP0DA02306</v>
          </cell>
          <cell r="B7876">
            <v>103</v>
          </cell>
        </row>
        <row r="7877">
          <cell r="A7877" t="str">
            <v>1RE1ARBPC1A13201</v>
          </cell>
          <cell r="B7877">
            <v>181</v>
          </cell>
        </row>
        <row r="7878">
          <cell r="A7878" t="str">
            <v>1RE1ARBPC1A14122</v>
          </cell>
          <cell r="B7878">
            <v>273</v>
          </cell>
        </row>
        <row r="7879">
          <cell r="A7879" t="str">
            <v>1RE1ARBPC1A14131</v>
          </cell>
          <cell r="B7879">
            <v>273</v>
          </cell>
        </row>
        <row r="7880">
          <cell r="A7880" t="str">
            <v>1RE1ARBPC1A14132</v>
          </cell>
          <cell r="B7880">
            <v>273</v>
          </cell>
        </row>
        <row r="7881">
          <cell r="A7881" t="str">
            <v>1RE1ARBPC1A14162</v>
          </cell>
          <cell r="B7881">
            <v>267</v>
          </cell>
        </row>
        <row r="7882">
          <cell r="A7882" t="str">
            <v>1RE1ARBPC1A14172</v>
          </cell>
          <cell r="B7882">
            <v>273</v>
          </cell>
        </row>
        <row r="7883">
          <cell r="A7883" t="str">
            <v>1RE2ARBP0DA02285</v>
          </cell>
          <cell r="B7883">
            <v>36</v>
          </cell>
        </row>
        <row r="7884">
          <cell r="A7884" t="str">
            <v>1RE2ARBP0DA02306</v>
          </cell>
          <cell r="B7884">
            <v>37</v>
          </cell>
        </row>
        <row r="7885">
          <cell r="A7885" t="str">
            <v>1RH1ARBP01A00103-1</v>
          </cell>
          <cell r="B7885">
            <v>10</v>
          </cell>
        </row>
        <row r="7886">
          <cell r="A7886" t="str">
            <v>1RH1ARBPC1A13201</v>
          </cell>
          <cell r="B7886">
            <v>22</v>
          </cell>
        </row>
        <row r="7887">
          <cell r="A7887" t="str">
            <v>1RH1ARBPC1A14122</v>
          </cell>
          <cell r="B7887">
            <v>26</v>
          </cell>
        </row>
        <row r="7888">
          <cell r="A7888" t="str">
            <v>1RH1ARBPC1A14131</v>
          </cell>
          <cell r="B7888">
            <v>26</v>
          </cell>
        </row>
        <row r="7889">
          <cell r="A7889" t="str">
            <v>1RH1ARBPC1A14132</v>
          </cell>
          <cell r="B7889">
            <v>26</v>
          </cell>
        </row>
        <row r="7890">
          <cell r="A7890" t="str">
            <v>1RH1ARBPC1A14162</v>
          </cell>
          <cell r="B7890">
            <v>26</v>
          </cell>
        </row>
        <row r="7891">
          <cell r="A7891" t="str">
            <v>1RH1ARBPC1A14172</v>
          </cell>
          <cell r="B7891">
            <v>26</v>
          </cell>
        </row>
        <row r="7892">
          <cell r="A7892" t="str">
            <v>1AE1ARBP01A00103-1</v>
          </cell>
          <cell r="B7892">
            <v>13</v>
          </cell>
        </row>
        <row r="7893">
          <cell r="A7893" t="str">
            <v>1RE1DVLB2060ZB</v>
          </cell>
          <cell r="B7893">
            <v>307</v>
          </cell>
        </row>
        <row r="7894">
          <cell r="A7894" t="str">
            <v>1RE2DVLB2060ZB</v>
          </cell>
          <cell r="B7894">
            <v>1</v>
          </cell>
        </row>
        <row r="7895">
          <cell r="A7895" t="str">
            <v>1PB1DVLB2060ZB</v>
          </cell>
          <cell r="B7895">
            <v>3</v>
          </cell>
        </row>
        <row r="7896">
          <cell r="A7896" t="str">
            <v>1CM1ARBPC1A14092</v>
          </cell>
          <cell r="B7896">
            <v>25</v>
          </cell>
        </row>
        <row r="7897">
          <cell r="A7897" t="str">
            <v>1RE1ARBPC1A14092</v>
          </cell>
          <cell r="B7897">
            <v>235</v>
          </cell>
        </row>
        <row r="7898">
          <cell r="A7898" t="str">
            <v>1RH1ARBPC1A14092</v>
          </cell>
          <cell r="B7898">
            <v>20</v>
          </cell>
        </row>
        <row r="7899">
          <cell r="A7899" t="str">
            <v>1PB1DVLB1613ZA</v>
          </cell>
          <cell r="B7899">
            <v>0</v>
          </cell>
        </row>
        <row r="7900">
          <cell r="A7900" t="str">
            <v>1PB1DVLB1731ZA</v>
          </cell>
          <cell r="B7900">
            <v>0</v>
          </cell>
        </row>
        <row r="7901">
          <cell r="A7901" t="str">
            <v>1PB1DVLB1738ZA</v>
          </cell>
          <cell r="B7901">
            <v>0</v>
          </cell>
        </row>
        <row r="7902">
          <cell r="A7902" t="str">
            <v>SEP1006AF</v>
          </cell>
          <cell r="B7902">
            <v>0</v>
          </cell>
        </row>
        <row r="7903">
          <cell r="A7903" t="str">
            <v>1PB1DVLB1855YB</v>
          </cell>
          <cell r="B7903">
            <v>0</v>
          </cell>
        </row>
        <row r="7904">
          <cell r="A7904" t="str">
            <v>1PB1DVLB1855ZB</v>
          </cell>
          <cell r="B7904">
            <v>0</v>
          </cell>
        </row>
        <row r="7905">
          <cell r="A7905" t="str">
            <v>1PB1DVLB1916ZA</v>
          </cell>
          <cell r="B7905">
            <v>0</v>
          </cell>
        </row>
        <row r="7906">
          <cell r="A7906" t="str">
            <v>1PB1DVLB1972ZA</v>
          </cell>
          <cell r="B7906">
            <v>0</v>
          </cell>
        </row>
        <row r="7907">
          <cell r="A7907" t="str">
            <v>1PB1DVLB2021ZA</v>
          </cell>
          <cell r="B7907">
            <v>0</v>
          </cell>
        </row>
        <row r="7908">
          <cell r="A7908" t="str">
            <v>1PB1DVLB2029ZA</v>
          </cell>
          <cell r="B7908">
            <v>0</v>
          </cell>
        </row>
        <row r="7909">
          <cell r="A7909" t="str">
            <v>1PB1DVLB2052YA</v>
          </cell>
          <cell r="B7909">
            <v>0</v>
          </cell>
        </row>
        <row r="7910">
          <cell r="A7910" t="str">
            <v>1PB1DVLB2061ZA</v>
          </cell>
          <cell r="B7910">
            <v>0</v>
          </cell>
        </row>
        <row r="7911">
          <cell r="A7911" t="str">
            <v>1PB1DVLB2082ZA</v>
          </cell>
          <cell r="B7911">
            <v>0</v>
          </cell>
        </row>
        <row r="7912">
          <cell r="A7912" t="str">
            <v>1PB1DVLB2073XA</v>
          </cell>
          <cell r="B7912">
            <v>0</v>
          </cell>
        </row>
        <row r="7913">
          <cell r="A7913" t="str">
            <v>1PB1DVLB2073YA</v>
          </cell>
          <cell r="B7913">
            <v>0</v>
          </cell>
        </row>
        <row r="7914">
          <cell r="A7914" t="str">
            <v>1PB1DVLB2073ZA</v>
          </cell>
          <cell r="B7914">
            <v>0</v>
          </cell>
        </row>
        <row r="7915">
          <cell r="A7915" t="str">
            <v>1PB1DVLB2075ZA</v>
          </cell>
          <cell r="B7915">
            <v>0</v>
          </cell>
        </row>
        <row r="7916">
          <cell r="A7916" t="str">
            <v>1CM1H608E3K70BP</v>
          </cell>
          <cell r="B7916">
            <v>23</v>
          </cell>
        </row>
        <row r="7917">
          <cell r="A7917" t="str">
            <v>1HT1H608E3K70BP</v>
          </cell>
          <cell r="B7917">
            <v>4</v>
          </cell>
        </row>
        <row r="7918">
          <cell r="A7918" t="str">
            <v>1RH1H608E3K70BP</v>
          </cell>
          <cell r="B7918">
            <v>6</v>
          </cell>
        </row>
        <row r="7919">
          <cell r="A7919" t="str">
            <v>1RE1ARBP01A01075</v>
          </cell>
          <cell r="B7919">
            <v>76</v>
          </cell>
        </row>
        <row r="7920">
          <cell r="A7920" t="str">
            <v>1RE1ARBP01A01085</v>
          </cell>
          <cell r="B7920">
            <v>73</v>
          </cell>
        </row>
        <row r="7921">
          <cell r="A7921" t="str">
            <v>1RE2ARBP01A01075</v>
          </cell>
          <cell r="B7921">
            <v>28</v>
          </cell>
        </row>
        <row r="7922">
          <cell r="A7922" t="str">
            <v>1RE2ARBP01A01085</v>
          </cell>
          <cell r="B7922">
            <v>25</v>
          </cell>
        </row>
        <row r="7923">
          <cell r="A7923" t="str">
            <v>1AE1H603Y3L40APFE2</v>
          </cell>
          <cell r="B7923">
            <v>18</v>
          </cell>
        </row>
        <row r="7924">
          <cell r="A7924" t="str">
            <v>1AE1H603Y3L60APFE2</v>
          </cell>
          <cell r="B7924">
            <v>18</v>
          </cell>
        </row>
        <row r="7925">
          <cell r="A7925" t="str">
            <v>1CM1H603Y3L40APFE2</v>
          </cell>
          <cell r="B7925">
            <v>52</v>
          </cell>
        </row>
        <row r="7926">
          <cell r="A7926" t="str">
            <v>1CM1H603Y3L60APFE2</v>
          </cell>
          <cell r="B7926">
            <v>52</v>
          </cell>
        </row>
        <row r="7927">
          <cell r="A7927" t="str">
            <v>1HT1H603Y3L40APFE2</v>
          </cell>
          <cell r="B7927">
            <v>22</v>
          </cell>
        </row>
        <row r="7928">
          <cell r="A7928" t="str">
            <v>1HT1H603Y3L60APFE2</v>
          </cell>
          <cell r="B7928">
            <v>22</v>
          </cell>
        </row>
        <row r="7929">
          <cell r="A7929" t="str">
            <v>1RH1H603Y3L40APFE2</v>
          </cell>
          <cell r="B7929">
            <v>12</v>
          </cell>
        </row>
        <row r="7930">
          <cell r="A7930" t="str">
            <v>1RH1H603Y3L60APFE2</v>
          </cell>
          <cell r="B7930">
            <v>12</v>
          </cell>
        </row>
        <row r="7931">
          <cell r="A7931" t="str">
            <v>1TE1H603Y3L40APFE2</v>
          </cell>
          <cell r="B7931">
            <v>5</v>
          </cell>
        </row>
        <row r="7932">
          <cell r="A7932" t="str">
            <v>1TE1H603Y3L60APFE2</v>
          </cell>
          <cell r="B7932">
            <v>5</v>
          </cell>
        </row>
        <row r="7933">
          <cell r="A7933" t="str">
            <v>1AE1ARBPC1A13181</v>
          </cell>
          <cell r="B7933">
            <v>6</v>
          </cell>
        </row>
        <row r="7934">
          <cell r="A7934" t="str">
            <v>1CM1ARBP0DA01475</v>
          </cell>
          <cell r="B7934">
            <v>64</v>
          </cell>
        </row>
        <row r="7935">
          <cell r="A7935" t="str">
            <v>1CM1ARBPC1A14640</v>
          </cell>
          <cell r="B7935">
            <v>28</v>
          </cell>
        </row>
        <row r="7936">
          <cell r="A7936" t="str">
            <v>1RE1ARBP0DA01475</v>
          </cell>
          <cell r="B7936">
            <v>22</v>
          </cell>
        </row>
        <row r="7937">
          <cell r="A7937" t="str">
            <v>1RE1ARBPC1A13181</v>
          </cell>
          <cell r="B7937">
            <v>170</v>
          </cell>
        </row>
        <row r="7938">
          <cell r="A7938" t="str">
            <v>1RE1ARBPC1A14640</v>
          </cell>
          <cell r="B7938">
            <v>291</v>
          </cell>
        </row>
        <row r="7939">
          <cell r="A7939" t="str">
            <v>1RH1ARBP0DA01475</v>
          </cell>
          <cell r="B7939">
            <v>11</v>
          </cell>
        </row>
        <row r="7940">
          <cell r="A7940" t="str">
            <v>1RH1ARBPC1A13181</v>
          </cell>
          <cell r="B7940">
            <v>17</v>
          </cell>
        </row>
        <row r="7941">
          <cell r="A7941" t="str">
            <v>1RH1ARBPC1A14640</v>
          </cell>
          <cell r="B7941">
            <v>18</v>
          </cell>
        </row>
        <row r="7942">
          <cell r="A7942" t="str">
            <v>1RE2ARBP0DA02723</v>
          </cell>
          <cell r="B7942">
            <v>39</v>
          </cell>
        </row>
        <row r="7943">
          <cell r="A7943" t="str">
            <v>1RE1ARBP0DA02723</v>
          </cell>
          <cell r="B7943">
            <v>113</v>
          </cell>
        </row>
        <row r="7944">
          <cell r="A7944" t="str">
            <v>1AE1ARBPC1A10015</v>
          </cell>
          <cell r="B7944">
            <v>2</v>
          </cell>
        </row>
        <row r="7945">
          <cell r="A7945" t="str">
            <v>1AE1ARBPC1A11454</v>
          </cell>
          <cell r="B7945">
            <v>3</v>
          </cell>
        </row>
        <row r="7946">
          <cell r="A7946" t="str">
            <v>1AE1ARBPC1A11793</v>
          </cell>
          <cell r="B7946">
            <v>2</v>
          </cell>
        </row>
        <row r="7947">
          <cell r="A7947" t="str">
            <v>1AE1ARBPC1A13181</v>
          </cell>
          <cell r="B7947">
            <v>2</v>
          </cell>
        </row>
        <row r="7948">
          <cell r="A7948" t="str">
            <v>1CM1ARBP0DA01475</v>
          </cell>
          <cell r="B7948">
            <v>64</v>
          </cell>
        </row>
        <row r="7949">
          <cell r="A7949" t="str">
            <v>1CM1ARBPC1A11454</v>
          </cell>
          <cell r="B7949">
            <v>22</v>
          </cell>
        </row>
        <row r="7950">
          <cell r="A7950" t="str">
            <v>1CM1ARBPC1A14640</v>
          </cell>
          <cell r="B7950">
            <v>28</v>
          </cell>
        </row>
        <row r="7951">
          <cell r="A7951" t="str">
            <v>1RE1ARBP0DA01475</v>
          </cell>
          <cell r="B7951">
            <v>22</v>
          </cell>
        </row>
        <row r="7952">
          <cell r="A7952" t="str">
            <v>1RE1ARBPC1A10015</v>
          </cell>
          <cell r="B7952">
            <v>144</v>
          </cell>
        </row>
        <row r="7953">
          <cell r="A7953" t="str">
            <v>1RE1ARBPC1A11454</v>
          </cell>
          <cell r="B7953">
            <v>219</v>
          </cell>
        </row>
        <row r="7954">
          <cell r="A7954" t="str">
            <v>1RE1ARBPC1A11793</v>
          </cell>
          <cell r="B7954">
            <v>144</v>
          </cell>
        </row>
        <row r="7955">
          <cell r="A7955" t="str">
            <v>1RE1ARBPC1A13181</v>
          </cell>
          <cell r="B7955">
            <v>170</v>
          </cell>
        </row>
        <row r="7956">
          <cell r="A7956" t="str">
            <v>1RE1ARBPC1A14640</v>
          </cell>
          <cell r="B7956">
            <v>291</v>
          </cell>
        </row>
        <row r="7957">
          <cell r="A7957" t="str">
            <v>1RH1ARBPC1A10015</v>
          </cell>
          <cell r="B7957">
            <v>14</v>
          </cell>
        </row>
        <row r="7958">
          <cell r="A7958" t="str">
            <v>1RH1ARBPC1A11454</v>
          </cell>
          <cell r="B7958">
            <v>22</v>
          </cell>
        </row>
        <row r="7959">
          <cell r="A7959" t="str">
            <v>1RH1ARBPC1A11793</v>
          </cell>
          <cell r="B7959">
            <v>14</v>
          </cell>
        </row>
        <row r="7960">
          <cell r="A7960" t="str">
            <v>1RH1ARBPC1A13181</v>
          </cell>
          <cell r="B7960">
            <v>17</v>
          </cell>
        </row>
        <row r="7961">
          <cell r="A7961" t="str">
            <v>1RH1ARBPC1A14640</v>
          </cell>
          <cell r="B7961">
            <v>18</v>
          </cell>
        </row>
        <row r="7962">
          <cell r="A7962" t="str">
            <v>1PB1DVLB1744ZA</v>
          </cell>
          <cell r="B7962">
            <v>0</v>
          </cell>
        </row>
        <row r="7963">
          <cell r="A7963" t="str">
            <v>1PB1DVLB1973ZA</v>
          </cell>
          <cell r="B7963">
            <v>0</v>
          </cell>
        </row>
        <row r="7964">
          <cell r="A7964" t="str">
            <v>1PB1DVLB1974ZA</v>
          </cell>
          <cell r="B7964">
            <v>0</v>
          </cell>
        </row>
        <row r="7965">
          <cell r="A7965" t="str">
            <v>1PB1DVLB1975ZA</v>
          </cell>
          <cell r="B7965">
            <v>0</v>
          </cell>
        </row>
        <row r="7966">
          <cell r="A7966" t="str">
            <v>1PB1DVLB1976ZB</v>
          </cell>
          <cell r="B7966">
            <v>0</v>
          </cell>
        </row>
        <row r="7967">
          <cell r="A7967" t="str">
            <v>1PB1DVLB2054ZA</v>
          </cell>
          <cell r="B7967">
            <v>0</v>
          </cell>
        </row>
        <row r="7968">
          <cell r="A7968" t="str">
            <v>1PB1DVLB2051ZA</v>
          </cell>
          <cell r="B7968">
            <v>0</v>
          </cell>
        </row>
        <row r="7969">
          <cell r="A7969" t="str">
            <v>1PB1DVLB2053ZA</v>
          </cell>
          <cell r="B7969">
            <v>0</v>
          </cell>
        </row>
        <row r="7970">
          <cell r="A7970" t="str">
            <v>1PB1DVLB2062ZA</v>
          </cell>
          <cell r="B7970">
            <v>0</v>
          </cell>
        </row>
        <row r="7971">
          <cell r="A7971" t="str">
            <v>1PB1DVLB2063ZA</v>
          </cell>
          <cell r="B7971">
            <v>0</v>
          </cell>
        </row>
        <row r="7972">
          <cell r="A7972" t="str">
            <v>1PB1DVLB2064ZA</v>
          </cell>
          <cell r="B7972">
            <v>0</v>
          </cell>
        </row>
        <row r="7973">
          <cell r="A7973" t="str">
            <v>1PB1DVLB2083ZA</v>
          </cell>
          <cell r="B7973">
            <v>0</v>
          </cell>
        </row>
        <row r="7974">
          <cell r="A7974" t="str">
            <v>1PB1DVLB2084ZA</v>
          </cell>
          <cell r="B7974">
            <v>0</v>
          </cell>
        </row>
        <row r="7975">
          <cell r="A7975" t="str">
            <v>1PB1DVLB2085ZA</v>
          </cell>
          <cell r="B7975">
            <v>0</v>
          </cell>
        </row>
        <row r="7976">
          <cell r="A7976" t="str">
            <v>1PB1DVLB2086ZA</v>
          </cell>
          <cell r="B7976">
            <v>0</v>
          </cell>
        </row>
        <row r="7977">
          <cell r="A7977" t="str">
            <v>1PB1DVLB2074ZA</v>
          </cell>
          <cell r="B7977">
            <v>0</v>
          </cell>
        </row>
        <row r="7978">
          <cell r="A7978" t="str">
            <v>1AE1ARBPC1A11064</v>
          </cell>
          <cell r="B7978">
            <v>6</v>
          </cell>
        </row>
        <row r="7979">
          <cell r="A7979" t="str">
            <v>1AE1ARBPC1A11635</v>
          </cell>
          <cell r="B7979">
            <v>7</v>
          </cell>
        </row>
        <row r="7980">
          <cell r="A7980" t="str">
            <v>1CM1ARBPC1A11064</v>
          </cell>
          <cell r="B7980">
            <v>23</v>
          </cell>
        </row>
        <row r="7981">
          <cell r="A7981" t="str">
            <v>1CM1ARBPC1A11635</v>
          </cell>
          <cell r="B7981">
            <v>23</v>
          </cell>
        </row>
        <row r="7982">
          <cell r="A7982" t="str">
            <v>1RE1ARBPC1A11064</v>
          </cell>
          <cell r="B7982">
            <v>226</v>
          </cell>
        </row>
        <row r="7983">
          <cell r="A7983" t="str">
            <v>1RE1ARBPC1A11635</v>
          </cell>
          <cell r="B7983">
            <v>286</v>
          </cell>
        </row>
        <row r="7984">
          <cell r="A7984" t="str">
            <v>1RH1ARBPC1A11064</v>
          </cell>
          <cell r="B7984">
            <v>22</v>
          </cell>
        </row>
        <row r="7985">
          <cell r="A7985" t="str">
            <v>1RH1ARBPC1A11635</v>
          </cell>
          <cell r="B7985">
            <v>25</v>
          </cell>
        </row>
        <row r="7986">
          <cell r="A7986" t="str">
            <v>1AE1H603L-3L10-PP1</v>
          </cell>
          <cell r="B7986">
            <v>28</v>
          </cell>
        </row>
        <row r="7987">
          <cell r="A7987" t="str">
            <v>1CM1H603L-3L10-PP1</v>
          </cell>
          <cell r="B7987">
            <v>438</v>
          </cell>
        </row>
        <row r="7988">
          <cell r="A7988" t="str">
            <v>1HT1H603L-3L10-PP1</v>
          </cell>
          <cell r="B7988">
            <v>22</v>
          </cell>
        </row>
        <row r="7989">
          <cell r="A7989" t="str">
            <v>1RE1H605Q-3L10-PP1</v>
          </cell>
          <cell r="B7989">
            <v>92</v>
          </cell>
        </row>
        <row r="7990">
          <cell r="A7990" t="str">
            <v>1RE2H605Q-3L10-PP1</v>
          </cell>
          <cell r="B7990">
            <v>193</v>
          </cell>
        </row>
        <row r="7991">
          <cell r="A7991" t="str">
            <v>1RH1H603L-3L10-PP1</v>
          </cell>
          <cell r="B7991">
            <v>32</v>
          </cell>
        </row>
        <row r="7992">
          <cell r="A7992" t="str">
            <v>1TE1H603L-3L10-PP1</v>
          </cell>
          <cell r="B7992">
            <v>3</v>
          </cell>
        </row>
        <row r="7993">
          <cell r="A7993" t="str">
            <v>1RE2DVLB1991ZA Laser</v>
          </cell>
          <cell r="B7993">
            <v>0</v>
          </cell>
        </row>
        <row r="7994">
          <cell r="A7994" t="str">
            <v>1AE1ARBPC1A14780</v>
          </cell>
          <cell r="B7994">
            <v>2</v>
          </cell>
        </row>
        <row r="7995">
          <cell r="A7995" t="str">
            <v>1RE1ARBPC1A14780</v>
          </cell>
          <cell r="B7995">
            <v>182</v>
          </cell>
        </row>
        <row r="7996">
          <cell r="A7996" t="str">
            <v>1RH1ARBPC1A14780</v>
          </cell>
          <cell r="B7996">
            <v>19</v>
          </cell>
        </row>
        <row r="7997">
          <cell r="A7997" t="str">
            <v>1HT1H603Y3K21P2</v>
          </cell>
          <cell r="B7997">
            <v>10</v>
          </cell>
        </row>
        <row r="7998">
          <cell r="A7998" t="str">
            <v>1AE1H603Y3K21P2</v>
          </cell>
          <cell r="B7998">
            <v>10</v>
          </cell>
        </row>
        <row r="7999">
          <cell r="A7999" t="str">
            <v>1TE1H603Y3K21P2</v>
          </cell>
          <cell r="B7999">
            <v>10</v>
          </cell>
        </row>
        <row r="8000">
          <cell r="A8000" t="str">
            <v>1RH1H603Y3K21P2</v>
          </cell>
          <cell r="B8000">
            <v>4</v>
          </cell>
        </row>
        <row r="8001">
          <cell r="A8001" t="str">
            <v>1CM1H603Y3K21P2</v>
          </cell>
          <cell r="B8001">
            <v>6</v>
          </cell>
        </row>
        <row r="8002">
          <cell r="A8002" t="str">
            <v>1RE1UT610-S2</v>
          </cell>
          <cell r="B8002">
            <v>266</v>
          </cell>
        </row>
        <row r="8003">
          <cell r="A8003" t="str">
            <v>1RE1UT630-S2</v>
          </cell>
          <cell r="B8003">
            <v>241</v>
          </cell>
        </row>
        <row r="8004">
          <cell r="A8004" t="str">
            <v>1RE1UZ650-S2</v>
          </cell>
          <cell r="B8004">
            <v>42</v>
          </cell>
        </row>
        <row r="8005">
          <cell r="A8005" t="str">
            <v>1RE2UT610-S2</v>
          </cell>
          <cell r="B8005">
            <v>191</v>
          </cell>
        </row>
        <row r="8006">
          <cell r="A8006" t="str">
            <v>1RE2UT630-S2</v>
          </cell>
          <cell r="B8006">
            <v>212</v>
          </cell>
        </row>
        <row r="8007">
          <cell r="A8007" t="str">
            <v>1CM1ARBPC1A14641</v>
          </cell>
          <cell r="B8007">
            <v>28</v>
          </cell>
        </row>
        <row r="8008">
          <cell r="A8008" t="str">
            <v>1RE1ARBPC1A14641</v>
          </cell>
          <cell r="B8008">
            <v>291</v>
          </cell>
        </row>
        <row r="8009">
          <cell r="A8009" t="str">
            <v>1RH1ARBPC1A14641</v>
          </cell>
          <cell r="B8009">
            <v>18</v>
          </cell>
        </row>
        <row r="8010">
          <cell r="A8010" t="str">
            <v>1AE1ARBPC1A14830</v>
          </cell>
          <cell r="B8010">
            <v>5</v>
          </cell>
        </row>
        <row r="8011">
          <cell r="A8011" t="str">
            <v>1CM1ARBPC1A14830</v>
          </cell>
          <cell r="B8011">
            <v>23</v>
          </cell>
        </row>
        <row r="8012">
          <cell r="A8012" t="str">
            <v>1RE1ARBPC1A14830</v>
          </cell>
          <cell r="B8012">
            <v>280</v>
          </cell>
        </row>
        <row r="8013">
          <cell r="A8013" t="str">
            <v>1RH1ARBPC1A14830</v>
          </cell>
          <cell r="B8013">
            <v>24</v>
          </cell>
        </row>
        <row r="8014">
          <cell r="A8014" t="str">
            <v>1AE1ARBPC1A08237</v>
          </cell>
          <cell r="B8014">
            <v>5</v>
          </cell>
        </row>
        <row r="8015">
          <cell r="A8015" t="str">
            <v>1AE1ARBPC1A08524</v>
          </cell>
          <cell r="B8015">
            <v>5</v>
          </cell>
        </row>
        <row r="8016">
          <cell r="A8016" t="str">
            <v>1AE1ARBPC1A08565</v>
          </cell>
          <cell r="B8016">
            <v>5</v>
          </cell>
        </row>
        <row r="8017">
          <cell r="A8017" t="str">
            <v>1AE1ARBPC1A09265</v>
          </cell>
          <cell r="B8017">
            <v>4</v>
          </cell>
        </row>
        <row r="8018">
          <cell r="A8018" t="str">
            <v>1AE1ARBPC1A10024</v>
          </cell>
          <cell r="B8018">
            <v>5</v>
          </cell>
        </row>
        <row r="8019">
          <cell r="A8019" t="str">
            <v>1AE1ARBPC1A10034</v>
          </cell>
          <cell r="B8019">
            <v>5</v>
          </cell>
        </row>
        <row r="8020">
          <cell r="A8020" t="str">
            <v>1AE1ARBPC1A10044</v>
          </cell>
          <cell r="B8020">
            <v>5</v>
          </cell>
        </row>
        <row r="8021">
          <cell r="A8021" t="str">
            <v>1AE1ARBPC1A14780</v>
          </cell>
          <cell r="B8021">
            <v>4</v>
          </cell>
        </row>
        <row r="8022">
          <cell r="A8022" t="str">
            <v>1AE1ARBPC1A14830</v>
          </cell>
          <cell r="B8022">
            <v>5</v>
          </cell>
        </row>
        <row r="8023">
          <cell r="A8023" t="str">
            <v>1CM1ARBPC1A08237</v>
          </cell>
          <cell r="B8023">
            <v>23</v>
          </cell>
        </row>
        <row r="8024">
          <cell r="A8024" t="str">
            <v>1CM1ARBPC1A08524</v>
          </cell>
          <cell r="B8024">
            <v>23</v>
          </cell>
        </row>
        <row r="8025">
          <cell r="A8025" t="str">
            <v>1CM1ARBPC1A08565</v>
          </cell>
          <cell r="B8025">
            <v>23</v>
          </cell>
        </row>
        <row r="8026">
          <cell r="A8026" t="str">
            <v>1CM1ARBPC1A09265</v>
          </cell>
          <cell r="B8026">
            <v>23</v>
          </cell>
        </row>
        <row r="8027">
          <cell r="A8027" t="str">
            <v>1CM1ARBPC1A10024</v>
          </cell>
          <cell r="B8027">
            <v>23</v>
          </cell>
        </row>
        <row r="8028">
          <cell r="A8028" t="str">
            <v>1CM1ARBPC1A10034</v>
          </cell>
          <cell r="B8028">
            <v>23</v>
          </cell>
        </row>
        <row r="8029">
          <cell r="A8029" t="str">
            <v>1CM1ARBPC1A10044</v>
          </cell>
          <cell r="B8029">
            <v>23</v>
          </cell>
        </row>
        <row r="8030">
          <cell r="A8030" t="str">
            <v>1CM1ARBPC1A14641</v>
          </cell>
          <cell r="B8030">
            <v>28</v>
          </cell>
        </row>
        <row r="8031">
          <cell r="A8031" t="str">
            <v>1CM1ARBPC1A14830</v>
          </cell>
          <cell r="B8031">
            <v>23</v>
          </cell>
        </row>
        <row r="8032">
          <cell r="A8032" t="str">
            <v>1RE1ARBPC1A08237</v>
          </cell>
          <cell r="B8032">
            <v>277</v>
          </cell>
        </row>
        <row r="8033">
          <cell r="A8033" t="str">
            <v>1RE1ARBPC1A08524</v>
          </cell>
          <cell r="B8033">
            <v>277</v>
          </cell>
        </row>
        <row r="8034">
          <cell r="A8034" t="str">
            <v>1RE1ARBPC1A08565</v>
          </cell>
          <cell r="B8034">
            <v>281</v>
          </cell>
        </row>
        <row r="8035">
          <cell r="A8035" t="str">
            <v>1RE1ARBPC1A09265</v>
          </cell>
          <cell r="B8035">
            <v>271</v>
          </cell>
        </row>
        <row r="8036">
          <cell r="A8036" t="str">
            <v>1RE1ARBPC1A10024</v>
          </cell>
          <cell r="B8036">
            <v>277</v>
          </cell>
        </row>
        <row r="8037">
          <cell r="A8037" t="str">
            <v>1RE1ARBPC1A10034</v>
          </cell>
          <cell r="B8037">
            <v>277</v>
          </cell>
        </row>
        <row r="8038">
          <cell r="A8038" t="str">
            <v>1RE1ARBPC1A10044</v>
          </cell>
          <cell r="B8038">
            <v>281</v>
          </cell>
        </row>
        <row r="8039">
          <cell r="A8039" t="str">
            <v>1RE1ARBPC1A14641</v>
          </cell>
          <cell r="B8039">
            <v>291</v>
          </cell>
        </row>
        <row r="8040">
          <cell r="A8040" t="str">
            <v>1RE1ARBPC1A14780</v>
          </cell>
          <cell r="B8040">
            <v>182</v>
          </cell>
        </row>
        <row r="8041">
          <cell r="A8041" t="str">
            <v>1RE1ARBPC1A14830</v>
          </cell>
          <cell r="B8041">
            <v>280</v>
          </cell>
        </row>
        <row r="8042">
          <cell r="A8042" t="str">
            <v>1RH1ARBPC1A08237</v>
          </cell>
          <cell r="B8042">
            <v>21</v>
          </cell>
        </row>
        <row r="8043">
          <cell r="A8043" t="str">
            <v>1RH1ARBPC1A08524</v>
          </cell>
          <cell r="B8043">
            <v>21</v>
          </cell>
        </row>
        <row r="8044">
          <cell r="A8044" t="str">
            <v>1RH1ARBPC1A08565</v>
          </cell>
          <cell r="B8044">
            <v>21</v>
          </cell>
        </row>
        <row r="8045">
          <cell r="A8045" t="str">
            <v>1RH1ARBPC1A09265</v>
          </cell>
          <cell r="B8045">
            <v>21</v>
          </cell>
        </row>
        <row r="8046">
          <cell r="A8046" t="str">
            <v>1RH1ARBPC1A10024</v>
          </cell>
          <cell r="B8046">
            <v>21</v>
          </cell>
        </row>
        <row r="8047">
          <cell r="A8047" t="str">
            <v>1RH1ARBPC1A10034</v>
          </cell>
          <cell r="B8047">
            <v>21</v>
          </cell>
        </row>
        <row r="8048">
          <cell r="A8048" t="str">
            <v>1RH1ARBPC1A10044</v>
          </cell>
          <cell r="B8048">
            <v>21</v>
          </cell>
        </row>
        <row r="8049">
          <cell r="A8049" t="str">
            <v>1RH1ARBPC1A14641</v>
          </cell>
          <cell r="B8049">
            <v>18</v>
          </cell>
        </row>
        <row r="8050">
          <cell r="A8050" t="str">
            <v>1RH1ARBPC1A14780</v>
          </cell>
          <cell r="B8050">
            <v>19</v>
          </cell>
        </row>
        <row r="8051">
          <cell r="A8051" t="str">
            <v>1RH1ARBPC1A14830</v>
          </cell>
          <cell r="B8051">
            <v>24</v>
          </cell>
        </row>
        <row r="8052">
          <cell r="A8052" t="str">
            <v>1AE1ARBPC1A09854</v>
          </cell>
          <cell r="B8052">
            <v>5</v>
          </cell>
        </row>
        <row r="8053">
          <cell r="A8053" t="str">
            <v>1AE1ARBPC1A09862</v>
          </cell>
          <cell r="B8053">
            <v>5</v>
          </cell>
        </row>
        <row r="8054">
          <cell r="A8054" t="str">
            <v>1AE1ARBPC1A13111</v>
          </cell>
          <cell r="B8054">
            <v>5</v>
          </cell>
        </row>
        <row r="8055">
          <cell r="A8055" t="str">
            <v>1AE1ARBPC1A13121</v>
          </cell>
          <cell r="B8055">
            <v>5</v>
          </cell>
        </row>
        <row r="8056">
          <cell r="A8056" t="str">
            <v>1AE1ARBPC1A13131</v>
          </cell>
          <cell r="B8056">
            <v>5</v>
          </cell>
        </row>
        <row r="8057">
          <cell r="A8057" t="str">
            <v>1RE1ARBPC1A09854</v>
          </cell>
          <cell r="B8057">
            <v>149</v>
          </cell>
        </row>
        <row r="8058">
          <cell r="A8058" t="str">
            <v>1RE1ARBPC1A09862</v>
          </cell>
          <cell r="B8058">
            <v>149</v>
          </cell>
        </row>
        <row r="8059">
          <cell r="A8059" t="str">
            <v>1RE1ARBPC1A13111</v>
          </cell>
          <cell r="B8059">
            <v>149</v>
          </cell>
        </row>
        <row r="8060">
          <cell r="A8060" t="str">
            <v>1RE1ARBPC1A13121</v>
          </cell>
          <cell r="B8060">
            <v>149</v>
          </cell>
        </row>
        <row r="8061">
          <cell r="A8061" t="str">
            <v>1RE1ARBPC1A13131</v>
          </cell>
          <cell r="B8061">
            <v>149</v>
          </cell>
        </row>
        <row r="8062">
          <cell r="A8062" t="str">
            <v>1RH1ARBPC1A09854</v>
          </cell>
          <cell r="B8062">
            <v>17</v>
          </cell>
        </row>
        <row r="8063">
          <cell r="A8063" t="str">
            <v>1RH1ARBPC1A09862</v>
          </cell>
          <cell r="B8063">
            <v>17</v>
          </cell>
        </row>
        <row r="8064">
          <cell r="A8064" t="str">
            <v>1RH1ARBPC1A13111</v>
          </cell>
          <cell r="B8064">
            <v>16</v>
          </cell>
        </row>
        <row r="8065">
          <cell r="A8065" t="str">
            <v>1RH1ARBPC1A13121</v>
          </cell>
          <cell r="B8065">
            <v>16</v>
          </cell>
        </row>
        <row r="8066">
          <cell r="A8066" t="str">
            <v>1RH1ARBPC1A13131</v>
          </cell>
          <cell r="B8066">
            <v>16</v>
          </cell>
        </row>
        <row r="8067">
          <cell r="A8067" t="str">
            <v>1AE1H683L3K20AP-PP</v>
          </cell>
          <cell r="B8067">
            <v>150</v>
          </cell>
        </row>
        <row r="8068">
          <cell r="A8068" t="str">
            <v>1CM1H683L3K20AP-PP</v>
          </cell>
          <cell r="B8068">
            <v>415</v>
          </cell>
        </row>
        <row r="8069">
          <cell r="A8069" t="str">
            <v>1HT1H683L3K20AP-PP</v>
          </cell>
          <cell r="B8069">
            <v>18</v>
          </cell>
        </row>
        <row r="8070">
          <cell r="A8070" t="str">
            <v>1RH1H683L3K20AP-PP</v>
          </cell>
          <cell r="B8070">
            <v>33</v>
          </cell>
        </row>
        <row r="8071">
          <cell r="A8071" t="str">
            <v>1TE1H683L3K20AP-PP</v>
          </cell>
          <cell r="B8071">
            <v>1</v>
          </cell>
        </row>
        <row r="8072">
          <cell r="A8072" t="str">
            <v>1AE1H603Y3L20EP-S3</v>
          </cell>
          <cell r="B8072">
            <v>18</v>
          </cell>
        </row>
        <row r="8073">
          <cell r="A8073" t="str">
            <v>1AE1H603Y3L40AP-S3</v>
          </cell>
          <cell r="B8073">
            <v>18</v>
          </cell>
        </row>
        <row r="8074">
          <cell r="A8074" t="str">
            <v>1AE1H603Y3L60AP-S3</v>
          </cell>
          <cell r="B8074">
            <v>18</v>
          </cell>
        </row>
        <row r="8075">
          <cell r="A8075" t="str">
            <v>1AE1H603Y3L60CP-S3</v>
          </cell>
          <cell r="B8075">
            <v>18</v>
          </cell>
        </row>
        <row r="8076">
          <cell r="A8076" t="str">
            <v>1CM1H603Y3L20EP-S3</v>
          </cell>
          <cell r="B8076">
            <v>52</v>
          </cell>
        </row>
        <row r="8077">
          <cell r="A8077" t="str">
            <v>1CM1H603Y3L40AP-S3</v>
          </cell>
          <cell r="B8077">
            <v>52</v>
          </cell>
        </row>
        <row r="8078">
          <cell r="A8078" t="str">
            <v>1CM1H603Y3L60AP-S3</v>
          </cell>
          <cell r="B8078">
            <v>52</v>
          </cell>
        </row>
        <row r="8079">
          <cell r="A8079" t="str">
            <v>1CM1H603Y3L60CP-S3</v>
          </cell>
          <cell r="B8079">
            <v>52</v>
          </cell>
        </row>
        <row r="8080">
          <cell r="A8080" t="str">
            <v>1HT1H603Y3L20EP-S3</v>
          </cell>
          <cell r="B8080">
            <v>22</v>
          </cell>
        </row>
        <row r="8081">
          <cell r="A8081" t="str">
            <v>1HT1H603Y3L40AP-S3</v>
          </cell>
          <cell r="B8081">
            <v>22</v>
          </cell>
        </row>
        <row r="8082">
          <cell r="A8082" t="str">
            <v>1HT1H603Y3L60AP-S3</v>
          </cell>
          <cell r="B8082">
            <v>22</v>
          </cell>
        </row>
        <row r="8083">
          <cell r="A8083" t="str">
            <v>1HT1H603Y3L60CP-S3</v>
          </cell>
          <cell r="B8083">
            <v>22</v>
          </cell>
        </row>
        <row r="8084">
          <cell r="A8084" t="str">
            <v>1RH1H603Y3L20EP-S3</v>
          </cell>
          <cell r="B8084">
            <v>12</v>
          </cell>
        </row>
        <row r="8085">
          <cell r="A8085" t="str">
            <v>1RH1H603Y3L40AP-S3</v>
          </cell>
          <cell r="B8085">
            <v>12</v>
          </cell>
        </row>
        <row r="8086">
          <cell r="A8086" t="str">
            <v>1RH1H603Y3L60AP-S3</v>
          </cell>
          <cell r="B8086">
            <v>12</v>
          </cell>
        </row>
        <row r="8087">
          <cell r="A8087" t="str">
            <v>1RH1H603Y3L60CP-S3</v>
          </cell>
          <cell r="B8087">
            <v>12</v>
          </cell>
        </row>
        <row r="8088">
          <cell r="A8088" t="str">
            <v>1TE1H603Y3L20EP-S3</v>
          </cell>
          <cell r="B8088">
            <v>5</v>
          </cell>
        </row>
        <row r="8089">
          <cell r="A8089" t="str">
            <v>1TE1H603Y3L40AP-S3</v>
          </cell>
          <cell r="B8089">
            <v>5</v>
          </cell>
        </row>
        <row r="8090">
          <cell r="A8090" t="str">
            <v>1TE1H603Y3L60AP-S3</v>
          </cell>
          <cell r="B8090">
            <v>5</v>
          </cell>
        </row>
        <row r="8091">
          <cell r="A8091" t="str">
            <v>1TE1H603Y3L60CP-S3</v>
          </cell>
          <cell r="B8091">
            <v>6</v>
          </cell>
        </row>
        <row r="8092">
          <cell r="A8092" t="str">
            <v>1RE1H685Q3K20AP</v>
          </cell>
          <cell r="B8092">
            <v>142</v>
          </cell>
        </row>
        <row r="8093">
          <cell r="A8093" t="str">
            <v>1RE2H685Q3K20AP</v>
          </cell>
          <cell r="B8093">
            <v>308</v>
          </cell>
        </row>
        <row r="8094">
          <cell r="A8094" t="str">
            <v>1AE1ART003T20150</v>
          </cell>
          <cell r="B8094">
            <v>3</v>
          </cell>
        </row>
        <row r="8095">
          <cell r="A8095" t="str">
            <v>1CM1ART003T20150</v>
          </cell>
          <cell r="B8095">
            <v>66</v>
          </cell>
        </row>
        <row r="8096">
          <cell r="A8096" t="str">
            <v>1RE1ART003T20150</v>
          </cell>
          <cell r="B8096">
            <v>377</v>
          </cell>
        </row>
        <row r="8097">
          <cell r="A8097" t="str">
            <v>1RH1ART003T20150</v>
          </cell>
          <cell r="B8097">
            <v>18</v>
          </cell>
        </row>
        <row r="8098">
          <cell r="A8098" t="str">
            <v>1AE1H603L-3L10-PP2</v>
          </cell>
          <cell r="B8098">
            <v>159</v>
          </cell>
        </row>
        <row r="8099">
          <cell r="A8099" t="str">
            <v>1CM1H603L-3L10-PP2</v>
          </cell>
          <cell r="B8099">
            <v>438</v>
          </cell>
        </row>
        <row r="8100">
          <cell r="A8100" t="str">
            <v>1HT1H603L-3L10-PP2</v>
          </cell>
          <cell r="B8100">
            <v>22</v>
          </cell>
        </row>
        <row r="8101">
          <cell r="A8101" t="str">
            <v>1RE1A608T-3G6B</v>
          </cell>
          <cell r="B8101">
            <v>43</v>
          </cell>
        </row>
        <row r="8102">
          <cell r="A8102" t="str">
            <v>1RE1H605Q-3L10-PP2</v>
          </cell>
          <cell r="B8102">
            <v>92</v>
          </cell>
        </row>
        <row r="8103">
          <cell r="A8103" t="str">
            <v>1RE2H605Q-3L10-PP2</v>
          </cell>
          <cell r="B8103">
            <v>200</v>
          </cell>
        </row>
        <row r="8104">
          <cell r="A8104" t="str">
            <v>1RH1H603L-3L10-PP2</v>
          </cell>
          <cell r="B8104">
            <v>29</v>
          </cell>
        </row>
        <row r="8105">
          <cell r="A8105" t="str">
            <v>1TE1H603L-3L10-PP2</v>
          </cell>
          <cell r="B8105">
            <v>3</v>
          </cell>
        </row>
        <row r="8106">
          <cell r="A8106" t="str">
            <v>1AE1H683L3K20AP-T1</v>
          </cell>
          <cell r="B8106">
            <v>150</v>
          </cell>
        </row>
        <row r="8107">
          <cell r="A8107" t="str">
            <v>1CM1H683L3K20AP-T1</v>
          </cell>
          <cell r="B8107">
            <v>430</v>
          </cell>
        </row>
        <row r="8108">
          <cell r="A8108" t="str">
            <v>1HT1H683L3K20AP-T1</v>
          </cell>
          <cell r="B8108">
            <v>18</v>
          </cell>
        </row>
        <row r="8109">
          <cell r="A8109" t="str">
            <v>1RH1H683L3K20AP-T1</v>
          </cell>
          <cell r="B8109">
            <v>36</v>
          </cell>
        </row>
        <row r="8110">
          <cell r="A8110" t="str">
            <v>1TE1H683L3K20AP-T1</v>
          </cell>
          <cell r="B8110">
            <v>1</v>
          </cell>
        </row>
        <row r="8111">
          <cell r="A8111" t="str">
            <v>1CM1ARBPC1A12384</v>
          </cell>
          <cell r="B8111">
            <v>25</v>
          </cell>
        </row>
        <row r="8112">
          <cell r="A8112" t="str">
            <v>1RE1ARBPC1A12384</v>
          </cell>
          <cell r="B8112">
            <v>270</v>
          </cell>
        </row>
        <row r="8113">
          <cell r="A8113" t="str">
            <v>1RH1ARBPC1A12384</v>
          </cell>
          <cell r="B8113">
            <v>24</v>
          </cell>
        </row>
        <row r="8114">
          <cell r="A8114" t="str">
            <v>1AE1H603L-3L10</v>
          </cell>
          <cell r="B8114">
            <v>159</v>
          </cell>
        </row>
        <row r="8115">
          <cell r="A8115" t="str">
            <v>1AE1H683L3K20AP</v>
          </cell>
          <cell r="B8115">
            <v>150</v>
          </cell>
        </row>
        <row r="8116">
          <cell r="A8116" t="str">
            <v>1CM1H603L-3L10</v>
          </cell>
          <cell r="B8116">
            <v>438</v>
          </cell>
        </row>
        <row r="8117">
          <cell r="A8117" t="str">
            <v>1CM1H683L3K20AP</v>
          </cell>
          <cell r="B8117">
            <v>430</v>
          </cell>
        </row>
        <row r="8118">
          <cell r="A8118" t="str">
            <v>1HT1H603L-3L10</v>
          </cell>
          <cell r="B8118">
            <v>22</v>
          </cell>
        </row>
        <row r="8119">
          <cell r="A8119" t="str">
            <v>1HT1H683L3K20AP</v>
          </cell>
          <cell r="B8119">
            <v>18</v>
          </cell>
        </row>
        <row r="8120">
          <cell r="A8120" t="str">
            <v>1RE1H605Q-3L10</v>
          </cell>
          <cell r="B8120">
            <v>93</v>
          </cell>
        </row>
        <row r="8121">
          <cell r="A8121" t="str">
            <v>1RE2H605Q-3L10</v>
          </cell>
          <cell r="B8121">
            <v>200</v>
          </cell>
        </row>
        <row r="8122">
          <cell r="A8122" t="str">
            <v>1RH1H603L-3L10</v>
          </cell>
          <cell r="B8122">
            <v>29</v>
          </cell>
        </row>
        <row r="8123">
          <cell r="A8123" t="str">
            <v>1RH1H683L3K20AP</v>
          </cell>
          <cell r="B8123">
            <v>36</v>
          </cell>
        </row>
        <row r="8124">
          <cell r="A8124" t="str">
            <v>1TE1H603L-3L10</v>
          </cell>
          <cell r="B8124">
            <v>3</v>
          </cell>
        </row>
        <row r="8125">
          <cell r="A8125" t="str">
            <v>1TE1H683L3K20AP</v>
          </cell>
          <cell r="B8125">
            <v>1</v>
          </cell>
        </row>
        <row r="8126">
          <cell r="A8126" t="str">
            <v>1AE1ARBPC1A03751</v>
          </cell>
          <cell r="B8126">
            <v>55</v>
          </cell>
        </row>
        <row r="8127">
          <cell r="A8127" t="str">
            <v>1CM1ARBPC1A03751</v>
          </cell>
          <cell r="B8127">
            <v>275</v>
          </cell>
        </row>
        <row r="8128">
          <cell r="A8128" t="str">
            <v>1RH1ARBPC1A03751</v>
          </cell>
          <cell r="B8128">
            <v>11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90"/>
  <sheetViews>
    <sheetView tabSelected="1" view="pageBreakPreview" zoomScale="80" zoomScaleNormal="80" zoomScaleSheetLayoutView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Q6" sqref="Q6"/>
    </sheetView>
  </sheetViews>
  <sheetFormatPr defaultRowHeight="47.25" customHeight="1" x14ac:dyDescent="0.3"/>
  <cols>
    <col min="1" max="1" width="12" style="1" customWidth="1"/>
    <col min="2" max="2" width="20.85546875" style="66" customWidth="1"/>
    <col min="3" max="4" width="11.28515625" style="1" customWidth="1"/>
    <col min="5" max="5" width="6.5703125" style="51" customWidth="1"/>
    <col min="6" max="6" width="6.5703125" style="7" customWidth="1"/>
    <col min="7" max="7" width="10" style="1" customWidth="1"/>
    <col min="8" max="8" width="17" style="63" customWidth="1"/>
    <col min="9" max="9" width="22.85546875" style="3" bestFit="1" customWidth="1"/>
    <col min="10" max="10" width="22.140625" style="1" bestFit="1" customWidth="1"/>
    <col min="11" max="11" width="40.5703125" style="63" customWidth="1"/>
    <col min="12" max="12" width="12.28515625" style="1" bestFit="1" customWidth="1"/>
    <col min="13" max="13" width="9" style="10" customWidth="1"/>
    <col min="14" max="14" width="10.5703125" style="6" customWidth="1"/>
    <col min="15" max="15" width="11.28515625" style="52" customWidth="1"/>
    <col min="16" max="16" width="12.7109375" style="2" customWidth="1"/>
    <col min="17" max="18" width="7.85546875" style="23" customWidth="1"/>
    <col min="19" max="19" width="7.85546875" style="24" customWidth="1"/>
    <col min="20" max="20" width="7.85546875" style="4" customWidth="1"/>
    <col min="21" max="21" width="11.7109375" style="5" customWidth="1"/>
    <col min="22" max="22" width="22.7109375" style="5" customWidth="1"/>
    <col min="23" max="23" width="9.28515625" style="9" customWidth="1"/>
    <col min="24" max="24" width="12.140625" style="1" bestFit="1" customWidth="1"/>
    <col min="25" max="25" width="13.140625" style="1" customWidth="1"/>
    <col min="26" max="44" width="18.7109375" style="1" customWidth="1"/>
    <col min="45" max="45" width="18.7109375" style="48" customWidth="1"/>
    <col min="46" max="46" width="12.28515625" style="1" customWidth="1"/>
    <col min="47" max="50" width="10" style="1" customWidth="1"/>
    <col min="51" max="52" width="12.28515625" style="1" customWidth="1"/>
    <col min="53" max="53" width="12.28515625" style="48" customWidth="1"/>
    <col min="54" max="66" width="12.28515625" style="1" customWidth="1"/>
    <col min="67" max="16384" width="9.140625" style="1"/>
  </cols>
  <sheetData>
    <row r="1" spans="1:53" s="26" customFormat="1" ht="39" customHeight="1" thickBot="1" x14ac:dyDescent="0.65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43"/>
      <c r="Y1" s="26" t="s">
        <v>52</v>
      </c>
      <c r="Z1" s="7" t="s">
        <v>45</v>
      </c>
      <c r="AA1" s="7" t="s">
        <v>45</v>
      </c>
      <c r="AB1" s="26">
        <v>2210</v>
      </c>
      <c r="AC1" s="26" t="s">
        <v>40</v>
      </c>
      <c r="AD1" s="26" t="s">
        <v>41</v>
      </c>
      <c r="AE1" s="26" t="s">
        <v>40</v>
      </c>
      <c r="AH1" s="7" t="s">
        <v>37</v>
      </c>
      <c r="AI1" s="26">
        <v>311</v>
      </c>
      <c r="AJ1" s="26" t="s">
        <v>42</v>
      </c>
      <c r="AK1" s="26" t="s">
        <v>43</v>
      </c>
      <c r="AL1" s="26" t="s">
        <v>41</v>
      </c>
      <c r="AS1" s="46"/>
      <c r="AY1" s="26" t="s">
        <v>51</v>
      </c>
      <c r="BA1" s="46"/>
    </row>
    <row r="2" spans="1:53" s="32" customFormat="1" ht="34.5" customHeight="1" thickTop="1" thickBot="1" x14ac:dyDescent="0.45">
      <c r="A2" s="45" t="s">
        <v>1</v>
      </c>
      <c r="B2" s="82"/>
      <c r="C2" s="82"/>
      <c r="D2" s="82"/>
      <c r="E2" s="82"/>
      <c r="F2" s="82"/>
      <c r="G2" s="82"/>
      <c r="H2" s="64"/>
      <c r="I2" s="73"/>
      <c r="J2" s="27"/>
      <c r="K2" s="27"/>
      <c r="L2" s="27"/>
      <c r="M2" s="30"/>
      <c r="N2" s="30"/>
      <c r="O2" s="30"/>
      <c r="P2" s="30"/>
      <c r="Q2" s="30"/>
      <c r="R2" s="30"/>
      <c r="S2" s="31"/>
      <c r="T2" s="29"/>
      <c r="U2" s="61"/>
      <c r="V2" s="29"/>
      <c r="W2" s="28"/>
      <c r="Y2" s="32" t="s">
        <v>49</v>
      </c>
      <c r="Z2" s="7" t="s">
        <v>45</v>
      </c>
      <c r="AA2" s="74" t="s">
        <v>66</v>
      </c>
      <c r="AB2" s="26">
        <v>2210</v>
      </c>
      <c r="AF2" s="7" t="s">
        <v>38</v>
      </c>
      <c r="AG2" s="7" t="s">
        <v>39</v>
      </c>
      <c r="AH2" s="7" t="s">
        <v>48</v>
      </c>
      <c r="AJ2" s="32">
        <v>2210</v>
      </c>
      <c r="AK2" s="32">
        <v>2220</v>
      </c>
      <c r="AM2" s="7" t="s">
        <v>38</v>
      </c>
      <c r="AN2" s="7" t="s">
        <v>39</v>
      </c>
      <c r="AO2" s="7"/>
      <c r="AS2" s="47"/>
      <c r="AY2" s="32" t="s">
        <v>53</v>
      </c>
      <c r="AZ2" s="26"/>
      <c r="BA2" s="46"/>
    </row>
    <row r="3" spans="1:53" s="32" customFormat="1" ht="30" customHeight="1" thickTop="1" thickBot="1" x14ac:dyDescent="0.35">
      <c r="A3" s="44">
        <v>46023</v>
      </c>
      <c r="B3" s="83"/>
      <c r="C3" s="84"/>
      <c r="D3" s="84"/>
      <c r="E3" s="84"/>
      <c r="F3" s="84"/>
      <c r="G3" s="84"/>
      <c r="H3" s="27"/>
      <c r="I3" s="27"/>
      <c r="J3" s="27"/>
      <c r="K3" s="27"/>
      <c r="L3" s="27"/>
      <c r="M3" s="27"/>
      <c r="N3" s="27"/>
      <c r="O3" s="33"/>
      <c r="Q3" s="34"/>
      <c r="R3" s="34"/>
      <c r="S3" s="35"/>
      <c r="T3" s="36"/>
      <c r="U3" s="37"/>
      <c r="V3" s="37"/>
      <c r="W3" s="37"/>
      <c r="Z3" s="38"/>
      <c r="AA3" s="38"/>
      <c r="AB3" s="38"/>
      <c r="AC3" s="38"/>
      <c r="AD3" s="38"/>
      <c r="AE3" s="38"/>
      <c r="AF3" s="38" t="s">
        <v>55</v>
      </c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49"/>
      <c r="AY3" s="32" t="s">
        <v>54</v>
      </c>
      <c r="BA3" s="47"/>
    </row>
    <row r="4" spans="1:53" s="29" customFormat="1" ht="37.5" customHeight="1" thickTop="1" x14ac:dyDescent="0.25">
      <c r="A4" s="85" t="s">
        <v>2</v>
      </c>
      <c r="B4" s="86" t="s">
        <v>9</v>
      </c>
      <c r="C4" s="87" t="s">
        <v>67</v>
      </c>
      <c r="D4" s="88" t="s">
        <v>68</v>
      </c>
      <c r="E4" s="50" t="s">
        <v>58</v>
      </c>
      <c r="F4" s="53" t="s">
        <v>59</v>
      </c>
      <c r="G4" s="99" t="s">
        <v>3</v>
      </c>
      <c r="H4" s="89" t="s">
        <v>4</v>
      </c>
      <c r="I4" s="89" t="s">
        <v>69</v>
      </c>
      <c r="J4" s="40" t="s">
        <v>11</v>
      </c>
      <c r="K4" s="90" t="s">
        <v>5</v>
      </c>
      <c r="L4" s="13" t="s">
        <v>6</v>
      </c>
      <c r="M4" s="13" t="s">
        <v>8</v>
      </c>
      <c r="N4" s="8" t="s">
        <v>16</v>
      </c>
      <c r="O4" s="91" t="s">
        <v>7</v>
      </c>
      <c r="P4" s="13" t="s">
        <v>12</v>
      </c>
      <c r="Q4" s="58" t="s">
        <v>70</v>
      </c>
      <c r="R4" s="58" t="s">
        <v>71</v>
      </c>
      <c r="S4" s="58" t="s">
        <v>72</v>
      </c>
      <c r="T4" s="39" t="s">
        <v>60</v>
      </c>
      <c r="U4" s="39" t="s">
        <v>13</v>
      </c>
      <c r="V4" s="41" t="s">
        <v>10</v>
      </c>
      <c r="W4" s="42" t="s">
        <v>61</v>
      </c>
      <c r="X4" s="29" t="s">
        <v>1</v>
      </c>
      <c r="Y4" s="29" t="s">
        <v>44</v>
      </c>
      <c r="Z4" s="54" t="s">
        <v>22</v>
      </c>
      <c r="AA4" s="54" t="s">
        <v>23</v>
      </c>
      <c r="AB4" s="55" t="s">
        <v>24</v>
      </c>
      <c r="AC4" s="55" t="s">
        <v>25</v>
      </c>
      <c r="AD4" s="54" t="s">
        <v>26</v>
      </c>
      <c r="AE4" s="54" t="s">
        <v>27</v>
      </c>
      <c r="AF4" s="54" t="s">
        <v>28</v>
      </c>
      <c r="AG4" s="54" t="s">
        <v>29</v>
      </c>
      <c r="AH4" s="54" t="s">
        <v>30</v>
      </c>
      <c r="AI4" s="55" t="s">
        <v>31</v>
      </c>
      <c r="AJ4" s="55" t="s">
        <v>32</v>
      </c>
      <c r="AK4" s="55" t="s">
        <v>33</v>
      </c>
      <c r="AL4" s="54" t="s">
        <v>34</v>
      </c>
      <c r="AM4" s="54" t="s">
        <v>35</v>
      </c>
      <c r="AN4" s="54" t="s">
        <v>36</v>
      </c>
      <c r="AO4" s="54" t="s">
        <v>46</v>
      </c>
      <c r="AP4" s="54" t="s">
        <v>47</v>
      </c>
      <c r="AQ4" s="54" t="s">
        <v>65</v>
      </c>
      <c r="AR4" s="54" t="s">
        <v>56</v>
      </c>
      <c r="AS4" s="56" t="s">
        <v>57</v>
      </c>
      <c r="AT4" s="29" t="s">
        <v>14</v>
      </c>
      <c r="AU4" s="29" t="s">
        <v>62</v>
      </c>
      <c r="AW4" s="29" t="s">
        <v>15</v>
      </c>
      <c r="AX4" s="29" t="s">
        <v>17</v>
      </c>
      <c r="AY4" s="29" t="s">
        <v>50</v>
      </c>
      <c r="BA4" s="57"/>
    </row>
    <row r="5" spans="1:53" s="6" customFormat="1" ht="198.75" customHeight="1" x14ac:dyDescent="0.2">
      <c r="A5" s="98" t="s">
        <v>78</v>
      </c>
      <c r="B5" s="98" t="s">
        <v>78</v>
      </c>
      <c r="C5" s="98" t="s">
        <v>78</v>
      </c>
      <c r="D5" s="98" t="s">
        <v>78</v>
      </c>
      <c r="E5" s="105" t="s">
        <v>77</v>
      </c>
      <c r="F5" s="105" t="s">
        <v>76</v>
      </c>
      <c r="G5" s="98" t="s">
        <v>78</v>
      </c>
      <c r="H5" s="98" t="s">
        <v>78</v>
      </c>
      <c r="I5" s="98" t="s">
        <v>78</v>
      </c>
      <c r="J5" s="100" t="s">
        <v>79</v>
      </c>
      <c r="K5" s="98" t="s">
        <v>78</v>
      </c>
      <c r="L5" s="102" t="s">
        <v>80</v>
      </c>
      <c r="M5" s="102" t="s">
        <v>74</v>
      </c>
      <c r="N5" s="103" t="s">
        <v>81</v>
      </c>
      <c r="O5" s="98" t="s">
        <v>78</v>
      </c>
      <c r="P5" s="104" t="s">
        <v>75</v>
      </c>
      <c r="Q5" s="93"/>
      <c r="R5" s="94"/>
      <c r="S5" s="92"/>
      <c r="T5" s="95"/>
      <c r="U5" s="96"/>
      <c r="V5" s="101" t="s">
        <v>82</v>
      </c>
      <c r="W5" s="97"/>
      <c r="X5" s="6" t="s">
        <v>73</v>
      </c>
      <c r="Y5" s="78" t="e">
        <f>VLOOKUP(V5,[1]IOT!$A:$B,2,0)</f>
        <v>#N/A</v>
      </c>
      <c r="Z5" s="78">
        <f>IF(ISNA(VLOOKUP(K5,[2]Sheet1!$A:$B,2,0)),0,(VLOOKUP(K5,[2]Sheet1!$A:$B,2,0)))</f>
        <v>0</v>
      </c>
      <c r="AA5" s="78">
        <f t="shared" ref="AA5:AA6" si="0">IF(ISNA(VLOOKUP(Y5,$Y$1:$Z$2,2,0)),0,(VLOOKUP(Y5,$Y$1:$Z$2,2,0)))</f>
        <v>0</v>
      </c>
      <c r="AB5" s="78" t="e">
        <f>VLOOKUP(K5,[1]IOT!$A:$E,5,0)</f>
        <v>#N/A</v>
      </c>
      <c r="AC5" s="78"/>
      <c r="AD5" s="78" t="e">
        <f>VLOOKUP(K5,[1]IOT!$A:$F,6,0)</f>
        <v>#N/A</v>
      </c>
      <c r="AE5" s="78"/>
      <c r="AF5" s="78"/>
      <c r="AG5" s="78"/>
      <c r="AH5" s="78" t="e">
        <f>VLOOKUP(K5,[1]IOT!$A:$G,7,0)</f>
        <v>#N/A</v>
      </c>
      <c r="AI5" s="78" t="e">
        <f>VLOOKUP(K5,[1]IOT!$A:$H,8,0)</f>
        <v>#N/A</v>
      </c>
      <c r="AJ5" s="78" t="e">
        <f>VLOOKUP(K5,[1]IOT!$A:$I,9,0)</f>
        <v>#N/A</v>
      </c>
      <c r="AK5" s="78" t="e">
        <f>VLOOKUP(K5,[1]IOT!$A:$J,10,0)</f>
        <v>#N/A</v>
      </c>
      <c r="AL5" s="78" t="e">
        <f>VLOOKUP(K5,[1]IOT!$A:$K,11,0)</f>
        <v>#N/A</v>
      </c>
      <c r="AM5" s="78"/>
      <c r="AN5" s="78"/>
      <c r="AO5" s="79" t="str">
        <f t="shared" ref="AO5:AO6" si="1">C5</f>
        <v>Copy theo cột
 LAL từ Joy ra</v>
      </c>
      <c r="AP5" s="80" t="str">
        <f t="shared" ref="AP5:AP6" si="2">M5</f>
        <v>- Vlookup từ file PT gửi theo line và Item</v>
      </c>
      <c r="AQ5" s="77"/>
      <c r="AR5" s="6" t="str">
        <f t="shared" ref="AR5:AR6" si="3">B5&amp;K5</f>
        <v>Copy theo cột
 LAL từ Joy raCopy theo cột
 LAL từ Joy ra</v>
      </c>
    </row>
    <row r="6" spans="1:53" s="6" customFormat="1" ht="47.25" customHeight="1" x14ac:dyDescent="0.35">
      <c r="A6" s="71"/>
      <c r="B6" s="68"/>
      <c r="C6" s="25"/>
      <c r="D6" s="25"/>
      <c r="E6" s="67" t="str">
        <f t="shared" ref="E5:E6" si="4">IF(ISBLANK(AS6),"",AS6/24)</f>
        <v/>
      </c>
      <c r="F6" s="62"/>
      <c r="G6" s="14"/>
      <c r="H6" s="65"/>
      <c r="I6" s="70"/>
      <c r="J6" s="14"/>
      <c r="K6" s="69"/>
      <c r="L6" s="15"/>
      <c r="M6" s="16"/>
      <c r="N6" s="17"/>
      <c r="O6" s="72"/>
      <c r="P6" s="18"/>
      <c r="Q6" s="60"/>
      <c r="R6" s="19"/>
      <c r="S6" s="18"/>
      <c r="T6" s="75"/>
      <c r="U6" s="20"/>
      <c r="V6" s="21"/>
      <c r="W6" s="22"/>
      <c r="Y6" s="78" t="e">
        <f>VLOOKUP(V6,[1]IOT!$A:$B,2,0)</f>
        <v>#N/A</v>
      </c>
      <c r="Z6" s="78">
        <f>IF(ISNA(VLOOKUP(K6,[2]Sheet1!$A:$B,2,0)),0,(VLOOKUP(K6,[2]Sheet1!$A:$B,2,0)))</f>
        <v>0</v>
      </c>
      <c r="AA6" s="78">
        <f t="shared" si="0"/>
        <v>0</v>
      </c>
      <c r="AB6" s="78" t="e">
        <f>VLOOKUP(K6,[1]IOT!$A:$E,5,0)</f>
        <v>#N/A</v>
      </c>
      <c r="AC6" s="78"/>
      <c r="AD6" s="78" t="e">
        <f>VLOOKUP(K6,[1]IOT!$A:$F,6,0)</f>
        <v>#N/A</v>
      </c>
      <c r="AE6" s="78"/>
      <c r="AF6" s="78"/>
      <c r="AG6" s="78"/>
      <c r="AH6" s="78" t="e">
        <f>VLOOKUP(K6,[1]IOT!$A:$G,7,0)</f>
        <v>#N/A</v>
      </c>
      <c r="AI6" s="78" t="e">
        <f>VLOOKUP(K6,[1]IOT!$A:$H,8,0)</f>
        <v>#N/A</v>
      </c>
      <c r="AJ6" s="78" t="e">
        <f>VLOOKUP(K6,[1]IOT!$A:$I,9,0)</f>
        <v>#N/A</v>
      </c>
      <c r="AK6" s="78" t="e">
        <f>VLOOKUP(K6,[1]IOT!$A:$J,10,0)</f>
        <v>#N/A</v>
      </c>
      <c r="AL6" s="78" t="e">
        <f>VLOOKUP(K6,[1]IOT!$A:$K,11,0)</f>
        <v>#N/A</v>
      </c>
      <c r="AM6" s="78"/>
      <c r="AN6" s="78"/>
      <c r="AO6" s="79">
        <f t="shared" si="1"/>
        <v>0</v>
      </c>
      <c r="AP6" s="80">
        <f t="shared" si="2"/>
        <v>0</v>
      </c>
      <c r="AQ6" s="77"/>
      <c r="AR6" s="6" t="str">
        <f t="shared" si="3"/>
        <v/>
      </c>
    </row>
    <row r="7" spans="1:53" s="6" customFormat="1" ht="47.25" customHeight="1" x14ac:dyDescent="0.35">
      <c r="A7" s="71"/>
      <c r="B7" s="68"/>
      <c r="C7" s="25"/>
      <c r="D7" s="25"/>
      <c r="E7" s="67" t="str">
        <f t="shared" ref="E7:E16" si="5">IF(ISBLANK(AS7),"",AS7/24)</f>
        <v/>
      </c>
      <c r="F7" s="62"/>
      <c r="G7" s="14"/>
      <c r="H7" s="65"/>
      <c r="I7" s="70"/>
      <c r="J7" s="14"/>
      <c r="K7" s="69"/>
      <c r="L7" s="15"/>
      <c r="M7" s="16"/>
      <c r="N7" s="17"/>
      <c r="O7" s="72"/>
      <c r="P7" s="18"/>
      <c r="Q7" s="60"/>
      <c r="R7" s="19"/>
      <c r="S7" s="18"/>
      <c r="T7" s="75"/>
      <c r="U7" s="20"/>
      <c r="V7" s="21"/>
      <c r="W7" s="22"/>
      <c r="Y7" s="78" t="e">
        <f>VLOOKUP(V7,[1]IOT!$A:$B,2,0)</f>
        <v>#N/A</v>
      </c>
      <c r="Z7" s="78">
        <f>IF(ISNA(VLOOKUP(K7,[2]Sheet1!$A:$B,2,0)),0,(VLOOKUP(K7,[2]Sheet1!$A:$B,2,0)))</f>
        <v>0</v>
      </c>
      <c r="AA7" s="78">
        <f t="shared" ref="AA7:AA16" si="6">IF(ISNA(VLOOKUP(Y7,$Y$1:$Z$2,2,0)),0,(VLOOKUP(Y7,$Y$1:$Z$2,2,0)))</f>
        <v>0</v>
      </c>
      <c r="AB7" s="78" t="e">
        <f>VLOOKUP(K7,[1]IOT!$A:$E,5,0)</f>
        <v>#N/A</v>
      </c>
      <c r="AC7" s="78"/>
      <c r="AD7" s="78" t="e">
        <f>VLOOKUP(K7,[1]IOT!$A:$F,6,0)</f>
        <v>#N/A</v>
      </c>
      <c r="AE7" s="78"/>
      <c r="AF7" s="78"/>
      <c r="AG7" s="78"/>
      <c r="AH7" s="78" t="e">
        <f>VLOOKUP(K7,[1]IOT!$A:$G,7,0)</f>
        <v>#N/A</v>
      </c>
      <c r="AI7" s="78" t="e">
        <f>VLOOKUP(K7,[1]IOT!$A:$H,8,0)</f>
        <v>#N/A</v>
      </c>
      <c r="AJ7" s="78" t="e">
        <f>VLOOKUP(K7,[1]IOT!$A:$I,9,0)</f>
        <v>#N/A</v>
      </c>
      <c r="AK7" s="78" t="e">
        <f>VLOOKUP(K7,[1]IOT!$A:$J,10,0)</f>
        <v>#N/A</v>
      </c>
      <c r="AL7" s="78" t="e">
        <f>VLOOKUP(K7,[1]IOT!$A:$K,11,0)</f>
        <v>#N/A</v>
      </c>
      <c r="AM7" s="78"/>
      <c r="AN7" s="78"/>
      <c r="AO7" s="79">
        <f t="shared" ref="AO7:AO16" si="7">C7</f>
        <v>0</v>
      </c>
      <c r="AP7" s="80">
        <f t="shared" ref="AP7:AP16" si="8">M7</f>
        <v>0</v>
      </c>
      <c r="AQ7" s="77"/>
      <c r="AR7" s="6" t="str">
        <f t="shared" ref="AR7:AR16" si="9">B7&amp;K7</f>
        <v/>
      </c>
    </row>
    <row r="8" spans="1:53" s="6" customFormat="1" ht="47.25" customHeight="1" x14ac:dyDescent="0.35">
      <c r="A8" s="71"/>
      <c r="B8" s="68"/>
      <c r="C8" s="25"/>
      <c r="D8" s="25"/>
      <c r="E8" s="67" t="str">
        <f t="shared" si="5"/>
        <v/>
      </c>
      <c r="F8" s="62"/>
      <c r="G8" s="14"/>
      <c r="H8" s="65"/>
      <c r="I8" s="70"/>
      <c r="J8" s="14"/>
      <c r="K8" s="69"/>
      <c r="L8" s="15"/>
      <c r="M8" s="16"/>
      <c r="N8" s="17"/>
      <c r="O8" s="72"/>
      <c r="P8" s="18"/>
      <c r="Q8" s="60"/>
      <c r="R8" s="19"/>
      <c r="S8" s="18"/>
      <c r="T8" s="75"/>
      <c r="U8" s="20"/>
      <c r="V8" s="21"/>
      <c r="W8" s="22"/>
      <c r="Y8" s="78" t="e">
        <f>VLOOKUP(V8,[1]IOT!$A:$B,2,0)</f>
        <v>#N/A</v>
      </c>
      <c r="Z8" s="78">
        <f>IF(ISNA(VLOOKUP(K8,[2]Sheet1!$A:$B,2,0)),0,(VLOOKUP(K8,[2]Sheet1!$A:$B,2,0)))</f>
        <v>0</v>
      </c>
      <c r="AA8" s="78">
        <f t="shared" si="6"/>
        <v>0</v>
      </c>
      <c r="AB8" s="78" t="e">
        <f>VLOOKUP(K8,[1]IOT!$A:$E,5,0)</f>
        <v>#N/A</v>
      </c>
      <c r="AC8" s="78"/>
      <c r="AD8" s="78" t="e">
        <f>VLOOKUP(K8,[1]IOT!$A:$F,6,0)</f>
        <v>#N/A</v>
      </c>
      <c r="AE8" s="78"/>
      <c r="AF8" s="78"/>
      <c r="AG8" s="78"/>
      <c r="AH8" s="78" t="e">
        <f>VLOOKUP(K8,[1]IOT!$A:$G,7,0)</f>
        <v>#N/A</v>
      </c>
      <c r="AI8" s="78" t="e">
        <f>VLOOKUP(K8,[1]IOT!$A:$H,8,0)</f>
        <v>#N/A</v>
      </c>
      <c r="AJ8" s="78" t="e">
        <f>VLOOKUP(K8,[1]IOT!$A:$I,9,0)</f>
        <v>#N/A</v>
      </c>
      <c r="AK8" s="78" t="e">
        <f>VLOOKUP(K8,[1]IOT!$A:$J,10,0)</f>
        <v>#N/A</v>
      </c>
      <c r="AL8" s="78" t="e">
        <f>VLOOKUP(K8,[1]IOT!$A:$K,11,0)</f>
        <v>#N/A</v>
      </c>
      <c r="AM8" s="78"/>
      <c r="AN8" s="78"/>
      <c r="AO8" s="79">
        <f t="shared" si="7"/>
        <v>0</v>
      </c>
      <c r="AP8" s="80">
        <f t="shared" si="8"/>
        <v>0</v>
      </c>
      <c r="AQ8" s="77"/>
      <c r="AR8" s="6" t="str">
        <f t="shared" si="9"/>
        <v/>
      </c>
    </row>
    <row r="9" spans="1:53" s="6" customFormat="1" ht="47.25" customHeight="1" x14ac:dyDescent="0.35">
      <c r="A9" s="71"/>
      <c r="B9" s="68"/>
      <c r="C9" s="25"/>
      <c r="D9" s="25"/>
      <c r="E9" s="67" t="str">
        <f t="shared" si="5"/>
        <v/>
      </c>
      <c r="F9" s="62"/>
      <c r="G9" s="14"/>
      <c r="H9" s="65"/>
      <c r="I9" s="70"/>
      <c r="J9" s="14"/>
      <c r="K9" s="69"/>
      <c r="L9" s="15"/>
      <c r="M9" s="16"/>
      <c r="N9" s="17"/>
      <c r="O9" s="72"/>
      <c r="P9" s="18"/>
      <c r="Q9" s="60"/>
      <c r="R9" s="19"/>
      <c r="S9" s="18"/>
      <c r="T9" s="75"/>
      <c r="U9" s="20"/>
      <c r="V9" s="21"/>
      <c r="W9" s="22"/>
      <c r="Y9" s="78" t="e">
        <f>VLOOKUP(V9,[1]IOT!$A:$B,2,0)</f>
        <v>#N/A</v>
      </c>
      <c r="Z9" s="78">
        <f>IF(ISNA(VLOOKUP(K9,[2]Sheet1!$A:$B,2,0)),0,(VLOOKUP(K9,[2]Sheet1!$A:$B,2,0)))</f>
        <v>0</v>
      </c>
      <c r="AA9" s="78">
        <f t="shared" si="6"/>
        <v>0</v>
      </c>
      <c r="AB9" s="78" t="e">
        <f>VLOOKUP(K9,[1]IOT!$A:$E,5,0)</f>
        <v>#N/A</v>
      </c>
      <c r="AC9" s="78"/>
      <c r="AD9" s="78" t="e">
        <f>VLOOKUP(K9,[1]IOT!$A:$F,6,0)</f>
        <v>#N/A</v>
      </c>
      <c r="AE9" s="78"/>
      <c r="AF9" s="78"/>
      <c r="AG9" s="78"/>
      <c r="AH9" s="78" t="e">
        <f>VLOOKUP(K9,[1]IOT!$A:$G,7,0)</f>
        <v>#N/A</v>
      </c>
      <c r="AI9" s="78" t="e">
        <f>VLOOKUP(K9,[1]IOT!$A:$H,8,0)</f>
        <v>#N/A</v>
      </c>
      <c r="AJ9" s="78" t="e">
        <f>VLOOKUP(K9,[1]IOT!$A:$I,9,0)</f>
        <v>#N/A</v>
      </c>
      <c r="AK9" s="78" t="e">
        <f>VLOOKUP(K9,[1]IOT!$A:$J,10,0)</f>
        <v>#N/A</v>
      </c>
      <c r="AL9" s="78" t="e">
        <f>VLOOKUP(K9,[1]IOT!$A:$K,11,0)</f>
        <v>#N/A</v>
      </c>
      <c r="AM9" s="78"/>
      <c r="AN9" s="78"/>
      <c r="AO9" s="79">
        <f t="shared" si="7"/>
        <v>0</v>
      </c>
      <c r="AP9" s="80">
        <f t="shared" si="8"/>
        <v>0</v>
      </c>
      <c r="AQ9" s="77"/>
      <c r="AR9" s="6" t="str">
        <f t="shared" si="9"/>
        <v/>
      </c>
    </row>
    <row r="10" spans="1:53" s="6" customFormat="1" ht="47.25" customHeight="1" x14ac:dyDescent="0.35">
      <c r="A10" s="71"/>
      <c r="B10" s="68"/>
      <c r="C10" s="25"/>
      <c r="D10" s="25"/>
      <c r="E10" s="67" t="str">
        <f t="shared" si="5"/>
        <v/>
      </c>
      <c r="F10" s="62"/>
      <c r="G10" s="14"/>
      <c r="H10" s="65"/>
      <c r="I10" s="70"/>
      <c r="J10" s="14"/>
      <c r="K10" s="69"/>
      <c r="L10" s="15"/>
      <c r="M10" s="16"/>
      <c r="N10" s="17"/>
      <c r="O10" s="72"/>
      <c r="P10" s="18"/>
      <c r="Q10" s="60"/>
      <c r="R10" s="19"/>
      <c r="S10" s="18"/>
      <c r="T10" s="75"/>
      <c r="U10" s="20"/>
      <c r="V10" s="21"/>
      <c r="W10" s="22"/>
      <c r="Y10" s="78" t="e">
        <f>VLOOKUP(V10,[1]IOT!$A:$B,2,0)</f>
        <v>#N/A</v>
      </c>
      <c r="Z10" s="78">
        <f>IF(ISNA(VLOOKUP(K10,[2]Sheet1!$A:$B,2,0)),0,(VLOOKUP(K10,[2]Sheet1!$A:$B,2,0)))</f>
        <v>0</v>
      </c>
      <c r="AA10" s="78">
        <f t="shared" si="6"/>
        <v>0</v>
      </c>
      <c r="AB10" s="78" t="e">
        <f>VLOOKUP(K10,[1]IOT!$A:$E,5,0)</f>
        <v>#N/A</v>
      </c>
      <c r="AC10" s="78"/>
      <c r="AD10" s="78" t="e">
        <f>VLOOKUP(K10,[1]IOT!$A:$F,6,0)</f>
        <v>#N/A</v>
      </c>
      <c r="AE10" s="78"/>
      <c r="AF10" s="78"/>
      <c r="AG10" s="78"/>
      <c r="AH10" s="78" t="e">
        <f>VLOOKUP(K10,[1]IOT!$A:$G,7,0)</f>
        <v>#N/A</v>
      </c>
      <c r="AI10" s="78" t="e">
        <f>VLOOKUP(K10,[1]IOT!$A:$H,8,0)</f>
        <v>#N/A</v>
      </c>
      <c r="AJ10" s="78" t="e">
        <f>VLOOKUP(K10,[1]IOT!$A:$I,9,0)</f>
        <v>#N/A</v>
      </c>
      <c r="AK10" s="78" t="e">
        <f>VLOOKUP(K10,[1]IOT!$A:$J,10,0)</f>
        <v>#N/A</v>
      </c>
      <c r="AL10" s="78" t="e">
        <f>VLOOKUP(K10,[1]IOT!$A:$K,11,0)</f>
        <v>#N/A</v>
      </c>
      <c r="AM10" s="78"/>
      <c r="AN10" s="78"/>
      <c r="AO10" s="79">
        <f t="shared" si="7"/>
        <v>0</v>
      </c>
      <c r="AP10" s="80">
        <f t="shared" si="8"/>
        <v>0</v>
      </c>
      <c r="AQ10" s="77"/>
      <c r="AR10" s="6" t="str">
        <f t="shared" si="9"/>
        <v/>
      </c>
    </row>
    <row r="11" spans="1:53" s="6" customFormat="1" ht="47.25" customHeight="1" x14ac:dyDescent="0.35">
      <c r="A11" s="71"/>
      <c r="B11" s="68"/>
      <c r="C11" s="25"/>
      <c r="D11" s="25"/>
      <c r="E11" s="67" t="str">
        <f t="shared" si="5"/>
        <v/>
      </c>
      <c r="F11" s="62"/>
      <c r="G11" s="14"/>
      <c r="H11" s="65"/>
      <c r="I11" s="70"/>
      <c r="J11" s="14"/>
      <c r="K11" s="69"/>
      <c r="L11" s="15"/>
      <c r="M11" s="16"/>
      <c r="N11" s="17"/>
      <c r="O11" s="72"/>
      <c r="P11" s="18"/>
      <c r="Q11" s="60"/>
      <c r="R11" s="19"/>
      <c r="S11" s="18"/>
      <c r="T11" s="75"/>
      <c r="U11" s="20"/>
      <c r="V11" s="21"/>
      <c r="W11" s="22"/>
      <c r="Y11" s="78" t="e">
        <f>VLOOKUP(V11,[1]IOT!$A:$B,2,0)</f>
        <v>#N/A</v>
      </c>
      <c r="Z11" s="78">
        <f>IF(ISNA(VLOOKUP(K11,[2]Sheet1!$A:$B,2,0)),0,(VLOOKUP(K11,[2]Sheet1!$A:$B,2,0)))</f>
        <v>0</v>
      </c>
      <c r="AA11" s="78">
        <f t="shared" si="6"/>
        <v>0</v>
      </c>
      <c r="AB11" s="78" t="e">
        <f>VLOOKUP(K11,[1]IOT!$A:$E,5,0)</f>
        <v>#N/A</v>
      </c>
      <c r="AC11" s="78"/>
      <c r="AD11" s="78" t="e">
        <f>VLOOKUP(K11,[1]IOT!$A:$F,6,0)</f>
        <v>#N/A</v>
      </c>
      <c r="AE11" s="78"/>
      <c r="AF11" s="78"/>
      <c r="AG11" s="78"/>
      <c r="AH11" s="78" t="e">
        <f>VLOOKUP(K11,[1]IOT!$A:$G,7,0)</f>
        <v>#N/A</v>
      </c>
      <c r="AI11" s="78" t="e">
        <f>VLOOKUP(K11,[1]IOT!$A:$H,8,0)</f>
        <v>#N/A</v>
      </c>
      <c r="AJ11" s="78" t="e">
        <f>VLOOKUP(K11,[1]IOT!$A:$I,9,0)</f>
        <v>#N/A</v>
      </c>
      <c r="AK11" s="78" t="e">
        <f>VLOOKUP(K11,[1]IOT!$A:$J,10,0)</f>
        <v>#N/A</v>
      </c>
      <c r="AL11" s="78" t="e">
        <f>VLOOKUP(K11,[1]IOT!$A:$K,11,0)</f>
        <v>#N/A</v>
      </c>
      <c r="AM11" s="78"/>
      <c r="AN11" s="78"/>
      <c r="AO11" s="79">
        <f t="shared" si="7"/>
        <v>0</v>
      </c>
      <c r="AP11" s="80">
        <f t="shared" si="8"/>
        <v>0</v>
      </c>
      <c r="AQ11" s="77"/>
      <c r="AR11" s="6" t="str">
        <f t="shared" si="9"/>
        <v/>
      </c>
    </row>
    <row r="12" spans="1:53" s="6" customFormat="1" ht="47.25" customHeight="1" x14ac:dyDescent="0.35">
      <c r="A12" s="71"/>
      <c r="B12" s="68"/>
      <c r="C12" s="25"/>
      <c r="D12" s="25"/>
      <c r="E12" s="67" t="str">
        <f t="shared" si="5"/>
        <v/>
      </c>
      <c r="F12" s="62"/>
      <c r="G12" s="14"/>
      <c r="H12" s="65"/>
      <c r="I12" s="70"/>
      <c r="J12" s="14"/>
      <c r="K12" s="69"/>
      <c r="L12" s="15"/>
      <c r="M12" s="16"/>
      <c r="N12" s="17"/>
      <c r="O12" s="72"/>
      <c r="P12" s="18"/>
      <c r="Q12" s="60"/>
      <c r="R12" s="19"/>
      <c r="S12" s="18"/>
      <c r="T12" s="75"/>
      <c r="U12" s="20"/>
      <c r="V12" s="21"/>
      <c r="W12" s="22"/>
      <c r="Y12" s="78" t="e">
        <f>VLOOKUP(V12,[1]IOT!$A:$B,2,0)</f>
        <v>#N/A</v>
      </c>
      <c r="Z12" s="78">
        <f>IF(ISNA(VLOOKUP(K12,[2]Sheet1!$A:$B,2,0)),0,(VLOOKUP(K12,[2]Sheet1!$A:$B,2,0)))</f>
        <v>0</v>
      </c>
      <c r="AA12" s="78">
        <f t="shared" si="6"/>
        <v>0</v>
      </c>
      <c r="AB12" s="78" t="e">
        <f>VLOOKUP(K12,[1]IOT!$A:$E,5,0)</f>
        <v>#N/A</v>
      </c>
      <c r="AC12" s="78"/>
      <c r="AD12" s="78" t="e">
        <f>VLOOKUP(K12,[1]IOT!$A:$F,6,0)</f>
        <v>#N/A</v>
      </c>
      <c r="AE12" s="78"/>
      <c r="AF12" s="78"/>
      <c r="AG12" s="78"/>
      <c r="AH12" s="78" t="e">
        <f>VLOOKUP(K12,[1]IOT!$A:$G,7,0)</f>
        <v>#N/A</v>
      </c>
      <c r="AI12" s="78" t="e">
        <f>VLOOKUP(K12,[1]IOT!$A:$H,8,0)</f>
        <v>#N/A</v>
      </c>
      <c r="AJ12" s="78" t="e">
        <f>VLOOKUP(K12,[1]IOT!$A:$I,9,0)</f>
        <v>#N/A</v>
      </c>
      <c r="AK12" s="78" t="e">
        <f>VLOOKUP(K12,[1]IOT!$A:$J,10,0)</f>
        <v>#N/A</v>
      </c>
      <c r="AL12" s="78" t="e">
        <f>VLOOKUP(K12,[1]IOT!$A:$K,11,0)</f>
        <v>#N/A</v>
      </c>
      <c r="AM12" s="78"/>
      <c r="AN12" s="78"/>
      <c r="AO12" s="79">
        <f t="shared" si="7"/>
        <v>0</v>
      </c>
      <c r="AP12" s="80">
        <f t="shared" si="8"/>
        <v>0</v>
      </c>
      <c r="AQ12" s="77"/>
      <c r="AR12" s="6" t="str">
        <f t="shared" si="9"/>
        <v/>
      </c>
    </row>
    <row r="13" spans="1:53" s="6" customFormat="1" ht="47.25" customHeight="1" x14ac:dyDescent="0.35">
      <c r="A13" s="71"/>
      <c r="B13" s="68"/>
      <c r="C13" s="25"/>
      <c r="D13" s="25"/>
      <c r="E13" s="67" t="str">
        <f t="shared" si="5"/>
        <v/>
      </c>
      <c r="F13" s="62"/>
      <c r="G13" s="14"/>
      <c r="H13" s="65"/>
      <c r="I13" s="70"/>
      <c r="J13" s="14"/>
      <c r="K13" s="69"/>
      <c r="L13" s="15"/>
      <c r="M13" s="16"/>
      <c r="N13" s="17"/>
      <c r="O13" s="72"/>
      <c r="P13" s="18"/>
      <c r="Q13" s="60"/>
      <c r="R13" s="19"/>
      <c r="S13" s="18"/>
      <c r="T13" s="75"/>
      <c r="U13" s="20"/>
      <c r="V13" s="21"/>
      <c r="W13" s="22"/>
      <c r="Y13" s="78" t="e">
        <f>VLOOKUP(V13,[1]IOT!$A:$B,2,0)</f>
        <v>#N/A</v>
      </c>
      <c r="Z13" s="78">
        <f>IF(ISNA(VLOOKUP(K13,[2]Sheet1!$A:$B,2,0)),0,(VLOOKUP(K13,[2]Sheet1!$A:$B,2,0)))</f>
        <v>0</v>
      </c>
      <c r="AA13" s="78">
        <f t="shared" si="6"/>
        <v>0</v>
      </c>
      <c r="AB13" s="78" t="e">
        <f>VLOOKUP(K13,[1]IOT!$A:$E,5,0)</f>
        <v>#N/A</v>
      </c>
      <c r="AC13" s="78"/>
      <c r="AD13" s="78" t="e">
        <f>VLOOKUP(K13,[1]IOT!$A:$F,6,0)</f>
        <v>#N/A</v>
      </c>
      <c r="AE13" s="78"/>
      <c r="AF13" s="78"/>
      <c r="AG13" s="78"/>
      <c r="AH13" s="78" t="e">
        <f>VLOOKUP(K13,[1]IOT!$A:$G,7,0)</f>
        <v>#N/A</v>
      </c>
      <c r="AI13" s="78" t="e">
        <f>VLOOKUP(K13,[1]IOT!$A:$H,8,0)</f>
        <v>#N/A</v>
      </c>
      <c r="AJ13" s="78" t="e">
        <f>VLOOKUP(K13,[1]IOT!$A:$I,9,0)</f>
        <v>#N/A</v>
      </c>
      <c r="AK13" s="78" t="e">
        <f>VLOOKUP(K13,[1]IOT!$A:$J,10,0)</f>
        <v>#N/A</v>
      </c>
      <c r="AL13" s="78" t="e">
        <f>VLOOKUP(K13,[1]IOT!$A:$K,11,0)</f>
        <v>#N/A</v>
      </c>
      <c r="AM13" s="78"/>
      <c r="AN13" s="78"/>
      <c r="AO13" s="79">
        <f t="shared" si="7"/>
        <v>0</v>
      </c>
      <c r="AP13" s="80">
        <f t="shared" si="8"/>
        <v>0</v>
      </c>
      <c r="AQ13" s="77"/>
      <c r="AR13" s="6" t="str">
        <f t="shared" si="9"/>
        <v/>
      </c>
    </row>
    <row r="14" spans="1:53" s="6" customFormat="1" ht="47.25" customHeight="1" x14ac:dyDescent="0.35">
      <c r="A14" s="71"/>
      <c r="B14" s="68"/>
      <c r="C14" s="25"/>
      <c r="D14" s="25"/>
      <c r="E14" s="67" t="str">
        <f t="shared" si="5"/>
        <v/>
      </c>
      <c r="F14" s="62"/>
      <c r="G14" s="14"/>
      <c r="H14" s="65"/>
      <c r="I14" s="70"/>
      <c r="J14" s="14"/>
      <c r="K14" s="69"/>
      <c r="L14" s="15"/>
      <c r="M14" s="16"/>
      <c r="N14" s="17"/>
      <c r="O14" s="72"/>
      <c r="P14" s="18"/>
      <c r="Q14" s="60"/>
      <c r="R14" s="19"/>
      <c r="S14" s="18"/>
      <c r="T14" s="75"/>
      <c r="U14" s="20"/>
      <c r="V14" s="21"/>
      <c r="W14" s="22"/>
      <c r="Y14" s="78" t="e">
        <f>VLOOKUP(V14,[1]IOT!$A:$B,2,0)</f>
        <v>#N/A</v>
      </c>
      <c r="Z14" s="78">
        <f>IF(ISNA(VLOOKUP(K14,[2]Sheet1!$A:$B,2,0)),0,(VLOOKUP(K14,[2]Sheet1!$A:$B,2,0)))</f>
        <v>0</v>
      </c>
      <c r="AA14" s="78">
        <f t="shared" si="6"/>
        <v>0</v>
      </c>
      <c r="AB14" s="78" t="e">
        <f>VLOOKUP(K14,[1]IOT!$A:$E,5,0)</f>
        <v>#N/A</v>
      </c>
      <c r="AC14" s="78"/>
      <c r="AD14" s="78" t="e">
        <f>VLOOKUP(K14,[1]IOT!$A:$F,6,0)</f>
        <v>#N/A</v>
      </c>
      <c r="AE14" s="78"/>
      <c r="AF14" s="78"/>
      <c r="AG14" s="78"/>
      <c r="AH14" s="78" t="e">
        <f>VLOOKUP(K14,[1]IOT!$A:$G,7,0)</f>
        <v>#N/A</v>
      </c>
      <c r="AI14" s="78" t="e">
        <f>VLOOKUP(K14,[1]IOT!$A:$H,8,0)</f>
        <v>#N/A</v>
      </c>
      <c r="AJ14" s="78" t="e">
        <f>VLOOKUP(K14,[1]IOT!$A:$I,9,0)</f>
        <v>#N/A</v>
      </c>
      <c r="AK14" s="78" t="e">
        <f>VLOOKUP(K14,[1]IOT!$A:$J,10,0)</f>
        <v>#N/A</v>
      </c>
      <c r="AL14" s="78" t="e">
        <f>VLOOKUP(K14,[1]IOT!$A:$K,11,0)</f>
        <v>#N/A</v>
      </c>
      <c r="AM14" s="78"/>
      <c r="AN14" s="78"/>
      <c r="AO14" s="79">
        <f t="shared" si="7"/>
        <v>0</v>
      </c>
      <c r="AP14" s="80">
        <f t="shared" si="8"/>
        <v>0</v>
      </c>
      <c r="AQ14" s="77"/>
      <c r="AR14" s="6" t="str">
        <f t="shared" si="9"/>
        <v/>
      </c>
    </row>
    <row r="15" spans="1:53" s="6" customFormat="1" ht="47.25" customHeight="1" x14ac:dyDescent="0.35">
      <c r="A15" s="71"/>
      <c r="B15" s="68"/>
      <c r="C15" s="25"/>
      <c r="D15" s="25"/>
      <c r="E15" s="67" t="str">
        <f t="shared" si="5"/>
        <v/>
      </c>
      <c r="F15" s="62"/>
      <c r="G15" s="14"/>
      <c r="H15" s="65"/>
      <c r="I15" s="70"/>
      <c r="J15" s="14"/>
      <c r="K15" s="69"/>
      <c r="L15" s="15"/>
      <c r="M15" s="16"/>
      <c r="N15" s="17"/>
      <c r="O15" s="72"/>
      <c r="P15" s="18"/>
      <c r="Q15" s="60"/>
      <c r="R15" s="19"/>
      <c r="S15" s="18"/>
      <c r="T15" s="75"/>
      <c r="U15" s="20"/>
      <c r="V15" s="21"/>
      <c r="W15" s="22"/>
      <c r="Y15" s="78" t="e">
        <f>VLOOKUP(V15,[1]IOT!$A:$B,2,0)</f>
        <v>#N/A</v>
      </c>
      <c r="Z15" s="78">
        <f>IF(ISNA(VLOOKUP(K15,[2]Sheet1!$A:$B,2,0)),0,(VLOOKUP(K15,[2]Sheet1!$A:$B,2,0)))</f>
        <v>0</v>
      </c>
      <c r="AA15" s="78">
        <f t="shared" si="6"/>
        <v>0</v>
      </c>
      <c r="AB15" s="78" t="e">
        <f>VLOOKUP(K15,[1]IOT!$A:$E,5,0)</f>
        <v>#N/A</v>
      </c>
      <c r="AC15" s="78"/>
      <c r="AD15" s="78" t="e">
        <f>VLOOKUP(K15,[1]IOT!$A:$F,6,0)</f>
        <v>#N/A</v>
      </c>
      <c r="AE15" s="78"/>
      <c r="AF15" s="78"/>
      <c r="AG15" s="78"/>
      <c r="AH15" s="78" t="e">
        <f>VLOOKUP(K15,[1]IOT!$A:$G,7,0)</f>
        <v>#N/A</v>
      </c>
      <c r="AI15" s="78" t="e">
        <f>VLOOKUP(K15,[1]IOT!$A:$H,8,0)</f>
        <v>#N/A</v>
      </c>
      <c r="AJ15" s="78" t="e">
        <f>VLOOKUP(K15,[1]IOT!$A:$I,9,0)</f>
        <v>#N/A</v>
      </c>
      <c r="AK15" s="78" t="e">
        <f>VLOOKUP(K15,[1]IOT!$A:$J,10,0)</f>
        <v>#N/A</v>
      </c>
      <c r="AL15" s="78" t="e">
        <f>VLOOKUP(K15,[1]IOT!$A:$K,11,0)</f>
        <v>#N/A</v>
      </c>
      <c r="AM15" s="78"/>
      <c r="AN15" s="78"/>
      <c r="AO15" s="79">
        <f t="shared" si="7"/>
        <v>0</v>
      </c>
      <c r="AP15" s="80">
        <f t="shared" si="8"/>
        <v>0</v>
      </c>
      <c r="AQ15" s="77"/>
      <c r="AR15" s="6" t="str">
        <f t="shared" si="9"/>
        <v/>
      </c>
    </row>
    <row r="16" spans="1:53" s="6" customFormat="1" ht="47.25" customHeight="1" x14ac:dyDescent="0.35">
      <c r="A16" s="71"/>
      <c r="B16" s="68"/>
      <c r="C16" s="25"/>
      <c r="D16" s="25"/>
      <c r="E16" s="67" t="str">
        <f t="shared" si="5"/>
        <v/>
      </c>
      <c r="F16" s="62"/>
      <c r="G16" s="14"/>
      <c r="H16" s="65"/>
      <c r="I16" s="70"/>
      <c r="J16" s="14"/>
      <c r="K16" s="69"/>
      <c r="L16" s="15"/>
      <c r="M16" s="16"/>
      <c r="N16" s="17"/>
      <c r="O16" s="72"/>
      <c r="P16" s="18"/>
      <c r="Q16" s="60"/>
      <c r="R16" s="19"/>
      <c r="S16" s="18"/>
      <c r="T16" s="75"/>
      <c r="U16" s="20"/>
      <c r="V16" s="21"/>
      <c r="W16" s="22"/>
      <c r="Y16" s="78" t="e">
        <f>VLOOKUP(V16,[1]IOT!$A:$B,2,0)</f>
        <v>#N/A</v>
      </c>
      <c r="Z16" s="78">
        <f>IF(ISNA(VLOOKUP(K16,[2]Sheet1!$A:$B,2,0)),0,(VLOOKUP(K16,[2]Sheet1!$A:$B,2,0)))</f>
        <v>0</v>
      </c>
      <c r="AA16" s="78">
        <f t="shared" si="6"/>
        <v>0</v>
      </c>
      <c r="AB16" s="78" t="e">
        <f>VLOOKUP(K16,[1]IOT!$A:$E,5,0)</f>
        <v>#N/A</v>
      </c>
      <c r="AC16" s="78"/>
      <c r="AD16" s="78" t="e">
        <f>VLOOKUP(K16,[1]IOT!$A:$F,6,0)</f>
        <v>#N/A</v>
      </c>
      <c r="AE16" s="78"/>
      <c r="AF16" s="78"/>
      <c r="AG16" s="78"/>
      <c r="AH16" s="78" t="e">
        <f>VLOOKUP(K16,[1]IOT!$A:$G,7,0)</f>
        <v>#N/A</v>
      </c>
      <c r="AI16" s="78" t="e">
        <f>VLOOKUP(K16,[1]IOT!$A:$H,8,0)</f>
        <v>#N/A</v>
      </c>
      <c r="AJ16" s="78" t="e">
        <f>VLOOKUP(K16,[1]IOT!$A:$I,9,0)</f>
        <v>#N/A</v>
      </c>
      <c r="AK16" s="78" t="e">
        <f>VLOOKUP(K16,[1]IOT!$A:$J,10,0)</f>
        <v>#N/A</v>
      </c>
      <c r="AL16" s="78" t="e">
        <f>VLOOKUP(K16,[1]IOT!$A:$K,11,0)</f>
        <v>#N/A</v>
      </c>
      <c r="AM16" s="78"/>
      <c r="AN16" s="78"/>
      <c r="AO16" s="79">
        <f t="shared" si="7"/>
        <v>0</v>
      </c>
      <c r="AP16" s="80">
        <f t="shared" si="8"/>
        <v>0</v>
      </c>
      <c r="AQ16" s="77"/>
      <c r="AR16" s="6" t="str">
        <f t="shared" si="9"/>
        <v/>
      </c>
    </row>
    <row r="17" spans="1:44" s="6" customFormat="1" ht="47.25" customHeight="1" x14ac:dyDescent="0.35">
      <c r="A17" s="71"/>
      <c r="B17" s="68"/>
      <c r="C17" s="25"/>
      <c r="D17" s="25"/>
      <c r="E17" s="67" t="str">
        <f t="shared" ref="E17:E26" si="10">IF(ISBLANK(AS17),"",AS17/24)</f>
        <v/>
      </c>
      <c r="F17" s="62"/>
      <c r="G17" s="14"/>
      <c r="H17" s="65"/>
      <c r="I17" s="70"/>
      <c r="J17" s="14"/>
      <c r="K17" s="69"/>
      <c r="L17" s="15"/>
      <c r="M17" s="16"/>
      <c r="N17" s="17"/>
      <c r="O17" s="72"/>
      <c r="P17" s="18"/>
      <c r="Q17" s="60"/>
      <c r="R17" s="19"/>
      <c r="S17" s="18"/>
      <c r="T17" s="75"/>
      <c r="U17" s="20"/>
      <c r="V17" s="21"/>
      <c r="W17" s="22"/>
      <c r="Y17" s="78" t="e">
        <f>VLOOKUP(V17,[1]IOT!$A:$B,2,0)</f>
        <v>#N/A</v>
      </c>
      <c r="Z17" s="78">
        <f>IF(ISNA(VLOOKUP(K17,[2]Sheet1!$A:$B,2,0)),0,(VLOOKUP(K17,[2]Sheet1!$A:$B,2,0)))</f>
        <v>0</v>
      </c>
      <c r="AA17" s="78">
        <f t="shared" ref="AA17:AA26" si="11">IF(ISNA(VLOOKUP(Y17,$Y$1:$Z$2,2,0)),0,(VLOOKUP(Y17,$Y$1:$Z$2,2,0)))</f>
        <v>0</v>
      </c>
      <c r="AB17" s="78" t="e">
        <f>VLOOKUP(K17,[1]IOT!$A:$E,5,0)</f>
        <v>#N/A</v>
      </c>
      <c r="AC17" s="78"/>
      <c r="AD17" s="78" t="e">
        <f>VLOOKUP(K17,[1]IOT!$A:$F,6,0)</f>
        <v>#N/A</v>
      </c>
      <c r="AE17" s="78"/>
      <c r="AF17" s="78"/>
      <c r="AG17" s="78"/>
      <c r="AH17" s="78" t="e">
        <f>VLOOKUP(K17,[1]IOT!$A:$G,7,0)</f>
        <v>#N/A</v>
      </c>
      <c r="AI17" s="78" t="e">
        <f>VLOOKUP(K17,[1]IOT!$A:$H,8,0)</f>
        <v>#N/A</v>
      </c>
      <c r="AJ17" s="78" t="e">
        <f>VLOOKUP(K17,[1]IOT!$A:$I,9,0)</f>
        <v>#N/A</v>
      </c>
      <c r="AK17" s="78" t="e">
        <f>VLOOKUP(K17,[1]IOT!$A:$J,10,0)</f>
        <v>#N/A</v>
      </c>
      <c r="AL17" s="78" t="e">
        <f>VLOOKUP(K17,[1]IOT!$A:$K,11,0)</f>
        <v>#N/A</v>
      </c>
      <c r="AM17" s="78"/>
      <c r="AN17" s="78"/>
      <c r="AO17" s="79">
        <f t="shared" ref="AO17:AO26" si="12">C17</f>
        <v>0</v>
      </c>
      <c r="AP17" s="80">
        <f t="shared" ref="AP17:AP26" si="13">M17</f>
        <v>0</v>
      </c>
      <c r="AQ17" s="77"/>
      <c r="AR17" s="6" t="str">
        <f t="shared" ref="AR17:AR26" si="14">B17&amp;K17</f>
        <v/>
      </c>
    </row>
    <row r="18" spans="1:44" s="6" customFormat="1" ht="47.25" customHeight="1" x14ac:dyDescent="0.35">
      <c r="A18" s="71"/>
      <c r="B18" s="68"/>
      <c r="C18" s="25"/>
      <c r="D18" s="25"/>
      <c r="E18" s="67" t="str">
        <f t="shared" si="10"/>
        <v/>
      </c>
      <c r="F18" s="62"/>
      <c r="G18" s="14"/>
      <c r="H18" s="65"/>
      <c r="I18" s="70"/>
      <c r="J18" s="14"/>
      <c r="K18" s="69"/>
      <c r="L18" s="15"/>
      <c r="M18" s="16"/>
      <c r="N18" s="17"/>
      <c r="O18" s="72"/>
      <c r="P18" s="18"/>
      <c r="Q18" s="60"/>
      <c r="R18" s="19"/>
      <c r="S18" s="18"/>
      <c r="T18" s="75"/>
      <c r="U18" s="20"/>
      <c r="V18" s="21"/>
      <c r="W18" s="22"/>
      <c r="Y18" s="78" t="e">
        <f>VLOOKUP(V18,[1]IOT!$A:$B,2,0)</f>
        <v>#N/A</v>
      </c>
      <c r="Z18" s="78">
        <f>IF(ISNA(VLOOKUP(K18,[2]Sheet1!$A:$B,2,0)),0,(VLOOKUP(K18,[2]Sheet1!$A:$B,2,0)))</f>
        <v>0</v>
      </c>
      <c r="AA18" s="78">
        <f t="shared" si="11"/>
        <v>0</v>
      </c>
      <c r="AB18" s="78" t="e">
        <f>VLOOKUP(K18,[1]IOT!$A:$E,5,0)</f>
        <v>#N/A</v>
      </c>
      <c r="AC18" s="78"/>
      <c r="AD18" s="78" t="e">
        <f>VLOOKUP(K18,[1]IOT!$A:$F,6,0)</f>
        <v>#N/A</v>
      </c>
      <c r="AE18" s="78"/>
      <c r="AF18" s="78"/>
      <c r="AG18" s="78"/>
      <c r="AH18" s="78" t="e">
        <f>VLOOKUP(K18,[1]IOT!$A:$G,7,0)</f>
        <v>#N/A</v>
      </c>
      <c r="AI18" s="78" t="e">
        <f>VLOOKUP(K18,[1]IOT!$A:$H,8,0)</f>
        <v>#N/A</v>
      </c>
      <c r="AJ18" s="78" t="e">
        <f>VLOOKUP(K18,[1]IOT!$A:$I,9,0)</f>
        <v>#N/A</v>
      </c>
      <c r="AK18" s="78" t="e">
        <f>VLOOKUP(K18,[1]IOT!$A:$J,10,0)</f>
        <v>#N/A</v>
      </c>
      <c r="AL18" s="78" t="e">
        <f>VLOOKUP(K18,[1]IOT!$A:$K,11,0)</f>
        <v>#N/A</v>
      </c>
      <c r="AM18" s="78"/>
      <c r="AN18" s="78"/>
      <c r="AO18" s="79">
        <f t="shared" si="12"/>
        <v>0</v>
      </c>
      <c r="AP18" s="80">
        <f t="shared" si="13"/>
        <v>0</v>
      </c>
      <c r="AQ18" s="77"/>
      <c r="AR18" s="6" t="str">
        <f t="shared" si="14"/>
        <v/>
      </c>
    </row>
    <row r="19" spans="1:44" s="6" customFormat="1" ht="47.25" customHeight="1" x14ac:dyDescent="0.35">
      <c r="A19" s="71"/>
      <c r="B19" s="68"/>
      <c r="C19" s="25"/>
      <c r="D19" s="25"/>
      <c r="E19" s="67" t="str">
        <f t="shared" si="10"/>
        <v/>
      </c>
      <c r="F19" s="62"/>
      <c r="G19" s="14"/>
      <c r="H19" s="65"/>
      <c r="I19" s="70"/>
      <c r="J19" s="14"/>
      <c r="K19" s="69"/>
      <c r="L19" s="15"/>
      <c r="M19" s="16"/>
      <c r="N19" s="17"/>
      <c r="O19" s="72"/>
      <c r="P19" s="18"/>
      <c r="Q19" s="60"/>
      <c r="R19" s="19"/>
      <c r="S19" s="18"/>
      <c r="T19" s="75"/>
      <c r="U19" s="20"/>
      <c r="V19" s="21"/>
      <c r="W19" s="22"/>
      <c r="Y19" s="78" t="e">
        <f>VLOOKUP(V19,[1]IOT!$A:$B,2,0)</f>
        <v>#N/A</v>
      </c>
      <c r="Z19" s="78">
        <f>IF(ISNA(VLOOKUP(K19,[2]Sheet1!$A:$B,2,0)),0,(VLOOKUP(K19,[2]Sheet1!$A:$B,2,0)))</f>
        <v>0</v>
      </c>
      <c r="AA19" s="78">
        <f t="shared" si="11"/>
        <v>0</v>
      </c>
      <c r="AB19" s="78" t="e">
        <f>VLOOKUP(K19,[1]IOT!$A:$E,5,0)</f>
        <v>#N/A</v>
      </c>
      <c r="AC19" s="78"/>
      <c r="AD19" s="78" t="e">
        <f>VLOOKUP(K19,[1]IOT!$A:$F,6,0)</f>
        <v>#N/A</v>
      </c>
      <c r="AE19" s="78"/>
      <c r="AF19" s="78"/>
      <c r="AG19" s="78"/>
      <c r="AH19" s="78" t="e">
        <f>VLOOKUP(K19,[1]IOT!$A:$G,7,0)</f>
        <v>#N/A</v>
      </c>
      <c r="AI19" s="78" t="e">
        <f>VLOOKUP(K19,[1]IOT!$A:$H,8,0)</f>
        <v>#N/A</v>
      </c>
      <c r="AJ19" s="78" t="e">
        <f>VLOOKUP(K19,[1]IOT!$A:$I,9,0)</f>
        <v>#N/A</v>
      </c>
      <c r="AK19" s="78" t="e">
        <f>VLOOKUP(K19,[1]IOT!$A:$J,10,0)</f>
        <v>#N/A</v>
      </c>
      <c r="AL19" s="78" t="e">
        <f>VLOOKUP(K19,[1]IOT!$A:$K,11,0)</f>
        <v>#N/A</v>
      </c>
      <c r="AM19" s="78"/>
      <c r="AN19" s="78"/>
      <c r="AO19" s="79">
        <f t="shared" si="12"/>
        <v>0</v>
      </c>
      <c r="AP19" s="80">
        <f t="shared" si="13"/>
        <v>0</v>
      </c>
      <c r="AQ19" s="77"/>
      <c r="AR19" s="6" t="str">
        <f t="shared" si="14"/>
        <v/>
      </c>
    </row>
    <row r="20" spans="1:44" s="6" customFormat="1" ht="47.25" customHeight="1" x14ac:dyDescent="0.35">
      <c r="A20" s="71"/>
      <c r="B20" s="68"/>
      <c r="C20" s="25"/>
      <c r="D20" s="25"/>
      <c r="E20" s="67" t="str">
        <f t="shared" si="10"/>
        <v/>
      </c>
      <c r="F20" s="62"/>
      <c r="G20" s="14"/>
      <c r="H20" s="65"/>
      <c r="I20" s="70"/>
      <c r="J20" s="14"/>
      <c r="K20" s="69"/>
      <c r="L20" s="15"/>
      <c r="M20" s="16"/>
      <c r="N20" s="17"/>
      <c r="O20" s="72"/>
      <c r="P20" s="18"/>
      <c r="Q20" s="60"/>
      <c r="R20" s="19"/>
      <c r="S20" s="18"/>
      <c r="T20" s="75"/>
      <c r="U20" s="20"/>
      <c r="V20" s="21"/>
      <c r="W20" s="22"/>
      <c r="Y20" s="78" t="e">
        <f>VLOOKUP(V20,[1]IOT!$A:$B,2,0)</f>
        <v>#N/A</v>
      </c>
      <c r="Z20" s="78">
        <f>IF(ISNA(VLOOKUP(K20,[2]Sheet1!$A:$B,2,0)),0,(VLOOKUP(K20,[2]Sheet1!$A:$B,2,0)))</f>
        <v>0</v>
      </c>
      <c r="AA20" s="78">
        <f t="shared" si="11"/>
        <v>0</v>
      </c>
      <c r="AB20" s="78" t="e">
        <f>VLOOKUP(K20,[1]IOT!$A:$E,5,0)</f>
        <v>#N/A</v>
      </c>
      <c r="AC20" s="78"/>
      <c r="AD20" s="78" t="e">
        <f>VLOOKUP(K20,[1]IOT!$A:$F,6,0)</f>
        <v>#N/A</v>
      </c>
      <c r="AE20" s="78"/>
      <c r="AF20" s="78"/>
      <c r="AG20" s="78"/>
      <c r="AH20" s="78" t="e">
        <f>VLOOKUP(K20,[1]IOT!$A:$G,7,0)</f>
        <v>#N/A</v>
      </c>
      <c r="AI20" s="78" t="e">
        <f>VLOOKUP(K20,[1]IOT!$A:$H,8,0)</f>
        <v>#N/A</v>
      </c>
      <c r="AJ20" s="78" t="e">
        <f>VLOOKUP(K20,[1]IOT!$A:$I,9,0)</f>
        <v>#N/A</v>
      </c>
      <c r="AK20" s="78" t="e">
        <f>VLOOKUP(K20,[1]IOT!$A:$J,10,0)</f>
        <v>#N/A</v>
      </c>
      <c r="AL20" s="78" t="e">
        <f>VLOOKUP(K20,[1]IOT!$A:$K,11,0)</f>
        <v>#N/A</v>
      </c>
      <c r="AM20" s="78"/>
      <c r="AN20" s="78"/>
      <c r="AO20" s="79">
        <f t="shared" si="12"/>
        <v>0</v>
      </c>
      <c r="AP20" s="80">
        <f t="shared" si="13"/>
        <v>0</v>
      </c>
      <c r="AQ20" s="77"/>
      <c r="AR20" s="6" t="str">
        <f t="shared" si="14"/>
        <v/>
      </c>
    </row>
    <row r="21" spans="1:44" s="6" customFormat="1" ht="47.25" customHeight="1" x14ac:dyDescent="0.35">
      <c r="A21" s="71"/>
      <c r="B21" s="68"/>
      <c r="C21" s="25"/>
      <c r="D21" s="25"/>
      <c r="E21" s="67" t="str">
        <f t="shared" si="10"/>
        <v/>
      </c>
      <c r="F21" s="62"/>
      <c r="G21" s="14"/>
      <c r="H21" s="65"/>
      <c r="I21" s="70"/>
      <c r="J21" s="14"/>
      <c r="K21" s="69"/>
      <c r="L21" s="15"/>
      <c r="M21" s="16"/>
      <c r="N21" s="17"/>
      <c r="O21" s="72"/>
      <c r="P21" s="18"/>
      <c r="Q21" s="60"/>
      <c r="R21" s="19"/>
      <c r="S21" s="18"/>
      <c r="T21" s="75"/>
      <c r="U21" s="20"/>
      <c r="V21" s="21"/>
      <c r="W21" s="22"/>
      <c r="Y21" s="78" t="e">
        <f>VLOOKUP(V21,[1]IOT!$A:$B,2,0)</f>
        <v>#N/A</v>
      </c>
      <c r="Z21" s="78">
        <f>IF(ISNA(VLOOKUP(K21,[2]Sheet1!$A:$B,2,0)),0,(VLOOKUP(K21,[2]Sheet1!$A:$B,2,0)))</f>
        <v>0</v>
      </c>
      <c r="AA21" s="78">
        <f t="shared" si="11"/>
        <v>0</v>
      </c>
      <c r="AB21" s="78" t="e">
        <f>VLOOKUP(K21,[1]IOT!$A:$E,5,0)</f>
        <v>#N/A</v>
      </c>
      <c r="AC21" s="78"/>
      <c r="AD21" s="78" t="e">
        <f>VLOOKUP(K21,[1]IOT!$A:$F,6,0)</f>
        <v>#N/A</v>
      </c>
      <c r="AE21" s="78"/>
      <c r="AF21" s="78"/>
      <c r="AG21" s="78"/>
      <c r="AH21" s="78" t="e">
        <f>VLOOKUP(K21,[1]IOT!$A:$G,7,0)</f>
        <v>#N/A</v>
      </c>
      <c r="AI21" s="78" t="e">
        <f>VLOOKUP(K21,[1]IOT!$A:$H,8,0)</f>
        <v>#N/A</v>
      </c>
      <c r="AJ21" s="78" t="e">
        <f>VLOOKUP(K21,[1]IOT!$A:$I,9,0)</f>
        <v>#N/A</v>
      </c>
      <c r="AK21" s="78" t="e">
        <f>VLOOKUP(K21,[1]IOT!$A:$J,10,0)</f>
        <v>#N/A</v>
      </c>
      <c r="AL21" s="78" t="e">
        <f>VLOOKUP(K21,[1]IOT!$A:$K,11,0)</f>
        <v>#N/A</v>
      </c>
      <c r="AM21" s="78"/>
      <c r="AN21" s="78"/>
      <c r="AO21" s="79">
        <f t="shared" si="12"/>
        <v>0</v>
      </c>
      <c r="AP21" s="80">
        <f t="shared" si="13"/>
        <v>0</v>
      </c>
      <c r="AQ21" s="77"/>
      <c r="AR21" s="6" t="str">
        <f t="shared" si="14"/>
        <v/>
      </c>
    </row>
    <row r="22" spans="1:44" s="6" customFormat="1" ht="47.25" customHeight="1" x14ac:dyDescent="0.35">
      <c r="A22" s="71"/>
      <c r="B22" s="68"/>
      <c r="C22" s="25"/>
      <c r="D22" s="25"/>
      <c r="E22" s="67" t="str">
        <f t="shared" si="10"/>
        <v/>
      </c>
      <c r="F22" s="62"/>
      <c r="G22" s="14"/>
      <c r="H22" s="65"/>
      <c r="I22" s="70"/>
      <c r="J22" s="14"/>
      <c r="K22" s="69"/>
      <c r="L22" s="15"/>
      <c r="M22" s="16"/>
      <c r="N22" s="17"/>
      <c r="O22" s="72"/>
      <c r="P22" s="18"/>
      <c r="Q22" s="60"/>
      <c r="R22" s="19"/>
      <c r="S22" s="18"/>
      <c r="T22" s="75"/>
      <c r="U22" s="20"/>
      <c r="V22" s="21"/>
      <c r="W22" s="22"/>
      <c r="Y22" s="78" t="e">
        <f>VLOOKUP(V22,[1]IOT!$A:$B,2,0)</f>
        <v>#N/A</v>
      </c>
      <c r="Z22" s="78">
        <f>IF(ISNA(VLOOKUP(K22,[2]Sheet1!$A:$B,2,0)),0,(VLOOKUP(K22,[2]Sheet1!$A:$B,2,0)))</f>
        <v>0</v>
      </c>
      <c r="AA22" s="78">
        <f t="shared" si="11"/>
        <v>0</v>
      </c>
      <c r="AB22" s="78" t="e">
        <f>VLOOKUP(K22,[1]IOT!$A:$E,5,0)</f>
        <v>#N/A</v>
      </c>
      <c r="AC22" s="78"/>
      <c r="AD22" s="78" t="e">
        <f>VLOOKUP(K22,[1]IOT!$A:$F,6,0)</f>
        <v>#N/A</v>
      </c>
      <c r="AE22" s="78"/>
      <c r="AF22" s="78"/>
      <c r="AG22" s="78"/>
      <c r="AH22" s="78" t="e">
        <f>VLOOKUP(K22,[1]IOT!$A:$G,7,0)</f>
        <v>#N/A</v>
      </c>
      <c r="AI22" s="78" t="e">
        <f>VLOOKUP(K22,[1]IOT!$A:$H,8,0)</f>
        <v>#N/A</v>
      </c>
      <c r="AJ22" s="78" t="e">
        <f>VLOOKUP(K22,[1]IOT!$A:$I,9,0)</f>
        <v>#N/A</v>
      </c>
      <c r="AK22" s="78" t="e">
        <f>VLOOKUP(K22,[1]IOT!$A:$J,10,0)</f>
        <v>#N/A</v>
      </c>
      <c r="AL22" s="78" t="e">
        <f>VLOOKUP(K22,[1]IOT!$A:$K,11,0)</f>
        <v>#N/A</v>
      </c>
      <c r="AM22" s="78"/>
      <c r="AN22" s="78"/>
      <c r="AO22" s="79">
        <f t="shared" si="12"/>
        <v>0</v>
      </c>
      <c r="AP22" s="80">
        <f t="shared" si="13"/>
        <v>0</v>
      </c>
      <c r="AQ22" s="77"/>
      <c r="AR22" s="6" t="str">
        <f t="shared" si="14"/>
        <v/>
      </c>
    </row>
    <row r="23" spans="1:44" s="6" customFormat="1" ht="47.25" customHeight="1" x14ac:dyDescent="0.35">
      <c r="A23" s="71"/>
      <c r="B23" s="68"/>
      <c r="C23" s="25"/>
      <c r="D23" s="25"/>
      <c r="E23" s="67" t="str">
        <f t="shared" si="10"/>
        <v/>
      </c>
      <c r="F23" s="62"/>
      <c r="G23" s="14"/>
      <c r="H23" s="65"/>
      <c r="I23" s="70"/>
      <c r="J23" s="14"/>
      <c r="K23" s="69"/>
      <c r="L23" s="15"/>
      <c r="M23" s="16"/>
      <c r="N23" s="17"/>
      <c r="O23" s="72"/>
      <c r="P23" s="18"/>
      <c r="Q23" s="60"/>
      <c r="R23" s="19"/>
      <c r="S23" s="18"/>
      <c r="T23" s="75"/>
      <c r="U23" s="20"/>
      <c r="V23" s="21"/>
      <c r="W23" s="22"/>
      <c r="Y23" s="78" t="e">
        <f>VLOOKUP(V23,[1]IOT!$A:$B,2,0)</f>
        <v>#N/A</v>
      </c>
      <c r="Z23" s="78">
        <f>IF(ISNA(VLOOKUP(K23,[2]Sheet1!$A:$B,2,0)),0,(VLOOKUP(K23,[2]Sheet1!$A:$B,2,0)))</f>
        <v>0</v>
      </c>
      <c r="AA23" s="78">
        <f t="shared" si="11"/>
        <v>0</v>
      </c>
      <c r="AB23" s="78" t="e">
        <f>VLOOKUP(K23,[1]IOT!$A:$E,5,0)</f>
        <v>#N/A</v>
      </c>
      <c r="AC23" s="78"/>
      <c r="AD23" s="78" t="e">
        <f>VLOOKUP(K23,[1]IOT!$A:$F,6,0)</f>
        <v>#N/A</v>
      </c>
      <c r="AE23" s="78"/>
      <c r="AF23" s="78"/>
      <c r="AG23" s="78"/>
      <c r="AH23" s="78" t="e">
        <f>VLOOKUP(K23,[1]IOT!$A:$G,7,0)</f>
        <v>#N/A</v>
      </c>
      <c r="AI23" s="78" t="e">
        <f>VLOOKUP(K23,[1]IOT!$A:$H,8,0)</f>
        <v>#N/A</v>
      </c>
      <c r="AJ23" s="78" t="e">
        <f>VLOOKUP(K23,[1]IOT!$A:$I,9,0)</f>
        <v>#N/A</v>
      </c>
      <c r="AK23" s="78" t="e">
        <f>VLOOKUP(K23,[1]IOT!$A:$J,10,0)</f>
        <v>#N/A</v>
      </c>
      <c r="AL23" s="78" t="e">
        <f>VLOOKUP(K23,[1]IOT!$A:$K,11,0)</f>
        <v>#N/A</v>
      </c>
      <c r="AM23" s="78"/>
      <c r="AN23" s="78"/>
      <c r="AO23" s="79">
        <f t="shared" si="12"/>
        <v>0</v>
      </c>
      <c r="AP23" s="80">
        <f t="shared" si="13"/>
        <v>0</v>
      </c>
      <c r="AQ23" s="77"/>
      <c r="AR23" s="6" t="str">
        <f t="shared" si="14"/>
        <v/>
      </c>
    </row>
    <row r="24" spans="1:44" s="6" customFormat="1" ht="47.25" customHeight="1" x14ac:dyDescent="0.35">
      <c r="A24" s="71"/>
      <c r="B24" s="68"/>
      <c r="C24" s="25"/>
      <c r="D24" s="25"/>
      <c r="E24" s="67" t="str">
        <f t="shared" si="10"/>
        <v/>
      </c>
      <c r="F24" s="62"/>
      <c r="G24" s="14"/>
      <c r="H24" s="65"/>
      <c r="I24" s="70"/>
      <c r="J24" s="14"/>
      <c r="K24" s="69"/>
      <c r="L24" s="15"/>
      <c r="M24" s="16"/>
      <c r="N24" s="17"/>
      <c r="O24" s="72"/>
      <c r="P24" s="18"/>
      <c r="Q24" s="60"/>
      <c r="R24" s="19"/>
      <c r="S24" s="18"/>
      <c r="T24" s="75"/>
      <c r="U24" s="20"/>
      <c r="V24" s="21"/>
      <c r="W24" s="22"/>
      <c r="Y24" s="78" t="e">
        <f>VLOOKUP(V24,[1]IOT!$A:$B,2,0)</f>
        <v>#N/A</v>
      </c>
      <c r="Z24" s="78">
        <f>IF(ISNA(VLOOKUP(K24,[2]Sheet1!$A:$B,2,0)),0,(VLOOKUP(K24,[2]Sheet1!$A:$B,2,0)))</f>
        <v>0</v>
      </c>
      <c r="AA24" s="78">
        <f t="shared" si="11"/>
        <v>0</v>
      </c>
      <c r="AB24" s="78" t="e">
        <f>VLOOKUP(K24,[1]IOT!$A:$E,5,0)</f>
        <v>#N/A</v>
      </c>
      <c r="AC24" s="78"/>
      <c r="AD24" s="78" t="e">
        <f>VLOOKUP(K24,[1]IOT!$A:$F,6,0)</f>
        <v>#N/A</v>
      </c>
      <c r="AE24" s="78"/>
      <c r="AF24" s="78"/>
      <c r="AG24" s="78"/>
      <c r="AH24" s="78" t="e">
        <f>VLOOKUP(K24,[1]IOT!$A:$G,7,0)</f>
        <v>#N/A</v>
      </c>
      <c r="AI24" s="78" t="e">
        <f>VLOOKUP(K24,[1]IOT!$A:$H,8,0)</f>
        <v>#N/A</v>
      </c>
      <c r="AJ24" s="78" t="e">
        <f>VLOOKUP(K24,[1]IOT!$A:$I,9,0)</f>
        <v>#N/A</v>
      </c>
      <c r="AK24" s="78" t="e">
        <f>VLOOKUP(K24,[1]IOT!$A:$J,10,0)</f>
        <v>#N/A</v>
      </c>
      <c r="AL24" s="78" t="e">
        <f>VLOOKUP(K24,[1]IOT!$A:$K,11,0)</f>
        <v>#N/A</v>
      </c>
      <c r="AM24" s="78"/>
      <c r="AN24" s="78"/>
      <c r="AO24" s="79">
        <f t="shared" si="12"/>
        <v>0</v>
      </c>
      <c r="AP24" s="80">
        <f t="shared" si="13"/>
        <v>0</v>
      </c>
      <c r="AQ24" s="77"/>
      <c r="AR24" s="6" t="str">
        <f t="shared" si="14"/>
        <v/>
      </c>
    </row>
    <row r="25" spans="1:44" s="6" customFormat="1" ht="47.25" customHeight="1" x14ac:dyDescent="0.35">
      <c r="A25" s="71"/>
      <c r="B25" s="68"/>
      <c r="C25" s="25"/>
      <c r="D25" s="25"/>
      <c r="E25" s="67" t="str">
        <f t="shared" si="10"/>
        <v/>
      </c>
      <c r="F25" s="62"/>
      <c r="G25" s="14"/>
      <c r="H25" s="65"/>
      <c r="I25" s="70"/>
      <c r="J25" s="14"/>
      <c r="K25" s="69"/>
      <c r="L25" s="15"/>
      <c r="M25" s="16"/>
      <c r="N25" s="17"/>
      <c r="O25" s="72"/>
      <c r="P25" s="18"/>
      <c r="Q25" s="60"/>
      <c r="R25" s="19"/>
      <c r="S25" s="18"/>
      <c r="T25" s="75"/>
      <c r="U25" s="20"/>
      <c r="V25" s="21"/>
      <c r="W25" s="22"/>
      <c r="Y25" s="78" t="e">
        <f>VLOOKUP(V25,[1]IOT!$A:$B,2,0)</f>
        <v>#N/A</v>
      </c>
      <c r="Z25" s="78">
        <f>IF(ISNA(VLOOKUP(K25,[2]Sheet1!$A:$B,2,0)),0,(VLOOKUP(K25,[2]Sheet1!$A:$B,2,0)))</f>
        <v>0</v>
      </c>
      <c r="AA25" s="78">
        <f t="shared" si="11"/>
        <v>0</v>
      </c>
      <c r="AB25" s="78" t="e">
        <f>VLOOKUP(K25,[1]IOT!$A:$E,5,0)</f>
        <v>#N/A</v>
      </c>
      <c r="AC25" s="78"/>
      <c r="AD25" s="78" t="e">
        <f>VLOOKUP(K25,[1]IOT!$A:$F,6,0)</f>
        <v>#N/A</v>
      </c>
      <c r="AE25" s="78"/>
      <c r="AF25" s="78"/>
      <c r="AG25" s="78"/>
      <c r="AH25" s="78" t="e">
        <f>VLOOKUP(K25,[1]IOT!$A:$G,7,0)</f>
        <v>#N/A</v>
      </c>
      <c r="AI25" s="78" t="e">
        <f>VLOOKUP(K25,[1]IOT!$A:$H,8,0)</f>
        <v>#N/A</v>
      </c>
      <c r="AJ25" s="78" t="e">
        <f>VLOOKUP(K25,[1]IOT!$A:$I,9,0)</f>
        <v>#N/A</v>
      </c>
      <c r="AK25" s="78" t="e">
        <f>VLOOKUP(K25,[1]IOT!$A:$J,10,0)</f>
        <v>#N/A</v>
      </c>
      <c r="AL25" s="78" t="e">
        <f>VLOOKUP(K25,[1]IOT!$A:$K,11,0)</f>
        <v>#N/A</v>
      </c>
      <c r="AM25" s="78"/>
      <c r="AN25" s="78"/>
      <c r="AO25" s="79">
        <f t="shared" si="12"/>
        <v>0</v>
      </c>
      <c r="AP25" s="80">
        <f t="shared" si="13"/>
        <v>0</v>
      </c>
      <c r="AQ25" s="77"/>
      <c r="AR25" s="6" t="str">
        <f t="shared" si="14"/>
        <v/>
      </c>
    </row>
    <row r="26" spans="1:44" s="6" customFormat="1" ht="47.25" customHeight="1" x14ac:dyDescent="0.35">
      <c r="A26" s="71"/>
      <c r="B26" s="68"/>
      <c r="C26" s="25"/>
      <c r="D26" s="25"/>
      <c r="E26" s="67" t="str">
        <f t="shared" si="10"/>
        <v/>
      </c>
      <c r="F26" s="62"/>
      <c r="G26" s="14"/>
      <c r="H26" s="65"/>
      <c r="I26" s="70"/>
      <c r="J26" s="14"/>
      <c r="K26" s="69"/>
      <c r="L26" s="15"/>
      <c r="M26" s="16"/>
      <c r="N26" s="17"/>
      <c r="O26" s="72"/>
      <c r="P26" s="18"/>
      <c r="Q26" s="60"/>
      <c r="R26" s="19"/>
      <c r="S26" s="18"/>
      <c r="T26" s="75"/>
      <c r="U26" s="20"/>
      <c r="V26" s="21"/>
      <c r="W26" s="22"/>
      <c r="Y26" s="78" t="e">
        <f>VLOOKUP(V26,[1]IOT!$A:$B,2,0)</f>
        <v>#N/A</v>
      </c>
      <c r="Z26" s="78">
        <f>IF(ISNA(VLOOKUP(K26,[2]Sheet1!$A:$B,2,0)),0,(VLOOKUP(K26,[2]Sheet1!$A:$B,2,0)))</f>
        <v>0</v>
      </c>
      <c r="AA26" s="78">
        <f t="shared" si="11"/>
        <v>0</v>
      </c>
      <c r="AB26" s="78" t="e">
        <f>VLOOKUP(K26,[1]IOT!$A:$E,5,0)</f>
        <v>#N/A</v>
      </c>
      <c r="AC26" s="78"/>
      <c r="AD26" s="78" t="e">
        <f>VLOOKUP(K26,[1]IOT!$A:$F,6,0)</f>
        <v>#N/A</v>
      </c>
      <c r="AE26" s="78"/>
      <c r="AF26" s="78"/>
      <c r="AG26" s="78"/>
      <c r="AH26" s="78" t="e">
        <f>VLOOKUP(K26,[1]IOT!$A:$G,7,0)</f>
        <v>#N/A</v>
      </c>
      <c r="AI26" s="78" t="e">
        <f>VLOOKUP(K26,[1]IOT!$A:$H,8,0)</f>
        <v>#N/A</v>
      </c>
      <c r="AJ26" s="78" t="e">
        <f>VLOOKUP(K26,[1]IOT!$A:$I,9,0)</f>
        <v>#N/A</v>
      </c>
      <c r="AK26" s="78" t="e">
        <f>VLOOKUP(K26,[1]IOT!$A:$J,10,0)</f>
        <v>#N/A</v>
      </c>
      <c r="AL26" s="78" t="e">
        <f>VLOOKUP(K26,[1]IOT!$A:$K,11,0)</f>
        <v>#N/A</v>
      </c>
      <c r="AM26" s="78"/>
      <c r="AN26" s="78"/>
      <c r="AO26" s="79">
        <f t="shared" si="12"/>
        <v>0</v>
      </c>
      <c r="AP26" s="80">
        <f t="shared" si="13"/>
        <v>0</v>
      </c>
      <c r="AQ26" s="77"/>
      <c r="AR26" s="6" t="str">
        <f t="shared" si="14"/>
        <v/>
      </c>
    </row>
    <row r="27" spans="1:44" s="6" customFormat="1" ht="47.25" customHeight="1" x14ac:dyDescent="0.35">
      <c r="A27" s="71"/>
      <c r="B27" s="68"/>
      <c r="C27" s="25"/>
      <c r="D27" s="25"/>
      <c r="E27" s="67" t="str">
        <f t="shared" ref="E27:E30" si="15">IF(ISBLANK(AS27),"",AS27/24)</f>
        <v/>
      </c>
      <c r="F27" s="62"/>
      <c r="G27" s="14"/>
      <c r="H27" s="65"/>
      <c r="I27" s="70"/>
      <c r="J27" s="14"/>
      <c r="K27" s="69"/>
      <c r="L27" s="15"/>
      <c r="M27" s="16"/>
      <c r="N27" s="17"/>
      <c r="O27" s="72"/>
      <c r="P27" s="18"/>
      <c r="Q27" s="60"/>
      <c r="R27" s="19"/>
      <c r="S27" s="18"/>
      <c r="T27" s="75"/>
      <c r="U27" s="20"/>
      <c r="V27" s="21"/>
      <c r="W27" s="22"/>
      <c r="Y27" s="78" t="e">
        <f>VLOOKUP(V27,[1]IOT!$A:$B,2,0)</f>
        <v>#N/A</v>
      </c>
      <c r="Z27" s="78">
        <f>IF(ISNA(VLOOKUP(K27,[2]Sheet1!$A:$B,2,0)),0,(VLOOKUP(K27,[2]Sheet1!$A:$B,2,0)))</f>
        <v>0</v>
      </c>
      <c r="AA27" s="78">
        <f t="shared" ref="AA27:AA31" si="16">IF(ISNA(VLOOKUP(Y27,$Y$1:$Z$2,2,0)),0,(VLOOKUP(Y27,$Y$1:$Z$2,2,0)))</f>
        <v>0</v>
      </c>
      <c r="AB27" s="78" t="e">
        <f>VLOOKUP(K27,[1]IOT!$A:$E,5,0)</f>
        <v>#N/A</v>
      </c>
      <c r="AC27" s="78"/>
      <c r="AD27" s="78" t="e">
        <f>VLOOKUP(K27,[1]IOT!$A:$F,6,0)</f>
        <v>#N/A</v>
      </c>
      <c r="AE27" s="78"/>
      <c r="AF27" s="78"/>
      <c r="AG27" s="78"/>
      <c r="AH27" s="78" t="e">
        <f>VLOOKUP(K27,[1]IOT!$A:$G,7,0)</f>
        <v>#N/A</v>
      </c>
      <c r="AI27" s="78" t="e">
        <f>VLOOKUP(K27,[1]IOT!$A:$H,8,0)</f>
        <v>#N/A</v>
      </c>
      <c r="AJ27" s="78" t="e">
        <f>VLOOKUP(K27,[1]IOT!$A:$I,9,0)</f>
        <v>#N/A</v>
      </c>
      <c r="AK27" s="78" t="e">
        <f>VLOOKUP(K27,[1]IOT!$A:$J,10,0)</f>
        <v>#N/A</v>
      </c>
      <c r="AL27" s="78" t="e">
        <f>VLOOKUP(K27,[1]IOT!$A:$K,11,0)</f>
        <v>#N/A</v>
      </c>
      <c r="AM27" s="78"/>
      <c r="AN27" s="78"/>
      <c r="AO27" s="79">
        <f t="shared" ref="AO27:AO31" si="17">C27</f>
        <v>0</v>
      </c>
      <c r="AP27" s="80">
        <f t="shared" ref="AP27:AP31" si="18">M27</f>
        <v>0</v>
      </c>
      <c r="AQ27" s="77"/>
      <c r="AR27" s="6" t="str">
        <f t="shared" ref="AR27:AR31" si="19">B27&amp;K27</f>
        <v/>
      </c>
    </row>
    <row r="28" spans="1:44" s="6" customFormat="1" ht="47.25" customHeight="1" x14ac:dyDescent="0.35">
      <c r="A28" s="71"/>
      <c r="B28" s="68"/>
      <c r="C28" s="25"/>
      <c r="D28" s="25"/>
      <c r="E28" s="67" t="str">
        <f t="shared" si="15"/>
        <v/>
      </c>
      <c r="F28" s="62"/>
      <c r="G28" s="14"/>
      <c r="H28" s="65"/>
      <c r="I28" s="70"/>
      <c r="J28" s="14"/>
      <c r="K28" s="69"/>
      <c r="L28" s="15"/>
      <c r="M28" s="16"/>
      <c r="N28" s="17"/>
      <c r="O28" s="72"/>
      <c r="P28" s="18"/>
      <c r="Q28" s="60"/>
      <c r="R28" s="19"/>
      <c r="S28" s="18"/>
      <c r="T28" s="75"/>
      <c r="U28" s="20"/>
      <c r="V28" s="21"/>
      <c r="W28" s="22"/>
      <c r="Y28" s="78" t="e">
        <f>VLOOKUP(V28,[1]IOT!$A:$B,2,0)</f>
        <v>#N/A</v>
      </c>
      <c r="Z28" s="78">
        <f>IF(ISNA(VLOOKUP(K28,[2]Sheet1!$A:$B,2,0)),0,(VLOOKUP(K28,[2]Sheet1!$A:$B,2,0)))</f>
        <v>0</v>
      </c>
      <c r="AA28" s="78">
        <f t="shared" si="16"/>
        <v>0</v>
      </c>
      <c r="AB28" s="78" t="e">
        <f>VLOOKUP(K28,[1]IOT!$A:$E,5,0)</f>
        <v>#N/A</v>
      </c>
      <c r="AC28" s="78"/>
      <c r="AD28" s="78" t="e">
        <f>VLOOKUP(K28,[1]IOT!$A:$F,6,0)</f>
        <v>#N/A</v>
      </c>
      <c r="AE28" s="78"/>
      <c r="AF28" s="78"/>
      <c r="AG28" s="78"/>
      <c r="AH28" s="78" t="e">
        <f>VLOOKUP(K28,[1]IOT!$A:$G,7,0)</f>
        <v>#N/A</v>
      </c>
      <c r="AI28" s="78" t="e">
        <f>VLOOKUP(K28,[1]IOT!$A:$H,8,0)</f>
        <v>#N/A</v>
      </c>
      <c r="AJ28" s="78" t="e">
        <f>VLOOKUP(K28,[1]IOT!$A:$I,9,0)</f>
        <v>#N/A</v>
      </c>
      <c r="AK28" s="78" t="e">
        <f>VLOOKUP(K28,[1]IOT!$A:$J,10,0)</f>
        <v>#N/A</v>
      </c>
      <c r="AL28" s="78" t="e">
        <f>VLOOKUP(K28,[1]IOT!$A:$K,11,0)</f>
        <v>#N/A</v>
      </c>
      <c r="AM28" s="78"/>
      <c r="AN28" s="78"/>
      <c r="AO28" s="79">
        <f t="shared" si="17"/>
        <v>0</v>
      </c>
      <c r="AP28" s="80">
        <f t="shared" si="18"/>
        <v>0</v>
      </c>
      <c r="AQ28" s="77"/>
      <c r="AR28" s="6" t="str">
        <f t="shared" si="19"/>
        <v/>
      </c>
    </row>
    <row r="29" spans="1:44" s="6" customFormat="1" ht="47.25" customHeight="1" x14ac:dyDescent="0.35">
      <c r="A29" s="71"/>
      <c r="B29" s="68"/>
      <c r="C29" s="25"/>
      <c r="D29" s="25"/>
      <c r="E29" s="67" t="str">
        <f t="shared" si="15"/>
        <v/>
      </c>
      <c r="F29" s="62"/>
      <c r="G29" s="14"/>
      <c r="H29" s="65"/>
      <c r="I29" s="70"/>
      <c r="J29" s="14"/>
      <c r="K29" s="69"/>
      <c r="L29" s="15"/>
      <c r="M29" s="16"/>
      <c r="N29" s="17"/>
      <c r="O29" s="72"/>
      <c r="P29" s="18"/>
      <c r="Q29" s="60"/>
      <c r="R29" s="19"/>
      <c r="S29" s="18"/>
      <c r="T29" s="75"/>
      <c r="U29" s="20"/>
      <c r="V29" s="21"/>
      <c r="W29" s="22"/>
      <c r="Y29" s="78" t="e">
        <f>VLOOKUP(V29,[1]IOT!$A:$B,2,0)</f>
        <v>#N/A</v>
      </c>
      <c r="Z29" s="78">
        <f>IF(ISNA(VLOOKUP(K29,[2]Sheet1!$A:$B,2,0)),0,(VLOOKUP(K29,[2]Sheet1!$A:$B,2,0)))</f>
        <v>0</v>
      </c>
      <c r="AA29" s="78">
        <f t="shared" si="16"/>
        <v>0</v>
      </c>
      <c r="AB29" s="78" t="e">
        <f>VLOOKUP(K29,[1]IOT!$A:$E,5,0)</f>
        <v>#N/A</v>
      </c>
      <c r="AC29" s="78"/>
      <c r="AD29" s="78" t="e">
        <f>VLOOKUP(K29,[1]IOT!$A:$F,6,0)</f>
        <v>#N/A</v>
      </c>
      <c r="AE29" s="78"/>
      <c r="AF29" s="78"/>
      <c r="AG29" s="78"/>
      <c r="AH29" s="78" t="e">
        <f>VLOOKUP(K29,[1]IOT!$A:$G,7,0)</f>
        <v>#N/A</v>
      </c>
      <c r="AI29" s="78" t="e">
        <f>VLOOKUP(K29,[1]IOT!$A:$H,8,0)</f>
        <v>#N/A</v>
      </c>
      <c r="AJ29" s="78" t="e">
        <f>VLOOKUP(K29,[1]IOT!$A:$I,9,0)</f>
        <v>#N/A</v>
      </c>
      <c r="AK29" s="78" t="e">
        <f>VLOOKUP(K29,[1]IOT!$A:$J,10,0)</f>
        <v>#N/A</v>
      </c>
      <c r="AL29" s="78" t="e">
        <f>VLOOKUP(K29,[1]IOT!$A:$K,11,0)</f>
        <v>#N/A</v>
      </c>
      <c r="AM29" s="78"/>
      <c r="AN29" s="78"/>
      <c r="AO29" s="79">
        <f t="shared" si="17"/>
        <v>0</v>
      </c>
      <c r="AP29" s="80">
        <f t="shared" si="18"/>
        <v>0</v>
      </c>
      <c r="AQ29" s="77"/>
      <c r="AR29" s="6" t="str">
        <f t="shared" si="19"/>
        <v/>
      </c>
    </row>
    <row r="30" spans="1:44" s="6" customFormat="1" ht="47.25" customHeight="1" x14ac:dyDescent="0.35">
      <c r="A30" s="71"/>
      <c r="B30" s="68"/>
      <c r="C30" s="25"/>
      <c r="D30" s="25"/>
      <c r="E30" s="67" t="str">
        <f t="shared" si="15"/>
        <v/>
      </c>
      <c r="F30" s="62"/>
      <c r="G30" s="14"/>
      <c r="H30" s="65"/>
      <c r="I30" s="70"/>
      <c r="J30" s="14"/>
      <c r="K30" s="69"/>
      <c r="L30" s="15"/>
      <c r="M30" s="16"/>
      <c r="N30" s="17"/>
      <c r="O30" s="72"/>
      <c r="P30" s="18"/>
      <c r="Q30" s="60"/>
      <c r="R30" s="19"/>
      <c r="S30" s="18"/>
      <c r="T30" s="75"/>
      <c r="U30" s="20"/>
      <c r="V30" s="21"/>
      <c r="W30" s="22"/>
      <c r="Y30" s="78" t="e">
        <f>VLOOKUP(V30,[1]IOT!$A:$B,2,0)</f>
        <v>#N/A</v>
      </c>
      <c r="Z30" s="78">
        <f>IF(ISNA(VLOOKUP(K30,[2]Sheet1!$A:$B,2,0)),0,(VLOOKUP(K30,[2]Sheet1!$A:$B,2,0)))</f>
        <v>0</v>
      </c>
      <c r="AA30" s="78">
        <f t="shared" si="16"/>
        <v>0</v>
      </c>
      <c r="AB30" s="78" t="e">
        <f>VLOOKUP(K30,[1]IOT!$A:$E,5,0)</f>
        <v>#N/A</v>
      </c>
      <c r="AC30" s="78"/>
      <c r="AD30" s="78" t="e">
        <f>VLOOKUP(K30,[1]IOT!$A:$F,6,0)</f>
        <v>#N/A</v>
      </c>
      <c r="AE30" s="78"/>
      <c r="AF30" s="78"/>
      <c r="AG30" s="78"/>
      <c r="AH30" s="78" t="e">
        <f>VLOOKUP(K30,[1]IOT!$A:$G,7,0)</f>
        <v>#N/A</v>
      </c>
      <c r="AI30" s="78" t="e">
        <f>VLOOKUP(K30,[1]IOT!$A:$H,8,0)</f>
        <v>#N/A</v>
      </c>
      <c r="AJ30" s="78" t="e">
        <f>VLOOKUP(K30,[1]IOT!$A:$I,9,0)</f>
        <v>#N/A</v>
      </c>
      <c r="AK30" s="78" t="e">
        <f>VLOOKUP(K30,[1]IOT!$A:$J,10,0)</f>
        <v>#N/A</v>
      </c>
      <c r="AL30" s="78" t="e">
        <f>VLOOKUP(K30,[1]IOT!$A:$K,11,0)</f>
        <v>#N/A</v>
      </c>
      <c r="AM30" s="78"/>
      <c r="AN30" s="78"/>
      <c r="AO30" s="79">
        <f t="shared" si="17"/>
        <v>0</v>
      </c>
      <c r="AP30" s="80">
        <f t="shared" si="18"/>
        <v>0</v>
      </c>
      <c r="AQ30" s="77"/>
      <c r="AR30" s="6" t="str">
        <f t="shared" si="19"/>
        <v/>
      </c>
    </row>
    <row r="31" spans="1:44" s="6" customFormat="1" ht="47.25" customHeight="1" x14ac:dyDescent="0.35">
      <c r="A31" s="71"/>
      <c r="B31" s="68"/>
      <c r="C31" s="25"/>
      <c r="D31" s="25"/>
      <c r="E31" s="67" t="str">
        <f t="shared" ref="E31:E200" si="20">IF(ISBLANK(AS31),"",AS31/24)</f>
        <v/>
      </c>
      <c r="F31" s="62"/>
      <c r="G31" s="14"/>
      <c r="H31" s="65"/>
      <c r="I31" s="70"/>
      <c r="J31" s="14"/>
      <c r="K31" s="69"/>
      <c r="L31" s="15"/>
      <c r="M31" s="16"/>
      <c r="N31" s="17"/>
      <c r="O31" s="72"/>
      <c r="P31" s="18"/>
      <c r="Q31" s="60"/>
      <c r="R31" s="19"/>
      <c r="S31" s="18"/>
      <c r="T31" s="75"/>
      <c r="U31" s="20"/>
      <c r="V31" s="21"/>
      <c r="W31" s="22"/>
      <c r="Y31" s="78" t="e">
        <f>VLOOKUP(V31,[1]IOT!$A:$B,2,0)</f>
        <v>#N/A</v>
      </c>
      <c r="Z31" s="78">
        <f>IF(ISNA(VLOOKUP(K31,[2]Sheet1!$A:$B,2,0)),0,(VLOOKUP(K31,[2]Sheet1!$A:$B,2,0)))</f>
        <v>0</v>
      </c>
      <c r="AA31" s="78">
        <f t="shared" si="16"/>
        <v>0</v>
      </c>
      <c r="AB31" s="78" t="e">
        <f>VLOOKUP(K31,[1]IOT!$A:$E,5,0)</f>
        <v>#N/A</v>
      </c>
      <c r="AC31" s="78"/>
      <c r="AD31" s="78" t="e">
        <f>VLOOKUP(K31,[1]IOT!$A:$F,6,0)</f>
        <v>#N/A</v>
      </c>
      <c r="AE31" s="78"/>
      <c r="AF31" s="78"/>
      <c r="AG31" s="78"/>
      <c r="AH31" s="78" t="e">
        <f>VLOOKUP(K31,[1]IOT!$A:$G,7,0)</f>
        <v>#N/A</v>
      </c>
      <c r="AI31" s="78" t="e">
        <f>VLOOKUP(K31,[1]IOT!$A:$H,8,0)</f>
        <v>#N/A</v>
      </c>
      <c r="AJ31" s="78" t="e">
        <f>VLOOKUP(K31,[1]IOT!$A:$I,9,0)</f>
        <v>#N/A</v>
      </c>
      <c r="AK31" s="78" t="e">
        <f>VLOOKUP(K31,[1]IOT!$A:$J,10,0)</f>
        <v>#N/A</v>
      </c>
      <c r="AL31" s="78" t="e">
        <f>VLOOKUP(K31,[1]IOT!$A:$K,11,0)</f>
        <v>#N/A</v>
      </c>
      <c r="AM31" s="78"/>
      <c r="AN31" s="78"/>
      <c r="AO31" s="79">
        <f t="shared" si="17"/>
        <v>0</v>
      </c>
      <c r="AP31" s="80">
        <f t="shared" si="18"/>
        <v>0</v>
      </c>
      <c r="AQ31" s="77"/>
      <c r="AR31" s="6" t="str">
        <f t="shared" si="19"/>
        <v/>
      </c>
    </row>
    <row r="32" spans="1:44" s="6" customFormat="1" ht="47.25" customHeight="1" x14ac:dyDescent="0.35">
      <c r="A32" s="71"/>
      <c r="B32" s="68"/>
      <c r="C32" s="25"/>
      <c r="D32" s="25"/>
      <c r="E32" s="67" t="str">
        <f t="shared" si="20"/>
        <v/>
      </c>
      <c r="F32" s="62"/>
      <c r="G32" s="14"/>
      <c r="H32" s="65"/>
      <c r="I32" s="70"/>
      <c r="J32" s="14"/>
      <c r="K32" s="69"/>
      <c r="L32" s="15"/>
      <c r="M32" s="16"/>
      <c r="N32" s="17"/>
      <c r="O32" s="72"/>
      <c r="P32" s="18"/>
      <c r="Q32" s="60"/>
      <c r="R32" s="19"/>
      <c r="S32" s="18"/>
      <c r="T32" s="75"/>
      <c r="U32" s="20"/>
      <c r="V32" s="21"/>
      <c r="W32" s="22"/>
      <c r="Y32" s="78" t="e">
        <f>VLOOKUP(V32,[1]IOT!$A:$B,2,0)</f>
        <v>#N/A</v>
      </c>
      <c r="Z32" s="78">
        <f>IF(ISNA(VLOOKUP(K32,[2]Sheet1!$A:$B,2,0)),0,(VLOOKUP(K32,[2]Sheet1!$A:$B,2,0)))</f>
        <v>0</v>
      </c>
      <c r="AA32" s="78">
        <f t="shared" ref="AA32:AA95" si="21">IF(ISNA(VLOOKUP(Y32,$Y$1:$Z$2,2,0)),0,(VLOOKUP(Y32,$Y$1:$Z$2,2,0)))</f>
        <v>0</v>
      </c>
      <c r="AB32" s="78" t="e">
        <f>VLOOKUP(K32,[1]IOT!$A:$E,5,0)</f>
        <v>#N/A</v>
      </c>
      <c r="AC32" s="78"/>
      <c r="AD32" s="78" t="e">
        <f>VLOOKUP(K32,[1]IOT!$A:$F,6,0)</f>
        <v>#N/A</v>
      </c>
      <c r="AE32" s="78"/>
      <c r="AF32" s="78"/>
      <c r="AG32" s="78"/>
      <c r="AH32" s="78" t="e">
        <f>VLOOKUP(K32,[1]IOT!$A:$G,7,0)</f>
        <v>#N/A</v>
      </c>
      <c r="AI32" s="78" t="e">
        <f>VLOOKUP(K32,[1]IOT!$A:$H,8,0)</f>
        <v>#N/A</v>
      </c>
      <c r="AJ32" s="78" t="e">
        <f>VLOOKUP(K32,[1]IOT!$A:$I,9,0)</f>
        <v>#N/A</v>
      </c>
      <c r="AK32" s="78" t="e">
        <f>VLOOKUP(K32,[1]IOT!$A:$J,10,0)</f>
        <v>#N/A</v>
      </c>
      <c r="AL32" s="78" t="e">
        <f>VLOOKUP(K32,[1]IOT!$A:$K,11,0)</f>
        <v>#N/A</v>
      </c>
      <c r="AM32" s="78"/>
      <c r="AN32" s="78"/>
      <c r="AO32" s="79">
        <f t="shared" ref="AO32:AO95" si="22">C32</f>
        <v>0</v>
      </c>
      <c r="AP32" s="80">
        <f t="shared" ref="AP32:AP95" si="23">M32</f>
        <v>0</v>
      </c>
      <c r="AQ32" s="77"/>
      <c r="AR32" s="6" t="str">
        <f t="shared" ref="AR32:AR95" si="24">B32&amp;K32</f>
        <v/>
      </c>
    </row>
    <row r="33" spans="1:44" s="6" customFormat="1" ht="47.25" customHeight="1" x14ac:dyDescent="0.35">
      <c r="A33" s="71"/>
      <c r="B33" s="68"/>
      <c r="C33" s="25"/>
      <c r="D33" s="25"/>
      <c r="E33" s="67" t="str">
        <f t="shared" si="20"/>
        <v/>
      </c>
      <c r="F33" s="62"/>
      <c r="G33" s="14"/>
      <c r="H33" s="65"/>
      <c r="I33" s="70"/>
      <c r="J33" s="14"/>
      <c r="K33" s="69"/>
      <c r="L33" s="15"/>
      <c r="M33" s="16"/>
      <c r="N33" s="17"/>
      <c r="O33" s="72"/>
      <c r="P33" s="18"/>
      <c r="Q33" s="60"/>
      <c r="R33" s="19"/>
      <c r="S33" s="18"/>
      <c r="T33" s="75"/>
      <c r="U33" s="20"/>
      <c r="V33" s="21"/>
      <c r="W33" s="22"/>
      <c r="Y33" s="78" t="e">
        <f>VLOOKUP(V33,[1]IOT!$A:$B,2,0)</f>
        <v>#N/A</v>
      </c>
      <c r="Z33" s="78">
        <f>IF(ISNA(VLOOKUP(K33,[2]Sheet1!$A:$B,2,0)),0,(VLOOKUP(K33,[2]Sheet1!$A:$B,2,0)))</f>
        <v>0</v>
      </c>
      <c r="AA33" s="78">
        <f t="shared" si="21"/>
        <v>0</v>
      </c>
      <c r="AB33" s="78" t="e">
        <f>VLOOKUP(K33,[1]IOT!$A:$E,5,0)</f>
        <v>#N/A</v>
      </c>
      <c r="AC33" s="78"/>
      <c r="AD33" s="78" t="e">
        <f>VLOOKUP(K33,[1]IOT!$A:$F,6,0)</f>
        <v>#N/A</v>
      </c>
      <c r="AE33" s="78"/>
      <c r="AF33" s="78"/>
      <c r="AG33" s="78"/>
      <c r="AH33" s="78" t="e">
        <f>VLOOKUP(K33,[1]IOT!$A:$G,7,0)</f>
        <v>#N/A</v>
      </c>
      <c r="AI33" s="78" t="e">
        <f>VLOOKUP(K33,[1]IOT!$A:$H,8,0)</f>
        <v>#N/A</v>
      </c>
      <c r="AJ33" s="78" t="e">
        <f>VLOOKUP(K33,[1]IOT!$A:$I,9,0)</f>
        <v>#N/A</v>
      </c>
      <c r="AK33" s="78" t="e">
        <f>VLOOKUP(K33,[1]IOT!$A:$J,10,0)</f>
        <v>#N/A</v>
      </c>
      <c r="AL33" s="78" t="e">
        <f>VLOOKUP(K33,[1]IOT!$A:$K,11,0)</f>
        <v>#N/A</v>
      </c>
      <c r="AM33" s="78"/>
      <c r="AN33" s="78"/>
      <c r="AO33" s="79">
        <f t="shared" si="22"/>
        <v>0</v>
      </c>
      <c r="AP33" s="80">
        <f t="shared" si="23"/>
        <v>0</v>
      </c>
      <c r="AQ33" s="77"/>
      <c r="AR33" s="6" t="str">
        <f t="shared" si="24"/>
        <v/>
      </c>
    </row>
    <row r="34" spans="1:44" s="6" customFormat="1" ht="47.25" customHeight="1" x14ac:dyDescent="0.35">
      <c r="A34" s="71"/>
      <c r="B34" s="68"/>
      <c r="C34" s="25"/>
      <c r="D34" s="25"/>
      <c r="E34" s="67" t="str">
        <f t="shared" si="20"/>
        <v/>
      </c>
      <c r="F34" s="62"/>
      <c r="G34" s="14"/>
      <c r="H34" s="65"/>
      <c r="I34" s="70"/>
      <c r="J34" s="14"/>
      <c r="K34" s="69"/>
      <c r="L34" s="15"/>
      <c r="M34" s="16"/>
      <c r="N34" s="17"/>
      <c r="O34" s="72"/>
      <c r="P34" s="18"/>
      <c r="Q34" s="60"/>
      <c r="R34" s="19"/>
      <c r="S34" s="18"/>
      <c r="T34" s="75"/>
      <c r="U34" s="20"/>
      <c r="V34" s="21"/>
      <c r="W34" s="22"/>
      <c r="Y34" s="78" t="e">
        <f>VLOOKUP(V34,[1]IOT!$A:$B,2,0)</f>
        <v>#N/A</v>
      </c>
      <c r="Z34" s="78">
        <f>IF(ISNA(VLOOKUP(K34,[2]Sheet1!$A:$B,2,0)),0,(VLOOKUP(K34,[2]Sheet1!$A:$B,2,0)))</f>
        <v>0</v>
      </c>
      <c r="AA34" s="78">
        <f t="shared" si="21"/>
        <v>0</v>
      </c>
      <c r="AB34" s="78" t="e">
        <f>VLOOKUP(K34,[1]IOT!$A:$E,5,0)</f>
        <v>#N/A</v>
      </c>
      <c r="AC34" s="78"/>
      <c r="AD34" s="78" t="e">
        <f>VLOOKUP(K34,[1]IOT!$A:$F,6,0)</f>
        <v>#N/A</v>
      </c>
      <c r="AE34" s="78"/>
      <c r="AF34" s="78"/>
      <c r="AG34" s="78"/>
      <c r="AH34" s="78" t="e">
        <f>VLOOKUP(K34,[1]IOT!$A:$G,7,0)</f>
        <v>#N/A</v>
      </c>
      <c r="AI34" s="78" t="e">
        <f>VLOOKUP(K34,[1]IOT!$A:$H,8,0)</f>
        <v>#N/A</v>
      </c>
      <c r="AJ34" s="78" t="e">
        <f>VLOOKUP(K34,[1]IOT!$A:$I,9,0)</f>
        <v>#N/A</v>
      </c>
      <c r="AK34" s="78" t="e">
        <f>VLOOKUP(K34,[1]IOT!$A:$J,10,0)</f>
        <v>#N/A</v>
      </c>
      <c r="AL34" s="78" t="e">
        <f>VLOOKUP(K34,[1]IOT!$A:$K,11,0)</f>
        <v>#N/A</v>
      </c>
      <c r="AM34" s="78"/>
      <c r="AN34" s="78"/>
      <c r="AO34" s="79">
        <f t="shared" si="22"/>
        <v>0</v>
      </c>
      <c r="AP34" s="80">
        <f t="shared" si="23"/>
        <v>0</v>
      </c>
      <c r="AQ34" s="77"/>
      <c r="AR34" s="6" t="str">
        <f t="shared" si="24"/>
        <v/>
      </c>
    </row>
    <row r="35" spans="1:44" s="6" customFormat="1" ht="47.25" customHeight="1" x14ac:dyDescent="0.35">
      <c r="A35" s="71"/>
      <c r="B35" s="68"/>
      <c r="C35" s="25"/>
      <c r="D35" s="25"/>
      <c r="E35" s="67" t="str">
        <f t="shared" si="20"/>
        <v/>
      </c>
      <c r="F35" s="62"/>
      <c r="G35" s="14"/>
      <c r="H35" s="65"/>
      <c r="I35" s="70"/>
      <c r="J35" s="14"/>
      <c r="K35" s="69"/>
      <c r="L35" s="15"/>
      <c r="M35" s="16"/>
      <c r="N35" s="17"/>
      <c r="O35" s="72"/>
      <c r="P35" s="18"/>
      <c r="Q35" s="60"/>
      <c r="R35" s="19"/>
      <c r="S35" s="18"/>
      <c r="T35" s="75"/>
      <c r="U35" s="20"/>
      <c r="V35" s="21"/>
      <c r="W35" s="22"/>
      <c r="Y35" s="78" t="e">
        <f>VLOOKUP(V35,[1]IOT!$A:$B,2,0)</f>
        <v>#N/A</v>
      </c>
      <c r="Z35" s="78">
        <f>IF(ISNA(VLOOKUP(K35,[2]Sheet1!$A:$B,2,0)),0,(VLOOKUP(K35,[2]Sheet1!$A:$B,2,0)))</f>
        <v>0</v>
      </c>
      <c r="AA35" s="78">
        <f t="shared" si="21"/>
        <v>0</v>
      </c>
      <c r="AB35" s="78" t="e">
        <f>VLOOKUP(K35,[1]IOT!$A:$E,5,0)</f>
        <v>#N/A</v>
      </c>
      <c r="AC35" s="78"/>
      <c r="AD35" s="78" t="e">
        <f>VLOOKUP(K35,[1]IOT!$A:$F,6,0)</f>
        <v>#N/A</v>
      </c>
      <c r="AE35" s="78"/>
      <c r="AF35" s="78"/>
      <c r="AG35" s="78"/>
      <c r="AH35" s="78" t="e">
        <f>VLOOKUP(K35,[1]IOT!$A:$G,7,0)</f>
        <v>#N/A</v>
      </c>
      <c r="AI35" s="78" t="e">
        <f>VLOOKUP(K35,[1]IOT!$A:$H,8,0)</f>
        <v>#N/A</v>
      </c>
      <c r="AJ35" s="78" t="e">
        <f>VLOOKUP(K35,[1]IOT!$A:$I,9,0)</f>
        <v>#N/A</v>
      </c>
      <c r="AK35" s="78" t="e">
        <f>VLOOKUP(K35,[1]IOT!$A:$J,10,0)</f>
        <v>#N/A</v>
      </c>
      <c r="AL35" s="78" t="e">
        <f>VLOOKUP(K35,[1]IOT!$A:$K,11,0)</f>
        <v>#N/A</v>
      </c>
      <c r="AM35" s="78"/>
      <c r="AN35" s="78"/>
      <c r="AO35" s="79">
        <f t="shared" si="22"/>
        <v>0</v>
      </c>
      <c r="AP35" s="80">
        <f t="shared" si="23"/>
        <v>0</v>
      </c>
      <c r="AQ35" s="77"/>
      <c r="AR35" s="6" t="str">
        <f t="shared" si="24"/>
        <v/>
      </c>
    </row>
    <row r="36" spans="1:44" s="6" customFormat="1" ht="47.25" customHeight="1" x14ac:dyDescent="0.35">
      <c r="A36" s="71"/>
      <c r="B36" s="68"/>
      <c r="C36" s="25"/>
      <c r="D36" s="25"/>
      <c r="E36" s="67" t="str">
        <f t="shared" si="20"/>
        <v/>
      </c>
      <c r="F36" s="62"/>
      <c r="G36" s="14"/>
      <c r="H36" s="65"/>
      <c r="I36" s="70"/>
      <c r="J36" s="14"/>
      <c r="K36" s="69"/>
      <c r="L36" s="15"/>
      <c r="M36" s="16"/>
      <c r="N36" s="17"/>
      <c r="O36" s="72"/>
      <c r="P36" s="18"/>
      <c r="Q36" s="60"/>
      <c r="R36" s="19"/>
      <c r="S36" s="18"/>
      <c r="T36" s="75"/>
      <c r="U36" s="20"/>
      <c r="V36" s="21"/>
      <c r="W36" s="22"/>
      <c r="Y36" s="78" t="e">
        <f>VLOOKUP(V36,[1]IOT!$A:$B,2,0)</f>
        <v>#N/A</v>
      </c>
      <c r="Z36" s="78">
        <f>IF(ISNA(VLOOKUP(K36,[2]Sheet1!$A:$B,2,0)),0,(VLOOKUP(K36,[2]Sheet1!$A:$B,2,0)))</f>
        <v>0</v>
      </c>
      <c r="AA36" s="78">
        <f t="shared" si="21"/>
        <v>0</v>
      </c>
      <c r="AB36" s="78" t="e">
        <f>VLOOKUP(K36,[1]IOT!$A:$E,5,0)</f>
        <v>#N/A</v>
      </c>
      <c r="AC36" s="78"/>
      <c r="AD36" s="78" t="e">
        <f>VLOOKUP(K36,[1]IOT!$A:$F,6,0)</f>
        <v>#N/A</v>
      </c>
      <c r="AE36" s="78"/>
      <c r="AF36" s="78"/>
      <c r="AG36" s="78"/>
      <c r="AH36" s="78" t="e">
        <f>VLOOKUP(K36,[1]IOT!$A:$G,7,0)</f>
        <v>#N/A</v>
      </c>
      <c r="AI36" s="78" t="e">
        <f>VLOOKUP(K36,[1]IOT!$A:$H,8,0)</f>
        <v>#N/A</v>
      </c>
      <c r="AJ36" s="78" t="e">
        <f>VLOOKUP(K36,[1]IOT!$A:$I,9,0)</f>
        <v>#N/A</v>
      </c>
      <c r="AK36" s="78" t="e">
        <f>VLOOKUP(K36,[1]IOT!$A:$J,10,0)</f>
        <v>#N/A</v>
      </c>
      <c r="AL36" s="78" t="e">
        <f>VLOOKUP(K36,[1]IOT!$A:$K,11,0)</f>
        <v>#N/A</v>
      </c>
      <c r="AM36" s="78"/>
      <c r="AN36" s="78"/>
      <c r="AO36" s="79">
        <f t="shared" si="22"/>
        <v>0</v>
      </c>
      <c r="AP36" s="80">
        <f t="shared" si="23"/>
        <v>0</v>
      </c>
      <c r="AQ36" s="77"/>
      <c r="AR36" s="6" t="str">
        <f t="shared" si="24"/>
        <v/>
      </c>
    </row>
    <row r="37" spans="1:44" s="6" customFormat="1" ht="47.25" customHeight="1" x14ac:dyDescent="0.35">
      <c r="A37" s="71"/>
      <c r="B37" s="68"/>
      <c r="C37" s="25"/>
      <c r="D37" s="25"/>
      <c r="E37" s="67" t="str">
        <f t="shared" si="20"/>
        <v/>
      </c>
      <c r="F37" s="62"/>
      <c r="G37" s="14"/>
      <c r="H37" s="65"/>
      <c r="I37" s="70"/>
      <c r="J37" s="14"/>
      <c r="K37" s="69"/>
      <c r="L37" s="15"/>
      <c r="M37" s="16"/>
      <c r="N37" s="17"/>
      <c r="O37" s="72"/>
      <c r="P37" s="18"/>
      <c r="Q37" s="60"/>
      <c r="R37" s="19"/>
      <c r="S37" s="18"/>
      <c r="T37" s="75"/>
      <c r="U37" s="20"/>
      <c r="V37" s="21"/>
      <c r="W37" s="22"/>
      <c r="Y37" s="78" t="e">
        <f>VLOOKUP(V37,[1]IOT!$A:$B,2,0)</f>
        <v>#N/A</v>
      </c>
      <c r="Z37" s="78">
        <f>IF(ISNA(VLOOKUP(K37,[2]Sheet1!$A:$B,2,0)),0,(VLOOKUP(K37,[2]Sheet1!$A:$B,2,0)))</f>
        <v>0</v>
      </c>
      <c r="AA37" s="78">
        <f t="shared" si="21"/>
        <v>0</v>
      </c>
      <c r="AB37" s="78" t="e">
        <f>VLOOKUP(K37,[1]IOT!$A:$E,5,0)</f>
        <v>#N/A</v>
      </c>
      <c r="AC37" s="78"/>
      <c r="AD37" s="78" t="e">
        <f>VLOOKUP(K37,[1]IOT!$A:$F,6,0)</f>
        <v>#N/A</v>
      </c>
      <c r="AE37" s="78"/>
      <c r="AF37" s="78"/>
      <c r="AG37" s="78"/>
      <c r="AH37" s="78" t="e">
        <f>VLOOKUP(K37,[1]IOT!$A:$G,7,0)</f>
        <v>#N/A</v>
      </c>
      <c r="AI37" s="78" t="e">
        <f>VLOOKUP(K37,[1]IOT!$A:$H,8,0)</f>
        <v>#N/A</v>
      </c>
      <c r="AJ37" s="78" t="e">
        <f>VLOOKUP(K37,[1]IOT!$A:$I,9,0)</f>
        <v>#N/A</v>
      </c>
      <c r="AK37" s="78" t="e">
        <f>VLOOKUP(K37,[1]IOT!$A:$J,10,0)</f>
        <v>#N/A</v>
      </c>
      <c r="AL37" s="78" t="e">
        <f>VLOOKUP(K37,[1]IOT!$A:$K,11,0)</f>
        <v>#N/A</v>
      </c>
      <c r="AM37" s="78"/>
      <c r="AN37" s="78"/>
      <c r="AO37" s="79">
        <f t="shared" si="22"/>
        <v>0</v>
      </c>
      <c r="AP37" s="80">
        <f t="shared" si="23"/>
        <v>0</v>
      </c>
      <c r="AQ37" s="77"/>
      <c r="AR37" s="6" t="str">
        <f t="shared" si="24"/>
        <v/>
      </c>
    </row>
    <row r="38" spans="1:44" s="6" customFormat="1" ht="47.25" customHeight="1" x14ac:dyDescent="0.35">
      <c r="A38" s="71"/>
      <c r="B38" s="68"/>
      <c r="C38" s="25"/>
      <c r="D38" s="25"/>
      <c r="E38" s="67" t="str">
        <f t="shared" si="20"/>
        <v/>
      </c>
      <c r="F38" s="62"/>
      <c r="G38" s="14"/>
      <c r="H38" s="65"/>
      <c r="I38" s="70"/>
      <c r="J38" s="14"/>
      <c r="K38" s="69"/>
      <c r="L38" s="15"/>
      <c r="M38" s="16"/>
      <c r="N38" s="17"/>
      <c r="O38" s="72"/>
      <c r="P38" s="18"/>
      <c r="Q38" s="60"/>
      <c r="R38" s="19"/>
      <c r="S38" s="18"/>
      <c r="T38" s="75"/>
      <c r="U38" s="20"/>
      <c r="V38" s="21"/>
      <c r="W38" s="22"/>
      <c r="Y38" s="78" t="e">
        <f>VLOOKUP(V38,[1]IOT!$A:$B,2,0)</f>
        <v>#N/A</v>
      </c>
      <c r="Z38" s="78">
        <f>IF(ISNA(VLOOKUP(K38,[2]Sheet1!$A:$B,2,0)),0,(VLOOKUP(K38,[2]Sheet1!$A:$B,2,0)))</f>
        <v>0</v>
      </c>
      <c r="AA38" s="78">
        <f t="shared" si="21"/>
        <v>0</v>
      </c>
      <c r="AB38" s="78" t="e">
        <f>VLOOKUP(K38,[1]IOT!$A:$E,5,0)</f>
        <v>#N/A</v>
      </c>
      <c r="AC38" s="78"/>
      <c r="AD38" s="78" t="e">
        <f>VLOOKUP(K38,[1]IOT!$A:$F,6,0)</f>
        <v>#N/A</v>
      </c>
      <c r="AE38" s="78"/>
      <c r="AF38" s="78"/>
      <c r="AG38" s="78"/>
      <c r="AH38" s="78" t="e">
        <f>VLOOKUP(K38,[1]IOT!$A:$G,7,0)</f>
        <v>#N/A</v>
      </c>
      <c r="AI38" s="78" t="e">
        <f>VLOOKUP(K38,[1]IOT!$A:$H,8,0)</f>
        <v>#N/A</v>
      </c>
      <c r="AJ38" s="78" t="e">
        <f>VLOOKUP(K38,[1]IOT!$A:$I,9,0)</f>
        <v>#N/A</v>
      </c>
      <c r="AK38" s="78" t="e">
        <f>VLOOKUP(K38,[1]IOT!$A:$J,10,0)</f>
        <v>#N/A</v>
      </c>
      <c r="AL38" s="78" t="e">
        <f>VLOOKUP(K38,[1]IOT!$A:$K,11,0)</f>
        <v>#N/A</v>
      </c>
      <c r="AM38" s="78"/>
      <c r="AN38" s="78"/>
      <c r="AO38" s="79">
        <f t="shared" si="22"/>
        <v>0</v>
      </c>
      <c r="AP38" s="80">
        <f t="shared" si="23"/>
        <v>0</v>
      </c>
      <c r="AQ38" s="77"/>
      <c r="AR38" s="6" t="str">
        <f t="shared" si="24"/>
        <v/>
      </c>
    </row>
    <row r="39" spans="1:44" s="6" customFormat="1" ht="47.25" customHeight="1" x14ac:dyDescent="0.35">
      <c r="A39" s="71"/>
      <c r="B39" s="68"/>
      <c r="C39" s="25"/>
      <c r="D39" s="25"/>
      <c r="E39" s="67" t="str">
        <f t="shared" si="20"/>
        <v/>
      </c>
      <c r="F39" s="62"/>
      <c r="G39" s="14"/>
      <c r="H39" s="65"/>
      <c r="I39" s="70"/>
      <c r="J39" s="14"/>
      <c r="K39" s="69"/>
      <c r="L39" s="15"/>
      <c r="M39" s="16"/>
      <c r="N39" s="17"/>
      <c r="O39" s="72"/>
      <c r="P39" s="18"/>
      <c r="Q39" s="60"/>
      <c r="R39" s="19"/>
      <c r="S39" s="18"/>
      <c r="T39" s="75"/>
      <c r="U39" s="20"/>
      <c r="V39" s="21"/>
      <c r="W39" s="22"/>
      <c r="Y39" s="78" t="e">
        <f>VLOOKUP(V39,[1]IOT!$A:$B,2,0)</f>
        <v>#N/A</v>
      </c>
      <c r="Z39" s="78">
        <f>IF(ISNA(VLOOKUP(K39,[2]Sheet1!$A:$B,2,0)),0,(VLOOKUP(K39,[2]Sheet1!$A:$B,2,0)))</f>
        <v>0</v>
      </c>
      <c r="AA39" s="78">
        <f t="shared" si="21"/>
        <v>0</v>
      </c>
      <c r="AB39" s="78" t="e">
        <f>VLOOKUP(K39,[1]IOT!$A:$E,5,0)</f>
        <v>#N/A</v>
      </c>
      <c r="AC39" s="78"/>
      <c r="AD39" s="78" t="e">
        <f>VLOOKUP(K39,[1]IOT!$A:$F,6,0)</f>
        <v>#N/A</v>
      </c>
      <c r="AE39" s="78"/>
      <c r="AF39" s="78"/>
      <c r="AG39" s="78"/>
      <c r="AH39" s="78" t="e">
        <f>VLOOKUP(K39,[1]IOT!$A:$G,7,0)</f>
        <v>#N/A</v>
      </c>
      <c r="AI39" s="78" t="e">
        <f>VLOOKUP(K39,[1]IOT!$A:$H,8,0)</f>
        <v>#N/A</v>
      </c>
      <c r="AJ39" s="78" t="e">
        <f>VLOOKUP(K39,[1]IOT!$A:$I,9,0)</f>
        <v>#N/A</v>
      </c>
      <c r="AK39" s="78" t="e">
        <f>VLOOKUP(K39,[1]IOT!$A:$J,10,0)</f>
        <v>#N/A</v>
      </c>
      <c r="AL39" s="78" t="e">
        <f>VLOOKUP(K39,[1]IOT!$A:$K,11,0)</f>
        <v>#N/A</v>
      </c>
      <c r="AM39" s="78"/>
      <c r="AN39" s="78"/>
      <c r="AO39" s="79">
        <f t="shared" si="22"/>
        <v>0</v>
      </c>
      <c r="AP39" s="80">
        <f t="shared" si="23"/>
        <v>0</v>
      </c>
      <c r="AQ39" s="77"/>
      <c r="AR39" s="6" t="str">
        <f t="shared" si="24"/>
        <v/>
      </c>
    </row>
    <row r="40" spans="1:44" s="6" customFormat="1" ht="47.25" customHeight="1" x14ac:dyDescent="0.35">
      <c r="A40" s="71"/>
      <c r="B40" s="68"/>
      <c r="C40" s="25"/>
      <c r="D40" s="25"/>
      <c r="E40" s="67" t="str">
        <f t="shared" si="20"/>
        <v/>
      </c>
      <c r="F40" s="62"/>
      <c r="G40" s="14"/>
      <c r="H40" s="65"/>
      <c r="I40" s="70"/>
      <c r="J40" s="14"/>
      <c r="K40" s="69"/>
      <c r="L40" s="15"/>
      <c r="M40" s="16"/>
      <c r="N40" s="17"/>
      <c r="O40" s="72"/>
      <c r="P40" s="18"/>
      <c r="Q40" s="60"/>
      <c r="R40" s="19"/>
      <c r="S40" s="18"/>
      <c r="T40" s="75"/>
      <c r="U40" s="20"/>
      <c r="V40" s="21"/>
      <c r="W40" s="22"/>
      <c r="Y40" s="78" t="e">
        <f>VLOOKUP(V40,[1]IOT!$A:$B,2,0)</f>
        <v>#N/A</v>
      </c>
      <c r="Z40" s="78">
        <f>IF(ISNA(VLOOKUP(K40,[2]Sheet1!$A:$B,2,0)),0,(VLOOKUP(K40,[2]Sheet1!$A:$B,2,0)))</f>
        <v>0</v>
      </c>
      <c r="AA40" s="78">
        <f t="shared" si="21"/>
        <v>0</v>
      </c>
      <c r="AB40" s="78" t="e">
        <f>VLOOKUP(K40,[1]IOT!$A:$E,5,0)</f>
        <v>#N/A</v>
      </c>
      <c r="AC40" s="78"/>
      <c r="AD40" s="78" t="e">
        <f>VLOOKUP(K40,[1]IOT!$A:$F,6,0)</f>
        <v>#N/A</v>
      </c>
      <c r="AE40" s="78"/>
      <c r="AF40" s="78"/>
      <c r="AG40" s="78"/>
      <c r="AH40" s="78" t="e">
        <f>VLOOKUP(K40,[1]IOT!$A:$G,7,0)</f>
        <v>#N/A</v>
      </c>
      <c r="AI40" s="78" t="e">
        <f>VLOOKUP(K40,[1]IOT!$A:$H,8,0)</f>
        <v>#N/A</v>
      </c>
      <c r="AJ40" s="78" t="e">
        <f>VLOOKUP(K40,[1]IOT!$A:$I,9,0)</f>
        <v>#N/A</v>
      </c>
      <c r="AK40" s="78" t="e">
        <f>VLOOKUP(K40,[1]IOT!$A:$J,10,0)</f>
        <v>#N/A</v>
      </c>
      <c r="AL40" s="78" t="e">
        <f>VLOOKUP(K40,[1]IOT!$A:$K,11,0)</f>
        <v>#N/A</v>
      </c>
      <c r="AM40" s="78"/>
      <c r="AN40" s="78"/>
      <c r="AO40" s="79">
        <f t="shared" si="22"/>
        <v>0</v>
      </c>
      <c r="AP40" s="80">
        <f t="shared" si="23"/>
        <v>0</v>
      </c>
      <c r="AQ40" s="77"/>
      <c r="AR40" s="6" t="str">
        <f t="shared" si="24"/>
        <v/>
      </c>
    </row>
    <row r="41" spans="1:44" s="6" customFormat="1" ht="47.25" customHeight="1" x14ac:dyDescent="0.35">
      <c r="A41" s="71"/>
      <c r="B41" s="68"/>
      <c r="C41" s="25"/>
      <c r="D41" s="25"/>
      <c r="E41" s="67" t="str">
        <f t="shared" si="20"/>
        <v/>
      </c>
      <c r="F41" s="62"/>
      <c r="G41" s="14"/>
      <c r="H41" s="65"/>
      <c r="I41" s="70"/>
      <c r="J41" s="14"/>
      <c r="K41" s="69"/>
      <c r="L41" s="15"/>
      <c r="M41" s="16"/>
      <c r="N41" s="17"/>
      <c r="O41" s="72"/>
      <c r="P41" s="18"/>
      <c r="Q41" s="60"/>
      <c r="R41" s="19"/>
      <c r="S41" s="18"/>
      <c r="T41" s="75"/>
      <c r="U41" s="20"/>
      <c r="V41" s="21"/>
      <c r="W41" s="22"/>
      <c r="Y41" s="78" t="e">
        <f>VLOOKUP(V41,[1]IOT!$A:$B,2,0)</f>
        <v>#N/A</v>
      </c>
      <c r="Z41" s="78">
        <f>IF(ISNA(VLOOKUP(K41,[2]Sheet1!$A:$B,2,0)),0,(VLOOKUP(K41,[2]Sheet1!$A:$B,2,0)))</f>
        <v>0</v>
      </c>
      <c r="AA41" s="78">
        <f t="shared" si="21"/>
        <v>0</v>
      </c>
      <c r="AB41" s="78" t="e">
        <f>VLOOKUP(K41,[1]IOT!$A:$E,5,0)</f>
        <v>#N/A</v>
      </c>
      <c r="AC41" s="78"/>
      <c r="AD41" s="78" t="e">
        <f>VLOOKUP(K41,[1]IOT!$A:$F,6,0)</f>
        <v>#N/A</v>
      </c>
      <c r="AE41" s="78"/>
      <c r="AF41" s="78"/>
      <c r="AG41" s="78"/>
      <c r="AH41" s="78" t="e">
        <f>VLOOKUP(K41,[1]IOT!$A:$G,7,0)</f>
        <v>#N/A</v>
      </c>
      <c r="AI41" s="78" t="e">
        <f>VLOOKUP(K41,[1]IOT!$A:$H,8,0)</f>
        <v>#N/A</v>
      </c>
      <c r="AJ41" s="78" t="e">
        <f>VLOOKUP(K41,[1]IOT!$A:$I,9,0)</f>
        <v>#N/A</v>
      </c>
      <c r="AK41" s="78" t="e">
        <f>VLOOKUP(K41,[1]IOT!$A:$J,10,0)</f>
        <v>#N/A</v>
      </c>
      <c r="AL41" s="78" t="e">
        <f>VLOOKUP(K41,[1]IOT!$A:$K,11,0)</f>
        <v>#N/A</v>
      </c>
      <c r="AM41" s="78"/>
      <c r="AN41" s="78"/>
      <c r="AO41" s="79">
        <f t="shared" si="22"/>
        <v>0</v>
      </c>
      <c r="AP41" s="80">
        <f t="shared" si="23"/>
        <v>0</v>
      </c>
      <c r="AQ41" s="77"/>
      <c r="AR41" s="6" t="str">
        <f t="shared" si="24"/>
        <v/>
      </c>
    </row>
    <row r="42" spans="1:44" s="6" customFormat="1" ht="47.25" customHeight="1" x14ac:dyDescent="0.35">
      <c r="A42" s="71"/>
      <c r="B42" s="68"/>
      <c r="C42" s="25"/>
      <c r="D42" s="25"/>
      <c r="E42" s="67" t="str">
        <f t="shared" si="20"/>
        <v/>
      </c>
      <c r="F42" s="62"/>
      <c r="G42" s="14"/>
      <c r="H42" s="65"/>
      <c r="I42" s="70"/>
      <c r="J42" s="14"/>
      <c r="K42" s="69"/>
      <c r="L42" s="15"/>
      <c r="M42" s="16"/>
      <c r="N42" s="17"/>
      <c r="O42" s="72"/>
      <c r="P42" s="18"/>
      <c r="Q42" s="60"/>
      <c r="R42" s="19"/>
      <c r="S42" s="18"/>
      <c r="T42" s="75"/>
      <c r="U42" s="20"/>
      <c r="V42" s="21"/>
      <c r="W42" s="22"/>
      <c r="Y42" s="78" t="e">
        <f>VLOOKUP(V42,[1]IOT!$A:$B,2,0)</f>
        <v>#N/A</v>
      </c>
      <c r="Z42" s="78">
        <f>IF(ISNA(VLOOKUP(K42,[2]Sheet1!$A:$B,2,0)),0,(VLOOKUP(K42,[2]Sheet1!$A:$B,2,0)))</f>
        <v>0</v>
      </c>
      <c r="AA42" s="78">
        <f t="shared" si="21"/>
        <v>0</v>
      </c>
      <c r="AB42" s="78" t="e">
        <f>VLOOKUP(K42,[1]IOT!$A:$E,5,0)</f>
        <v>#N/A</v>
      </c>
      <c r="AC42" s="78"/>
      <c r="AD42" s="78" t="e">
        <f>VLOOKUP(K42,[1]IOT!$A:$F,6,0)</f>
        <v>#N/A</v>
      </c>
      <c r="AE42" s="78"/>
      <c r="AF42" s="78"/>
      <c r="AG42" s="78"/>
      <c r="AH42" s="78" t="e">
        <f>VLOOKUP(K42,[1]IOT!$A:$G,7,0)</f>
        <v>#N/A</v>
      </c>
      <c r="AI42" s="78" t="e">
        <f>VLOOKUP(K42,[1]IOT!$A:$H,8,0)</f>
        <v>#N/A</v>
      </c>
      <c r="AJ42" s="78" t="e">
        <f>VLOOKUP(K42,[1]IOT!$A:$I,9,0)</f>
        <v>#N/A</v>
      </c>
      <c r="AK42" s="78" t="e">
        <f>VLOOKUP(K42,[1]IOT!$A:$J,10,0)</f>
        <v>#N/A</v>
      </c>
      <c r="AL42" s="78" t="e">
        <f>VLOOKUP(K42,[1]IOT!$A:$K,11,0)</f>
        <v>#N/A</v>
      </c>
      <c r="AM42" s="78"/>
      <c r="AN42" s="78"/>
      <c r="AO42" s="79">
        <f t="shared" si="22"/>
        <v>0</v>
      </c>
      <c r="AP42" s="80">
        <f t="shared" si="23"/>
        <v>0</v>
      </c>
      <c r="AQ42" s="77"/>
      <c r="AR42" s="6" t="str">
        <f t="shared" si="24"/>
        <v/>
      </c>
    </row>
    <row r="43" spans="1:44" s="6" customFormat="1" ht="47.25" customHeight="1" x14ac:dyDescent="0.35">
      <c r="A43" s="71"/>
      <c r="B43" s="68"/>
      <c r="C43" s="25"/>
      <c r="D43" s="25"/>
      <c r="E43" s="67" t="str">
        <f t="shared" si="20"/>
        <v/>
      </c>
      <c r="F43" s="62"/>
      <c r="G43" s="14"/>
      <c r="H43" s="65"/>
      <c r="I43" s="70"/>
      <c r="J43" s="14"/>
      <c r="K43" s="69"/>
      <c r="L43" s="15"/>
      <c r="M43" s="16"/>
      <c r="N43" s="17"/>
      <c r="O43" s="72"/>
      <c r="P43" s="18"/>
      <c r="Q43" s="60"/>
      <c r="R43" s="19"/>
      <c r="S43" s="18"/>
      <c r="T43" s="75"/>
      <c r="U43" s="20"/>
      <c r="V43" s="21"/>
      <c r="W43" s="22"/>
      <c r="Y43" s="78" t="e">
        <f>VLOOKUP(V43,[1]IOT!$A:$B,2,0)</f>
        <v>#N/A</v>
      </c>
      <c r="Z43" s="78">
        <f>IF(ISNA(VLOOKUP(K43,[2]Sheet1!$A:$B,2,0)),0,(VLOOKUP(K43,[2]Sheet1!$A:$B,2,0)))</f>
        <v>0</v>
      </c>
      <c r="AA43" s="78">
        <f t="shared" si="21"/>
        <v>0</v>
      </c>
      <c r="AB43" s="78" t="e">
        <f>VLOOKUP(K43,[1]IOT!$A:$E,5,0)</f>
        <v>#N/A</v>
      </c>
      <c r="AC43" s="78"/>
      <c r="AD43" s="78" t="e">
        <f>VLOOKUP(K43,[1]IOT!$A:$F,6,0)</f>
        <v>#N/A</v>
      </c>
      <c r="AE43" s="78"/>
      <c r="AF43" s="78"/>
      <c r="AG43" s="78"/>
      <c r="AH43" s="78" t="e">
        <f>VLOOKUP(K43,[1]IOT!$A:$G,7,0)</f>
        <v>#N/A</v>
      </c>
      <c r="AI43" s="78" t="e">
        <f>VLOOKUP(K43,[1]IOT!$A:$H,8,0)</f>
        <v>#N/A</v>
      </c>
      <c r="AJ43" s="78" t="e">
        <f>VLOOKUP(K43,[1]IOT!$A:$I,9,0)</f>
        <v>#N/A</v>
      </c>
      <c r="AK43" s="78" t="e">
        <f>VLOOKUP(K43,[1]IOT!$A:$J,10,0)</f>
        <v>#N/A</v>
      </c>
      <c r="AL43" s="78" t="e">
        <f>VLOOKUP(K43,[1]IOT!$A:$K,11,0)</f>
        <v>#N/A</v>
      </c>
      <c r="AM43" s="78"/>
      <c r="AN43" s="78"/>
      <c r="AO43" s="79">
        <f t="shared" si="22"/>
        <v>0</v>
      </c>
      <c r="AP43" s="80">
        <f t="shared" si="23"/>
        <v>0</v>
      </c>
      <c r="AQ43" s="77"/>
      <c r="AR43" s="6" t="str">
        <f t="shared" si="24"/>
        <v/>
      </c>
    </row>
    <row r="44" spans="1:44" s="6" customFormat="1" ht="47.25" customHeight="1" x14ac:dyDescent="0.35">
      <c r="A44" s="71"/>
      <c r="B44" s="68"/>
      <c r="C44" s="25"/>
      <c r="D44" s="25"/>
      <c r="E44" s="67" t="str">
        <f t="shared" si="20"/>
        <v/>
      </c>
      <c r="F44" s="62"/>
      <c r="G44" s="14"/>
      <c r="H44" s="65"/>
      <c r="I44" s="70"/>
      <c r="J44" s="14"/>
      <c r="K44" s="69"/>
      <c r="L44" s="15"/>
      <c r="M44" s="16"/>
      <c r="N44" s="17"/>
      <c r="O44" s="72"/>
      <c r="P44" s="18"/>
      <c r="Q44" s="60"/>
      <c r="R44" s="19"/>
      <c r="S44" s="18"/>
      <c r="T44" s="75"/>
      <c r="U44" s="20"/>
      <c r="V44" s="21"/>
      <c r="W44" s="22"/>
      <c r="Y44" s="78" t="e">
        <f>VLOOKUP(V44,[1]IOT!$A:$B,2,0)</f>
        <v>#N/A</v>
      </c>
      <c r="Z44" s="78">
        <f>IF(ISNA(VLOOKUP(K44,[2]Sheet1!$A:$B,2,0)),0,(VLOOKUP(K44,[2]Sheet1!$A:$B,2,0)))</f>
        <v>0</v>
      </c>
      <c r="AA44" s="78">
        <f t="shared" si="21"/>
        <v>0</v>
      </c>
      <c r="AB44" s="78" t="e">
        <f>VLOOKUP(K44,[1]IOT!$A:$E,5,0)</f>
        <v>#N/A</v>
      </c>
      <c r="AC44" s="78"/>
      <c r="AD44" s="78" t="e">
        <f>VLOOKUP(K44,[1]IOT!$A:$F,6,0)</f>
        <v>#N/A</v>
      </c>
      <c r="AE44" s="78"/>
      <c r="AF44" s="78"/>
      <c r="AG44" s="78"/>
      <c r="AH44" s="78" t="e">
        <f>VLOOKUP(K44,[1]IOT!$A:$G,7,0)</f>
        <v>#N/A</v>
      </c>
      <c r="AI44" s="78" t="e">
        <f>VLOOKUP(K44,[1]IOT!$A:$H,8,0)</f>
        <v>#N/A</v>
      </c>
      <c r="AJ44" s="78" t="e">
        <f>VLOOKUP(K44,[1]IOT!$A:$I,9,0)</f>
        <v>#N/A</v>
      </c>
      <c r="AK44" s="78" t="e">
        <f>VLOOKUP(K44,[1]IOT!$A:$J,10,0)</f>
        <v>#N/A</v>
      </c>
      <c r="AL44" s="78" t="e">
        <f>VLOOKUP(K44,[1]IOT!$A:$K,11,0)</f>
        <v>#N/A</v>
      </c>
      <c r="AM44" s="78"/>
      <c r="AN44" s="78"/>
      <c r="AO44" s="79">
        <f t="shared" si="22"/>
        <v>0</v>
      </c>
      <c r="AP44" s="80">
        <f t="shared" si="23"/>
        <v>0</v>
      </c>
      <c r="AQ44" s="77"/>
      <c r="AR44" s="6" t="str">
        <f t="shared" si="24"/>
        <v/>
      </c>
    </row>
    <row r="45" spans="1:44" s="6" customFormat="1" ht="47.25" customHeight="1" x14ac:dyDescent="0.35">
      <c r="A45" s="71"/>
      <c r="B45" s="68"/>
      <c r="C45" s="25"/>
      <c r="D45" s="25"/>
      <c r="E45" s="67" t="str">
        <f t="shared" si="20"/>
        <v/>
      </c>
      <c r="F45" s="62"/>
      <c r="G45" s="14"/>
      <c r="H45" s="65"/>
      <c r="I45" s="70"/>
      <c r="J45" s="14"/>
      <c r="K45" s="69"/>
      <c r="L45" s="15"/>
      <c r="M45" s="16"/>
      <c r="N45" s="17"/>
      <c r="O45" s="72"/>
      <c r="P45" s="18"/>
      <c r="Q45" s="60"/>
      <c r="R45" s="19"/>
      <c r="S45" s="18"/>
      <c r="T45" s="75"/>
      <c r="U45" s="20"/>
      <c r="V45" s="21"/>
      <c r="W45" s="22"/>
      <c r="Y45" s="78" t="e">
        <f>VLOOKUP(V45,[1]IOT!$A:$B,2,0)</f>
        <v>#N/A</v>
      </c>
      <c r="Z45" s="78">
        <f>IF(ISNA(VLOOKUP(K45,[2]Sheet1!$A:$B,2,0)),0,(VLOOKUP(K45,[2]Sheet1!$A:$B,2,0)))</f>
        <v>0</v>
      </c>
      <c r="AA45" s="78">
        <f t="shared" si="21"/>
        <v>0</v>
      </c>
      <c r="AB45" s="78" t="e">
        <f>VLOOKUP(K45,[1]IOT!$A:$E,5,0)</f>
        <v>#N/A</v>
      </c>
      <c r="AC45" s="78"/>
      <c r="AD45" s="78" t="e">
        <f>VLOOKUP(K45,[1]IOT!$A:$F,6,0)</f>
        <v>#N/A</v>
      </c>
      <c r="AE45" s="78"/>
      <c r="AF45" s="78"/>
      <c r="AG45" s="78"/>
      <c r="AH45" s="78" t="e">
        <f>VLOOKUP(K45,[1]IOT!$A:$G,7,0)</f>
        <v>#N/A</v>
      </c>
      <c r="AI45" s="78" t="e">
        <f>VLOOKUP(K45,[1]IOT!$A:$H,8,0)</f>
        <v>#N/A</v>
      </c>
      <c r="AJ45" s="78" t="e">
        <f>VLOOKUP(K45,[1]IOT!$A:$I,9,0)</f>
        <v>#N/A</v>
      </c>
      <c r="AK45" s="78" t="e">
        <f>VLOOKUP(K45,[1]IOT!$A:$J,10,0)</f>
        <v>#N/A</v>
      </c>
      <c r="AL45" s="78" t="e">
        <f>VLOOKUP(K45,[1]IOT!$A:$K,11,0)</f>
        <v>#N/A</v>
      </c>
      <c r="AM45" s="78"/>
      <c r="AN45" s="78"/>
      <c r="AO45" s="79">
        <f t="shared" si="22"/>
        <v>0</v>
      </c>
      <c r="AP45" s="80">
        <f t="shared" si="23"/>
        <v>0</v>
      </c>
      <c r="AQ45" s="77"/>
      <c r="AR45" s="6" t="str">
        <f t="shared" si="24"/>
        <v/>
      </c>
    </row>
    <row r="46" spans="1:44" s="6" customFormat="1" ht="47.25" customHeight="1" x14ac:dyDescent="0.35">
      <c r="A46" s="71"/>
      <c r="B46" s="68"/>
      <c r="C46" s="25"/>
      <c r="D46" s="25"/>
      <c r="E46" s="67" t="str">
        <f t="shared" si="20"/>
        <v/>
      </c>
      <c r="F46" s="62"/>
      <c r="G46" s="14"/>
      <c r="H46" s="65"/>
      <c r="I46" s="70"/>
      <c r="J46" s="14"/>
      <c r="K46" s="69"/>
      <c r="L46" s="15"/>
      <c r="M46" s="16"/>
      <c r="N46" s="17"/>
      <c r="O46" s="72"/>
      <c r="P46" s="18"/>
      <c r="Q46" s="60"/>
      <c r="R46" s="19"/>
      <c r="S46" s="18"/>
      <c r="T46" s="75"/>
      <c r="U46" s="20"/>
      <c r="V46" s="21"/>
      <c r="W46" s="22"/>
      <c r="Y46" s="78" t="e">
        <f>VLOOKUP(V46,[1]IOT!$A:$B,2,0)</f>
        <v>#N/A</v>
      </c>
      <c r="Z46" s="78">
        <f>IF(ISNA(VLOOKUP(K46,[2]Sheet1!$A:$B,2,0)),0,(VLOOKUP(K46,[2]Sheet1!$A:$B,2,0)))</f>
        <v>0</v>
      </c>
      <c r="AA46" s="78">
        <f t="shared" si="21"/>
        <v>0</v>
      </c>
      <c r="AB46" s="78" t="e">
        <f>VLOOKUP(K46,[1]IOT!$A:$E,5,0)</f>
        <v>#N/A</v>
      </c>
      <c r="AC46" s="78"/>
      <c r="AD46" s="78" t="e">
        <f>VLOOKUP(K46,[1]IOT!$A:$F,6,0)</f>
        <v>#N/A</v>
      </c>
      <c r="AE46" s="78"/>
      <c r="AF46" s="78"/>
      <c r="AG46" s="78"/>
      <c r="AH46" s="78" t="e">
        <f>VLOOKUP(K46,[1]IOT!$A:$G,7,0)</f>
        <v>#N/A</v>
      </c>
      <c r="AI46" s="78" t="e">
        <f>VLOOKUP(K46,[1]IOT!$A:$H,8,0)</f>
        <v>#N/A</v>
      </c>
      <c r="AJ46" s="78" t="e">
        <f>VLOOKUP(K46,[1]IOT!$A:$I,9,0)</f>
        <v>#N/A</v>
      </c>
      <c r="AK46" s="78" t="e">
        <f>VLOOKUP(K46,[1]IOT!$A:$J,10,0)</f>
        <v>#N/A</v>
      </c>
      <c r="AL46" s="78" t="e">
        <f>VLOOKUP(K46,[1]IOT!$A:$K,11,0)</f>
        <v>#N/A</v>
      </c>
      <c r="AM46" s="78"/>
      <c r="AN46" s="78"/>
      <c r="AO46" s="79">
        <f t="shared" si="22"/>
        <v>0</v>
      </c>
      <c r="AP46" s="80">
        <f t="shared" si="23"/>
        <v>0</v>
      </c>
      <c r="AQ46" s="77"/>
      <c r="AR46" s="6" t="str">
        <f t="shared" si="24"/>
        <v/>
      </c>
    </row>
    <row r="47" spans="1:44" s="6" customFormat="1" ht="47.25" customHeight="1" x14ac:dyDescent="0.35">
      <c r="A47" s="71"/>
      <c r="B47" s="68"/>
      <c r="C47" s="25"/>
      <c r="D47" s="25"/>
      <c r="E47" s="67" t="str">
        <f t="shared" si="20"/>
        <v/>
      </c>
      <c r="F47" s="62"/>
      <c r="G47" s="14"/>
      <c r="H47" s="65"/>
      <c r="I47" s="70"/>
      <c r="J47" s="14"/>
      <c r="K47" s="69"/>
      <c r="L47" s="15"/>
      <c r="M47" s="16"/>
      <c r="N47" s="17"/>
      <c r="O47" s="72"/>
      <c r="P47" s="18"/>
      <c r="Q47" s="60"/>
      <c r="R47" s="19"/>
      <c r="S47" s="18"/>
      <c r="T47" s="75"/>
      <c r="U47" s="20"/>
      <c r="V47" s="21"/>
      <c r="W47" s="22"/>
      <c r="Y47" s="78" t="e">
        <f>VLOOKUP(V47,[1]IOT!$A:$B,2,0)</f>
        <v>#N/A</v>
      </c>
      <c r="Z47" s="78">
        <f>IF(ISNA(VLOOKUP(K47,[2]Sheet1!$A:$B,2,0)),0,(VLOOKUP(K47,[2]Sheet1!$A:$B,2,0)))</f>
        <v>0</v>
      </c>
      <c r="AA47" s="78">
        <f t="shared" si="21"/>
        <v>0</v>
      </c>
      <c r="AB47" s="78" t="e">
        <f>VLOOKUP(K47,[1]IOT!$A:$E,5,0)</f>
        <v>#N/A</v>
      </c>
      <c r="AC47" s="78"/>
      <c r="AD47" s="78" t="e">
        <f>VLOOKUP(K47,[1]IOT!$A:$F,6,0)</f>
        <v>#N/A</v>
      </c>
      <c r="AE47" s="78"/>
      <c r="AF47" s="78"/>
      <c r="AG47" s="78"/>
      <c r="AH47" s="78" t="e">
        <f>VLOOKUP(K47,[1]IOT!$A:$G,7,0)</f>
        <v>#N/A</v>
      </c>
      <c r="AI47" s="78" t="e">
        <f>VLOOKUP(K47,[1]IOT!$A:$H,8,0)</f>
        <v>#N/A</v>
      </c>
      <c r="AJ47" s="78" t="e">
        <f>VLOOKUP(K47,[1]IOT!$A:$I,9,0)</f>
        <v>#N/A</v>
      </c>
      <c r="AK47" s="78" t="e">
        <f>VLOOKUP(K47,[1]IOT!$A:$J,10,0)</f>
        <v>#N/A</v>
      </c>
      <c r="AL47" s="78" t="e">
        <f>VLOOKUP(K47,[1]IOT!$A:$K,11,0)</f>
        <v>#N/A</v>
      </c>
      <c r="AM47" s="78"/>
      <c r="AN47" s="78"/>
      <c r="AO47" s="79">
        <f t="shared" si="22"/>
        <v>0</v>
      </c>
      <c r="AP47" s="80">
        <f t="shared" si="23"/>
        <v>0</v>
      </c>
      <c r="AQ47" s="77"/>
      <c r="AR47" s="6" t="str">
        <f t="shared" si="24"/>
        <v/>
      </c>
    </row>
    <row r="48" spans="1:44" s="6" customFormat="1" ht="47.25" customHeight="1" x14ac:dyDescent="0.35">
      <c r="A48" s="71"/>
      <c r="B48" s="68"/>
      <c r="C48" s="25"/>
      <c r="D48" s="25"/>
      <c r="E48" s="67" t="str">
        <f t="shared" si="20"/>
        <v/>
      </c>
      <c r="F48" s="62"/>
      <c r="G48" s="14"/>
      <c r="H48" s="65"/>
      <c r="I48" s="70"/>
      <c r="J48" s="14"/>
      <c r="K48" s="69"/>
      <c r="L48" s="15"/>
      <c r="M48" s="16"/>
      <c r="N48" s="17"/>
      <c r="O48" s="72"/>
      <c r="P48" s="18"/>
      <c r="Q48" s="60"/>
      <c r="R48" s="19"/>
      <c r="S48" s="18"/>
      <c r="T48" s="75"/>
      <c r="U48" s="20"/>
      <c r="V48" s="21"/>
      <c r="W48" s="22"/>
      <c r="Y48" s="78" t="e">
        <f>VLOOKUP(V48,[1]IOT!$A:$B,2,0)</f>
        <v>#N/A</v>
      </c>
      <c r="Z48" s="78">
        <f>IF(ISNA(VLOOKUP(K48,[2]Sheet1!$A:$B,2,0)),0,(VLOOKUP(K48,[2]Sheet1!$A:$B,2,0)))</f>
        <v>0</v>
      </c>
      <c r="AA48" s="78">
        <f t="shared" si="21"/>
        <v>0</v>
      </c>
      <c r="AB48" s="78" t="e">
        <f>VLOOKUP(K48,[1]IOT!$A:$E,5,0)</f>
        <v>#N/A</v>
      </c>
      <c r="AC48" s="78"/>
      <c r="AD48" s="78" t="e">
        <f>VLOOKUP(K48,[1]IOT!$A:$F,6,0)</f>
        <v>#N/A</v>
      </c>
      <c r="AE48" s="78"/>
      <c r="AF48" s="78"/>
      <c r="AG48" s="78"/>
      <c r="AH48" s="78" t="e">
        <f>VLOOKUP(K48,[1]IOT!$A:$G,7,0)</f>
        <v>#N/A</v>
      </c>
      <c r="AI48" s="78" t="e">
        <f>VLOOKUP(K48,[1]IOT!$A:$H,8,0)</f>
        <v>#N/A</v>
      </c>
      <c r="AJ48" s="78" t="e">
        <f>VLOOKUP(K48,[1]IOT!$A:$I,9,0)</f>
        <v>#N/A</v>
      </c>
      <c r="AK48" s="78" t="e">
        <f>VLOOKUP(K48,[1]IOT!$A:$J,10,0)</f>
        <v>#N/A</v>
      </c>
      <c r="AL48" s="78" t="e">
        <f>VLOOKUP(K48,[1]IOT!$A:$K,11,0)</f>
        <v>#N/A</v>
      </c>
      <c r="AM48" s="78"/>
      <c r="AN48" s="78"/>
      <c r="AO48" s="79">
        <f t="shared" si="22"/>
        <v>0</v>
      </c>
      <c r="AP48" s="80">
        <f t="shared" si="23"/>
        <v>0</v>
      </c>
      <c r="AQ48" s="77"/>
      <c r="AR48" s="6" t="str">
        <f t="shared" si="24"/>
        <v/>
      </c>
    </row>
    <row r="49" spans="1:44" s="6" customFormat="1" ht="47.25" customHeight="1" x14ac:dyDescent="0.35">
      <c r="A49" s="71"/>
      <c r="B49" s="68"/>
      <c r="C49" s="25"/>
      <c r="D49" s="25"/>
      <c r="E49" s="67" t="str">
        <f t="shared" si="20"/>
        <v/>
      </c>
      <c r="F49" s="62"/>
      <c r="G49" s="14"/>
      <c r="H49" s="65"/>
      <c r="I49" s="70"/>
      <c r="J49" s="14"/>
      <c r="K49" s="69"/>
      <c r="L49" s="15"/>
      <c r="M49" s="16"/>
      <c r="N49" s="17"/>
      <c r="O49" s="72"/>
      <c r="P49" s="18"/>
      <c r="Q49" s="60"/>
      <c r="R49" s="19"/>
      <c r="S49" s="18"/>
      <c r="T49" s="75"/>
      <c r="U49" s="20"/>
      <c r="V49" s="21"/>
      <c r="W49" s="22"/>
      <c r="Y49" s="78" t="e">
        <f>VLOOKUP(V49,[1]IOT!$A:$B,2,0)</f>
        <v>#N/A</v>
      </c>
      <c r="Z49" s="78">
        <f>IF(ISNA(VLOOKUP(K49,[2]Sheet1!$A:$B,2,0)),0,(VLOOKUP(K49,[2]Sheet1!$A:$B,2,0)))</f>
        <v>0</v>
      </c>
      <c r="AA49" s="78">
        <f t="shared" si="21"/>
        <v>0</v>
      </c>
      <c r="AB49" s="78" t="e">
        <f>VLOOKUP(K49,[1]IOT!$A:$E,5,0)</f>
        <v>#N/A</v>
      </c>
      <c r="AC49" s="78"/>
      <c r="AD49" s="78" t="e">
        <f>VLOOKUP(K49,[1]IOT!$A:$F,6,0)</f>
        <v>#N/A</v>
      </c>
      <c r="AE49" s="78"/>
      <c r="AF49" s="78"/>
      <c r="AG49" s="78"/>
      <c r="AH49" s="78" t="e">
        <f>VLOOKUP(K49,[1]IOT!$A:$G,7,0)</f>
        <v>#N/A</v>
      </c>
      <c r="AI49" s="78" t="e">
        <f>VLOOKUP(K49,[1]IOT!$A:$H,8,0)</f>
        <v>#N/A</v>
      </c>
      <c r="AJ49" s="78" t="e">
        <f>VLOOKUP(K49,[1]IOT!$A:$I,9,0)</f>
        <v>#N/A</v>
      </c>
      <c r="AK49" s="78" t="e">
        <f>VLOOKUP(K49,[1]IOT!$A:$J,10,0)</f>
        <v>#N/A</v>
      </c>
      <c r="AL49" s="78" t="e">
        <f>VLOOKUP(K49,[1]IOT!$A:$K,11,0)</f>
        <v>#N/A</v>
      </c>
      <c r="AM49" s="78"/>
      <c r="AN49" s="78"/>
      <c r="AO49" s="79">
        <f t="shared" si="22"/>
        <v>0</v>
      </c>
      <c r="AP49" s="80">
        <f t="shared" si="23"/>
        <v>0</v>
      </c>
      <c r="AQ49" s="77"/>
      <c r="AR49" s="6" t="str">
        <f t="shared" si="24"/>
        <v/>
      </c>
    </row>
    <row r="50" spans="1:44" s="6" customFormat="1" ht="47.25" customHeight="1" x14ac:dyDescent="0.35">
      <c r="A50" s="71"/>
      <c r="B50" s="68"/>
      <c r="C50" s="25"/>
      <c r="D50" s="25"/>
      <c r="E50" s="67" t="str">
        <f t="shared" si="20"/>
        <v/>
      </c>
      <c r="F50" s="62"/>
      <c r="G50" s="14"/>
      <c r="H50" s="65"/>
      <c r="I50" s="70"/>
      <c r="J50" s="14"/>
      <c r="K50" s="69"/>
      <c r="L50" s="15"/>
      <c r="M50" s="16"/>
      <c r="N50" s="17"/>
      <c r="O50" s="72"/>
      <c r="P50" s="18"/>
      <c r="Q50" s="60"/>
      <c r="R50" s="19"/>
      <c r="S50" s="18"/>
      <c r="T50" s="75"/>
      <c r="U50" s="20"/>
      <c r="V50" s="21"/>
      <c r="W50" s="22"/>
      <c r="Y50" s="78" t="e">
        <f>VLOOKUP(V50,[1]IOT!$A:$B,2,0)</f>
        <v>#N/A</v>
      </c>
      <c r="Z50" s="78">
        <f>IF(ISNA(VLOOKUP(K50,[2]Sheet1!$A:$B,2,0)),0,(VLOOKUP(K50,[2]Sheet1!$A:$B,2,0)))</f>
        <v>0</v>
      </c>
      <c r="AA50" s="78">
        <f t="shared" si="21"/>
        <v>0</v>
      </c>
      <c r="AB50" s="78" t="e">
        <f>VLOOKUP(K50,[1]IOT!$A:$E,5,0)</f>
        <v>#N/A</v>
      </c>
      <c r="AC50" s="78"/>
      <c r="AD50" s="78" t="e">
        <f>VLOOKUP(K50,[1]IOT!$A:$F,6,0)</f>
        <v>#N/A</v>
      </c>
      <c r="AE50" s="78"/>
      <c r="AF50" s="78"/>
      <c r="AG50" s="78"/>
      <c r="AH50" s="78" t="e">
        <f>VLOOKUP(K50,[1]IOT!$A:$G,7,0)</f>
        <v>#N/A</v>
      </c>
      <c r="AI50" s="78" t="e">
        <f>VLOOKUP(K50,[1]IOT!$A:$H,8,0)</f>
        <v>#N/A</v>
      </c>
      <c r="AJ50" s="78" t="e">
        <f>VLOOKUP(K50,[1]IOT!$A:$I,9,0)</f>
        <v>#N/A</v>
      </c>
      <c r="AK50" s="78" t="e">
        <f>VLOOKUP(K50,[1]IOT!$A:$J,10,0)</f>
        <v>#N/A</v>
      </c>
      <c r="AL50" s="78" t="e">
        <f>VLOOKUP(K50,[1]IOT!$A:$K,11,0)</f>
        <v>#N/A</v>
      </c>
      <c r="AM50" s="78"/>
      <c r="AN50" s="78"/>
      <c r="AO50" s="79">
        <f t="shared" si="22"/>
        <v>0</v>
      </c>
      <c r="AP50" s="80">
        <f t="shared" si="23"/>
        <v>0</v>
      </c>
      <c r="AQ50" s="77"/>
      <c r="AR50" s="6" t="str">
        <f t="shared" si="24"/>
        <v/>
      </c>
    </row>
    <row r="51" spans="1:44" s="6" customFormat="1" ht="47.25" customHeight="1" x14ac:dyDescent="0.35">
      <c r="A51" s="71"/>
      <c r="B51" s="68"/>
      <c r="C51" s="25"/>
      <c r="D51" s="25"/>
      <c r="E51" s="67" t="str">
        <f t="shared" si="20"/>
        <v/>
      </c>
      <c r="F51" s="62"/>
      <c r="G51" s="14"/>
      <c r="H51" s="65"/>
      <c r="I51" s="70"/>
      <c r="J51" s="14"/>
      <c r="K51" s="69"/>
      <c r="L51" s="15"/>
      <c r="M51" s="16"/>
      <c r="N51" s="17"/>
      <c r="O51" s="72"/>
      <c r="P51" s="18"/>
      <c r="Q51" s="60"/>
      <c r="R51" s="19"/>
      <c r="S51" s="18"/>
      <c r="T51" s="75"/>
      <c r="U51" s="20"/>
      <c r="V51" s="21"/>
      <c r="W51" s="22"/>
      <c r="Y51" s="78" t="e">
        <f>VLOOKUP(V51,[1]IOT!$A:$B,2,0)</f>
        <v>#N/A</v>
      </c>
      <c r="Z51" s="78">
        <f>IF(ISNA(VLOOKUP(K51,[2]Sheet1!$A:$B,2,0)),0,(VLOOKUP(K51,[2]Sheet1!$A:$B,2,0)))</f>
        <v>0</v>
      </c>
      <c r="AA51" s="78">
        <f t="shared" si="21"/>
        <v>0</v>
      </c>
      <c r="AB51" s="78" t="e">
        <f>VLOOKUP(K51,[1]IOT!$A:$E,5,0)</f>
        <v>#N/A</v>
      </c>
      <c r="AC51" s="78"/>
      <c r="AD51" s="78" t="e">
        <f>VLOOKUP(K51,[1]IOT!$A:$F,6,0)</f>
        <v>#N/A</v>
      </c>
      <c r="AE51" s="78"/>
      <c r="AF51" s="78"/>
      <c r="AG51" s="78"/>
      <c r="AH51" s="78" t="e">
        <f>VLOOKUP(K51,[1]IOT!$A:$G,7,0)</f>
        <v>#N/A</v>
      </c>
      <c r="AI51" s="78" t="e">
        <f>VLOOKUP(K51,[1]IOT!$A:$H,8,0)</f>
        <v>#N/A</v>
      </c>
      <c r="AJ51" s="78" t="e">
        <f>VLOOKUP(K51,[1]IOT!$A:$I,9,0)</f>
        <v>#N/A</v>
      </c>
      <c r="AK51" s="78" t="e">
        <f>VLOOKUP(K51,[1]IOT!$A:$J,10,0)</f>
        <v>#N/A</v>
      </c>
      <c r="AL51" s="78" t="e">
        <f>VLOOKUP(K51,[1]IOT!$A:$K,11,0)</f>
        <v>#N/A</v>
      </c>
      <c r="AM51" s="78"/>
      <c r="AN51" s="78"/>
      <c r="AO51" s="79">
        <f t="shared" si="22"/>
        <v>0</v>
      </c>
      <c r="AP51" s="80">
        <f t="shared" si="23"/>
        <v>0</v>
      </c>
      <c r="AQ51" s="77"/>
      <c r="AR51" s="6" t="str">
        <f t="shared" si="24"/>
        <v/>
      </c>
    </row>
    <row r="52" spans="1:44" s="6" customFormat="1" ht="47.25" customHeight="1" x14ac:dyDescent="0.35">
      <c r="A52" s="71"/>
      <c r="B52" s="68"/>
      <c r="C52" s="25"/>
      <c r="D52" s="25"/>
      <c r="E52" s="67" t="str">
        <f t="shared" si="20"/>
        <v/>
      </c>
      <c r="F52" s="62"/>
      <c r="G52" s="14"/>
      <c r="H52" s="65"/>
      <c r="I52" s="70"/>
      <c r="J52" s="14"/>
      <c r="K52" s="69"/>
      <c r="L52" s="15"/>
      <c r="M52" s="16"/>
      <c r="N52" s="17"/>
      <c r="O52" s="72"/>
      <c r="P52" s="18"/>
      <c r="Q52" s="60"/>
      <c r="R52" s="19"/>
      <c r="S52" s="18"/>
      <c r="T52" s="75"/>
      <c r="U52" s="20"/>
      <c r="V52" s="21"/>
      <c r="W52" s="22"/>
      <c r="Y52" s="78" t="e">
        <f>VLOOKUP(V52,[1]IOT!$A:$B,2,0)</f>
        <v>#N/A</v>
      </c>
      <c r="Z52" s="78">
        <f>IF(ISNA(VLOOKUP(K52,[2]Sheet1!$A:$B,2,0)),0,(VLOOKUP(K52,[2]Sheet1!$A:$B,2,0)))</f>
        <v>0</v>
      </c>
      <c r="AA52" s="78">
        <f t="shared" si="21"/>
        <v>0</v>
      </c>
      <c r="AB52" s="78" t="e">
        <f>VLOOKUP(K52,[1]IOT!$A:$E,5,0)</f>
        <v>#N/A</v>
      </c>
      <c r="AC52" s="78"/>
      <c r="AD52" s="78" t="e">
        <f>VLOOKUP(K52,[1]IOT!$A:$F,6,0)</f>
        <v>#N/A</v>
      </c>
      <c r="AE52" s="78"/>
      <c r="AF52" s="78"/>
      <c r="AG52" s="78"/>
      <c r="AH52" s="78" t="e">
        <f>VLOOKUP(K52,[1]IOT!$A:$G,7,0)</f>
        <v>#N/A</v>
      </c>
      <c r="AI52" s="78" t="e">
        <f>VLOOKUP(K52,[1]IOT!$A:$H,8,0)</f>
        <v>#N/A</v>
      </c>
      <c r="AJ52" s="78" t="e">
        <f>VLOOKUP(K52,[1]IOT!$A:$I,9,0)</f>
        <v>#N/A</v>
      </c>
      <c r="AK52" s="78" t="e">
        <f>VLOOKUP(K52,[1]IOT!$A:$J,10,0)</f>
        <v>#N/A</v>
      </c>
      <c r="AL52" s="78" t="e">
        <f>VLOOKUP(K52,[1]IOT!$A:$K,11,0)</f>
        <v>#N/A</v>
      </c>
      <c r="AM52" s="78"/>
      <c r="AN52" s="78"/>
      <c r="AO52" s="79">
        <f t="shared" si="22"/>
        <v>0</v>
      </c>
      <c r="AP52" s="80">
        <f t="shared" si="23"/>
        <v>0</v>
      </c>
      <c r="AQ52" s="77"/>
      <c r="AR52" s="6" t="str">
        <f t="shared" si="24"/>
        <v/>
      </c>
    </row>
    <row r="53" spans="1:44" s="6" customFormat="1" ht="47.25" customHeight="1" x14ac:dyDescent="0.35">
      <c r="A53" s="71"/>
      <c r="B53" s="68"/>
      <c r="C53" s="25"/>
      <c r="D53" s="25"/>
      <c r="E53" s="67" t="str">
        <f t="shared" si="20"/>
        <v/>
      </c>
      <c r="F53" s="62"/>
      <c r="G53" s="14"/>
      <c r="H53" s="65"/>
      <c r="I53" s="70"/>
      <c r="J53" s="14"/>
      <c r="K53" s="69"/>
      <c r="L53" s="15"/>
      <c r="M53" s="16"/>
      <c r="N53" s="17"/>
      <c r="O53" s="72"/>
      <c r="P53" s="18"/>
      <c r="Q53" s="60"/>
      <c r="R53" s="19"/>
      <c r="S53" s="18"/>
      <c r="T53" s="75"/>
      <c r="U53" s="20"/>
      <c r="V53" s="21"/>
      <c r="W53" s="22"/>
      <c r="Y53" s="78" t="e">
        <f>VLOOKUP(V53,[1]IOT!$A:$B,2,0)</f>
        <v>#N/A</v>
      </c>
      <c r="Z53" s="78">
        <f>IF(ISNA(VLOOKUP(K53,[2]Sheet1!$A:$B,2,0)),0,(VLOOKUP(K53,[2]Sheet1!$A:$B,2,0)))</f>
        <v>0</v>
      </c>
      <c r="AA53" s="78">
        <f t="shared" si="21"/>
        <v>0</v>
      </c>
      <c r="AB53" s="78" t="e">
        <f>VLOOKUP(K53,[1]IOT!$A:$E,5,0)</f>
        <v>#N/A</v>
      </c>
      <c r="AC53" s="78"/>
      <c r="AD53" s="78" t="e">
        <f>VLOOKUP(K53,[1]IOT!$A:$F,6,0)</f>
        <v>#N/A</v>
      </c>
      <c r="AE53" s="78"/>
      <c r="AF53" s="78"/>
      <c r="AG53" s="78"/>
      <c r="AH53" s="78" t="e">
        <f>VLOOKUP(K53,[1]IOT!$A:$G,7,0)</f>
        <v>#N/A</v>
      </c>
      <c r="AI53" s="78" t="e">
        <f>VLOOKUP(K53,[1]IOT!$A:$H,8,0)</f>
        <v>#N/A</v>
      </c>
      <c r="AJ53" s="78" t="e">
        <f>VLOOKUP(K53,[1]IOT!$A:$I,9,0)</f>
        <v>#N/A</v>
      </c>
      <c r="AK53" s="78" t="e">
        <f>VLOOKUP(K53,[1]IOT!$A:$J,10,0)</f>
        <v>#N/A</v>
      </c>
      <c r="AL53" s="78" t="e">
        <f>VLOOKUP(K53,[1]IOT!$A:$K,11,0)</f>
        <v>#N/A</v>
      </c>
      <c r="AM53" s="78"/>
      <c r="AN53" s="78"/>
      <c r="AO53" s="79">
        <f t="shared" si="22"/>
        <v>0</v>
      </c>
      <c r="AP53" s="80">
        <f t="shared" si="23"/>
        <v>0</v>
      </c>
      <c r="AQ53" s="77"/>
      <c r="AR53" s="6" t="str">
        <f t="shared" si="24"/>
        <v/>
      </c>
    </row>
    <row r="54" spans="1:44" s="6" customFormat="1" ht="47.25" customHeight="1" x14ac:dyDescent="0.35">
      <c r="A54" s="71"/>
      <c r="B54" s="68"/>
      <c r="C54" s="25"/>
      <c r="D54" s="25"/>
      <c r="E54" s="67" t="str">
        <f t="shared" si="20"/>
        <v/>
      </c>
      <c r="F54" s="62"/>
      <c r="G54" s="14"/>
      <c r="H54" s="65"/>
      <c r="I54" s="70"/>
      <c r="J54" s="14"/>
      <c r="K54" s="69"/>
      <c r="L54" s="15"/>
      <c r="M54" s="16"/>
      <c r="N54" s="17"/>
      <c r="O54" s="72"/>
      <c r="P54" s="18"/>
      <c r="Q54" s="60"/>
      <c r="R54" s="19"/>
      <c r="S54" s="18"/>
      <c r="T54" s="75"/>
      <c r="U54" s="20"/>
      <c r="V54" s="21"/>
      <c r="W54" s="22"/>
      <c r="Y54" s="78" t="e">
        <f>VLOOKUP(V54,[1]IOT!$A:$B,2,0)</f>
        <v>#N/A</v>
      </c>
      <c r="Z54" s="78">
        <f>IF(ISNA(VLOOKUP(K54,[2]Sheet1!$A:$B,2,0)),0,(VLOOKUP(K54,[2]Sheet1!$A:$B,2,0)))</f>
        <v>0</v>
      </c>
      <c r="AA54" s="78">
        <f t="shared" si="21"/>
        <v>0</v>
      </c>
      <c r="AB54" s="78" t="e">
        <f>VLOOKUP(K54,[1]IOT!$A:$E,5,0)</f>
        <v>#N/A</v>
      </c>
      <c r="AC54" s="78"/>
      <c r="AD54" s="78" t="e">
        <f>VLOOKUP(K54,[1]IOT!$A:$F,6,0)</f>
        <v>#N/A</v>
      </c>
      <c r="AE54" s="78"/>
      <c r="AF54" s="78"/>
      <c r="AG54" s="78"/>
      <c r="AH54" s="78" t="e">
        <f>VLOOKUP(K54,[1]IOT!$A:$G,7,0)</f>
        <v>#N/A</v>
      </c>
      <c r="AI54" s="78" t="e">
        <f>VLOOKUP(K54,[1]IOT!$A:$H,8,0)</f>
        <v>#N/A</v>
      </c>
      <c r="AJ54" s="78" t="e">
        <f>VLOOKUP(K54,[1]IOT!$A:$I,9,0)</f>
        <v>#N/A</v>
      </c>
      <c r="AK54" s="78" t="e">
        <f>VLOOKUP(K54,[1]IOT!$A:$J,10,0)</f>
        <v>#N/A</v>
      </c>
      <c r="AL54" s="78" t="e">
        <f>VLOOKUP(K54,[1]IOT!$A:$K,11,0)</f>
        <v>#N/A</v>
      </c>
      <c r="AM54" s="78"/>
      <c r="AN54" s="78"/>
      <c r="AO54" s="79">
        <f t="shared" si="22"/>
        <v>0</v>
      </c>
      <c r="AP54" s="80">
        <f t="shared" si="23"/>
        <v>0</v>
      </c>
      <c r="AQ54" s="77"/>
      <c r="AR54" s="6" t="str">
        <f t="shared" si="24"/>
        <v/>
      </c>
    </row>
    <row r="55" spans="1:44" s="6" customFormat="1" ht="47.25" customHeight="1" x14ac:dyDescent="0.35">
      <c r="A55" s="71"/>
      <c r="B55" s="68"/>
      <c r="C55" s="25"/>
      <c r="D55" s="25"/>
      <c r="E55" s="67" t="str">
        <f t="shared" si="20"/>
        <v/>
      </c>
      <c r="F55" s="62"/>
      <c r="G55" s="14"/>
      <c r="H55" s="65"/>
      <c r="I55" s="70"/>
      <c r="J55" s="14"/>
      <c r="K55" s="69"/>
      <c r="L55" s="15"/>
      <c r="M55" s="16"/>
      <c r="N55" s="17"/>
      <c r="O55" s="72"/>
      <c r="P55" s="18"/>
      <c r="Q55" s="60"/>
      <c r="R55" s="19"/>
      <c r="S55" s="18"/>
      <c r="T55" s="75"/>
      <c r="U55" s="20"/>
      <c r="V55" s="21"/>
      <c r="W55" s="22"/>
      <c r="Y55" s="78" t="e">
        <f>VLOOKUP(V55,[1]IOT!$A:$B,2,0)</f>
        <v>#N/A</v>
      </c>
      <c r="Z55" s="78">
        <f>IF(ISNA(VLOOKUP(K55,[2]Sheet1!$A:$B,2,0)),0,(VLOOKUP(K55,[2]Sheet1!$A:$B,2,0)))</f>
        <v>0</v>
      </c>
      <c r="AA55" s="78">
        <f t="shared" si="21"/>
        <v>0</v>
      </c>
      <c r="AB55" s="78" t="e">
        <f>VLOOKUP(K55,[1]IOT!$A:$E,5,0)</f>
        <v>#N/A</v>
      </c>
      <c r="AC55" s="78"/>
      <c r="AD55" s="78" t="e">
        <f>VLOOKUP(K55,[1]IOT!$A:$F,6,0)</f>
        <v>#N/A</v>
      </c>
      <c r="AE55" s="78"/>
      <c r="AF55" s="78"/>
      <c r="AG55" s="78"/>
      <c r="AH55" s="78" t="e">
        <f>VLOOKUP(K55,[1]IOT!$A:$G,7,0)</f>
        <v>#N/A</v>
      </c>
      <c r="AI55" s="78" t="e">
        <f>VLOOKUP(K55,[1]IOT!$A:$H,8,0)</f>
        <v>#N/A</v>
      </c>
      <c r="AJ55" s="78" t="e">
        <f>VLOOKUP(K55,[1]IOT!$A:$I,9,0)</f>
        <v>#N/A</v>
      </c>
      <c r="AK55" s="78" t="e">
        <f>VLOOKUP(K55,[1]IOT!$A:$J,10,0)</f>
        <v>#N/A</v>
      </c>
      <c r="AL55" s="78" t="e">
        <f>VLOOKUP(K55,[1]IOT!$A:$K,11,0)</f>
        <v>#N/A</v>
      </c>
      <c r="AM55" s="78"/>
      <c r="AN55" s="78"/>
      <c r="AO55" s="79">
        <f t="shared" si="22"/>
        <v>0</v>
      </c>
      <c r="AP55" s="80">
        <f t="shared" si="23"/>
        <v>0</v>
      </c>
      <c r="AQ55" s="77"/>
      <c r="AR55" s="6" t="str">
        <f t="shared" si="24"/>
        <v/>
      </c>
    </row>
    <row r="56" spans="1:44" s="6" customFormat="1" ht="47.25" customHeight="1" x14ac:dyDescent="0.35">
      <c r="A56" s="71"/>
      <c r="B56" s="68"/>
      <c r="C56" s="25"/>
      <c r="D56" s="25"/>
      <c r="E56" s="67" t="str">
        <f t="shared" si="20"/>
        <v/>
      </c>
      <c r="F56" s="62"/>
      <c r="G56" s="14"/>
      <c r="H56" s="65"/>
      <c r="I56" s="70"/>
      <c r="J56" s="14"/>
      <c r="K56" s="69"/>
      <c r="L56" s="15"/>
      <c r="M56" s="16"/>
      <c r="N56" s="17"/>
      <c r="O56" s="72"/>
      <c r="P56" s="18"/>
      <c r="Q56" s="60"/>
      <c r="R56" s="19"/>
      <c r="S56" s="18"/>
      <c r="T56" s="75"/>
      <c r="U56" s="20"/>
      <c r="V56" s="21"/>
      <c r="W56" s="22"/>
      <c r="Y56" s="78" t="e">
        <f>VLOOKUP(V56,[1]IOT!$A:$B,2,0)</f>
        <v>#N/A</v>
      </c>
      <c r="Z56" s="78">
        <f>IF(ISNA(VLOOKUP(K56,[2]Sheet1!$A:$B,2,0)),0,(VLOOKUP(K56,[2]Sheet1!$A:$B,2,0)))</f>
        <v>0</v>
      </c>
      <c r="AA56" s="78">
        <f t="shared" si="21"/>
        <v>0</v>
      </c>
      <c r="AB56" s="78" t="e">
        <f>VLOOKUP(K56,[1]IOT!$A:$E,5,0)</f>
        <v>#N/A</v>
      </c>
      <c r="AC56" s="78"/>
      <c r="AD56" s="78" t="e">
        <f>VLOOKUP(K56,[1]IOT!$A:$F,6,0)</f>
        <v>#N/A</v>
      </c>
      <c r="AE56" s="78"/>
      <c r="AF56" s="78"/>
      <c r="AG56" s="78"/>
      <c r="AH56" s="78" t="e">
        <f>VLOOKUP(K56,[1]IOT!$A:$G,7,0)</f>
        <v>#N/A</v>
      </c>
      <c r="AI56" s="78" t="e">
        <f>VLOOKUP(K56,[1]IOT!$A:$H,8,0)</f>
        <v>#N/A</v>
      </c>
      <c r="AJ56" s="78" t="e">
        <f>VLOOKUP(K56,[1]IOT!$A:$I,9,0)</f>
        <v>#N/A</v>
      </c>
      <c r="AK56" s="78" t="e">
        <f>VLOOKUP(K56,[1]IOT!$A:$J,10,0)</f>
        <v>#N/A</v>
      </c>
      <c r="AL56" s="78" t="e">
        <f>VLOOKUP(K56,[1]IOT!$A:$K,11,0)</f>
        <v>#N/A</v>
      </c>
      <c r="AM56" s="78"/>
      <c r="AN56" s="78"/>
      <c r="AO56" s="79">
        <f t="shared" si="22"/>
        <v>0</v>
      </c>
      <c r="AP56" s="80">
        <f t="shared" si="23"/>
        <v>0</v>
      </c>
      <c r="AQ56" s="77"/>
      <c r="AR56" s="6" t="str">
        <f t="shared" si="24"/>
        <v/>
      </c>
    </row>
    <row r="57" spans="1:44" s="6" customFormat="1" ht="47.25" customHeight="1" x14ac:dyDescent="0.35">
      <c r="A57" s="71"/>
      <c r="B57" s="68"/>
      <c r="C57" s="25"/>
      <c r="D57" s="25"/>
      <c r="E57" s="67" t="str">
        <f t="shared" si="20"/>
        <v/>
      </c>
      <c r="F57" s="62"/>
      <c r="G57" s="14"/>
      <c r="H57" s="65"/>
      <c r="I57" s="70"/>
      <c r="J57" s="14"/>
      <c r="K57" s="69"/>
      <c r="L57" s="15"/>
      <c r="M57" s="16"/>
      <c r="N57" s="17"/>
      <c r="O57" s="72"/>
      <c r="P57" s="18"/>
      <c r="Q57" s="60"/>
      <c r="R57" s="19"/>
      <c r="S57" s="18"/>
      <c r="T57" s="75"/>
      <c r="U57" s="20"/>
      <c r="V57" s="21"/>
      <c r="W57" s="22"/>
      <c r="Y57" s="78" t="e">
        <f>VLOOKUP(V57,[1]IOT!$A:$B,2,0)</f>
        <v>#N/A</v>
      </c>
      <c r="Z57" s="78">
        <f>IF(ISNA(VLOOKUP(K57,[2]Sheet1!$A:$B,2,0)),0,(VLOOKUP(K57,[2]Sheet1!$A:$B,2,0)))</f>
        <v>0</v>
      </c>
      <c r="AA57" s="78">
        <f t="shared" si="21"/>
        <v>0</v>
      </c>
      <c r="AB57" s="78" t="e">
        <f>VLOOKUP(K57,[1]IOT!$A:$E,5,0)</f>
        <v>#N/A</v>
      </c>
      <c r="AC57" s="78"/>
      <c r="AD57" s="78" t="e">
        <f>VLOOKUP(K57,[1]IOT!$A:$F,6,0)</f>
        <v>#N/A</v>
      </c>
      <c r="AE57" s="78"/>
      <c r="AF57" s="78"/>
      <c r="AG57" s="78"/>
      <c r="AH57" s="78" t="e">
        <f>VLOOKUP(K57,[1]IOT!$A:$G,7,0)</f>
        <v>#N/A</v>
      </c>
      <c r="AI57" s="78" t="e">
        <f>VLOOKUP(K57,[1]IOT!$A:$H,8,0)</f>
        <v>#N/A</v>
      </c>
      <c r="AJ57" s="78" t="e">
        <f>VLOOKUP(K57,[1]IOT!$A:$I,9,0)</f>
        <v>#N/A</v>
      </c>
      <c r="AK57" s="78" t="e">
        <f>VLOOKUP(K57,[1]IOT!$A:$J,10,0)</f>
        <v>#N/A</v>
      </c>
      <c r="AL57" s="78" t="e">
        <f>VLOOKUP(K57,[1]IOT!$A:$K,11,0)</f>
        <v>#N/A</v>
      </c>
      <c r="AM57" s="78"/>
      <c r="AN57" s="78"/>
      <c r="AO57" s="79">
        <f t="shared" si="22"/>
        <v>0</v>
      </c>
      <c r="AP57" s="80">
        <f t="shared" si="23"/>
        <v>0</v>
      </c>
      <c r="AQ57" s="77"/>
      <c r="AR57" s="6" t="str">
        <f t="shared" si="24"/>
        <v/>
      </c>
    </row>
    <row r="58" spans="1:44" s="6" customFormat="1" ht="47.25" customHeight="1" x14ac:dyDescent="0.35">
      <c r="A58" s="71"/>
      <c r="B58" s="68"/>
      <c r="C58" s="25"/>
      <c r="D58" s="25"/>
      <c r="E58" s="67" t="str">
        <f t="shared" si="20"/>
        <v/>
      </c>
      <c r="F58" s="62"/>
      <c r="G58" s="14"/>
      <c r="H58" s="65"/>
      <c r="I58" s="70"/>
      <c r="J58" s="14"/>
      <c r="K58" s="69"/>
      <c r="L58" s="15"/>
      <c r="M58" s="16"/>
      <c r="N58" s="17"/>
      <c r="O58" s="72"/>
      <c r="P58" s="18"/>
      <c r="Q58" s="60"/>
      <c r="R58" s="19"/>
      <c r="S58" s="18"/>
      <c r="T58" s="75"/>
      <c r="U58" s="20"/>
      <c r="V58" s="21"/>
      <c r="W58" s="22"/>
      <c r="Y58" s="78" t="e">
        <f>VLOOKUP(V58,[1]IOT!$A:$B,2,0)</f>
        <v>#N/A</v>
      </c>
      <c r="Z58" s="78">
        <f>IF(ISNA(VLOOKUP(K58,[2]Sheet1!$A:$B,2,0)),0,(VLOOKUP(K58,[2]Sheet1!$A:$B,2,0)))</f>
        <v>0</v>
      </c>
      <c r="AA58" s="78">
        <f t="shared" si="21"/>
        <v>0</v>
      </c>
      <c r="AB58" s="78" t="e">
        <f>VLOOKUP(K58,[1]IOT!$A:$E,5,0)</f>
        <v>#N/A</v>
      </c>
      <c r="AC58" s="78"/>
      <c r="AD58" s="78" t="e">
        <f>VLOOKUP(K58,[1]IOT!$A:$F,6,0)</f>
        <v>#N/A</v>
      </c>
      <c r="AE58" s="78"/>
      <c r="AF58" s="78"/>
      <c r="AG58" s="78"/>
      <c r="AH58" s="78" t="e">
        <f>VLOOKUP(K58,[1]IOT!$A:$G,7,0)</f>
        <v>#N/A</v>
      </c>
      <c r="AI58" s="78" t="e">
        <f>VLOOKUP(K58,[1]IOT!$A:$H,8,0)</f>
        <v>#N/A</v>
      </c>
      <c r="AJ58" s="78" t="e">
        <f>VLOOKUP(K58,[1]IOT!$A:$I,9,0)</f>
        <v>#N/A</v>
      </c>
      <c r="AK58" s="78" t="e">
        <f>VLOOKUP(K58,[1]IOT!$A:$J,10,0)</f>
        <v>#N/A</v>
      </c>
      <c r="AL58" s="78" t="e">
        <f>VLOOKUP(K58,[1]IOT!$A:$K,11,0)</f>
        <v>#N/A</v>
      </c>
      <c r="AM58" s="78"/>
      <c r="AN58" s="78"/>
      <c r="AO58" s="79">
        <f t="shared" si="22"/>
        <v>0</v>
      </c>
      <c r="AP58" s="80">
        <f t="shared" si="23"/>
        <v>0</v>
      </c>
      <c r="AQ58" s="77"/>
      <c r="AR58" s="6" t="str">
        <f t="shared" si="24"/>
        <v/>
      </c>
    </row>
    <row r="59" spans="1:44" s="6" customFormat="1" ht="47.25" customHeight="1" x14ac:dyDescent="0.35">
      <c r="A59" s="71"/>
      <c r="B59" s="68"/>
      <c r="C59" s="25"/>
      <c r="D59" s="25"/>
      <c r="E59" s="67" t="str">
        <f t="shared" si="20"/>
        <v/>
      </c>
      <c r="F59" s="62"/>
      <c r="G59" s="14"/>
      <c r="H59" s="65"/>
      <c r="I59" s="70"/>
      <c r="J59" s="14"/>
      <c r="K59" s="69"/>
      <c r="L59" s="15"/>
      <c r="M59" s="16"/>
      <c r="N59" s="17"/>
      <c r="O59" s="72"/>
      <c r="P59" s="18"/>
      <c r="Q59" s="60"/>
      <c r="R59" s="19"/>
      <c r="S59" s="18"/>
      <c r="T59" s="75"/>
      <c r="U59" s="20"/>
      <c r="V59" s="21"/>
      <c r="W59" s="22"/>
      <c r="Y59" s="78" t="e">
        <f>VLOOKUP(V59,[1]IOT!$A:$B,2,0)</f>
        <v>#N/A</v>
      </c>
      <c r="Z59" s="78">
        <f>IF(ISNA(VLOOKUP(K59,[2]Sheet1!$A:$B,2,0)),0,(VLOOKUP(K59,[2]Sheet1!$A:$B,2,0)))</f>
        <v>0</v>
      </c>
      <c r="AA59" s="78">
        <f t="shared" si="21"/>
        <v>0</v>
      </c>
      <c r="AB59" s="78" t="e">
        <f>VLOOKUP(K59,[1]IOT!$A:$E,5,0)</f>
        <v>#N/A</v>
      </c>
      <c r="AC59" s="78"/>
      <c r="AD59" s="78" t="e">
        <f>VLOOKUP(K59,[1]IOT!$A:$F,6,0)</f>
        <v>#N/A</v>
      </c>
      <c r="AE59" s="78"/>
      <c r="AF59" s="78"/>
      <c r="AG59" s="78"/>
      <c r="AH59" s="78" t="e">
        <f>VLOOKUP(K59,[1]IOT!$A:$G,7,0)</f>
        <v>#N/A</v>
      </c>
      <c r="AI59" s="78" t="e">
        <f>VLOOKUP(K59,[1]IOT!$A:$H,8,0)</f>
        <v>#N/A</v>
      </c>
      <c r="AJ59" s="78" t="e">
        <f>VLOOKUP(K59,[1]IOT!$A:$I,9,0)</f>
        <v>#N/A</v>
      </c>
      <c r="AK59" s="78" t="e">
        <f>VLOOKUP(K59,[1]IOT!$A:$J,10,0)</f>
        <v>#N/A</v>
      </c>
      <c r="AL59" s="78" t="e">
        <f>VLOOKUP(K59,[1]IOT!$A:$K,11,0)</f>
        <v>#N/A</v>
      </c>
      <c r="AM59" s="78"/>
      <c r="AN59" s="78"/>
      <c r="AO59" s="79">
        <f t="shared" si="22"/>
        <v>0</v>
      </c>
      <c r="AP59" s="80">
        <f t="shared" si="23"/>
        <v>0</v>
      </c>
      <c r="AQ59" s="77"/>
      <c r="AR59" s="6" t="str">
        <f t="shared" si="24"/>
        <v/>
      </c>
    </row>
    <row r="60" spans="1:44" s="6" customFormat="1" ht="47.25" customHeight="1" x14ac:dyDescent="0.35">
      <c r="A60" s="71"/>
      <c r="B60" s="68"/>
      <c r="C60" s="25"/>
      <c r="D60" s="25"/>
      <c r="E60" s="67" t="str">
        <f t="shared" si="20"/>
        <v/>
      </c>
      <c r="F60" s="62"/>
      <c r="G60" s="14"/>
      <c r="H60" s="65"/>
      <c r="I60" s="70"/>
      <c r="J60" s="14"/>
      <c r="K60" s="69"/>
      <c r="L60" s="15"/>
      <c r="M60" s="16"/>
      <c r="N60" s="17"/>
      <c r="O60" s="72"/>
      <c r="P60" s="18"/>
      <c r="Q60" s="60"/>
      <c r="R60" s="19"/>
      <c r="S60" s="18"/>
      <c r="T60" s="75"/>
      <c r="U60" s="20"/>
      <c r="V60" s="21"/>
      <c r="W60" s="22"/>
      <c r="Y60" s="78" t="e">
        <f>VLOOKUP(V60,[1]IOT!$A:$B,2,0)</f>
        <v>#N/A</v>
      </c>
      <c r="Z60" s="78">
        <f>IF(ISNA(VLOOKUP(K60,[2]Sheet1!$A:$B,2,0)),0,(VLOOKUP(K60,[2]Sheet1!$A:$B,2,0)))</f>
        <v>0</v>
      </c>
      <c r="AA60" s="78">
        <f t="shared" si="21"/>
        <v>0</v>
      </c>
      <c r="AB60" s="78" t="e">
        <f>VLOOKUP(K60,[1]IOT!$A:$E,5,0)</f>
        <v>#N/A</v>
      </c>
      <c r="AC60" s="78"/>
      <c r="AD60" s="78" t="e">
        <f>VLOOKUP(K60,[1]IOT!$A:$F,6,0)</f>
        <v>#N/A</v>
      </c>
      <c r="AE60" s="78"/>
      <c r="AF60" s="78"/>
      <c r="AG60" s="78"/>
      <c r="AH60" s="78" t="e">
        <f>VLOOKUP(K60,[1]IOT!$A:$G,7,0)</f>
        <v>#N/A</v>
      </c>
      <c r="AI60" s="78" t="e">
        <f>VLOOKUP(K60,[1]IOT!$A:$H,8,0)</f>
        <v>#N/A</v>
      </c>
      <c r="AJ60" s="78" t="e">
        <f>VLOOKUP(K60,[1]IOT!$A:$I,9,0)</f>
        <v>#N/A</v>
      </c>
      <c r="AK60" s="78" t="e">
        <f>VLOOKUP(K60,[1]IOT!$A:$J,10,0)</f>
        <v>#N/A</v>
      </c>
      <c r="AL60" s="78" t="e">
        <f>VLOOKUP(K60,[1]IOT!$A:$K,11,0)</f>
        <v>#N/A</v>
      </c>
      <c r="AM60" s="78"/>
      <c r="AN60" s="78"/>
      <c r="AO60" s="79">
        <f t="shared" si="22"/>
        <v>0</v>
      </c>
      <c r="AP60" s="80">
        <f t="shared" si="23"/>
        <v>0</v>
      </c>
      <c r="AQ60" s="77"/>
      <c r="AR60" s="6" t="str">
        <f t="shared" si="24"/>
        <v/>
      </c>
    </row>
    <row r="61" spans="1:44" s="6" customFormat="1" ht="47.25" customHeight="1" x14ac:dyDescent="0.35">
      <c r="A61" s="71"/>
      <c r="B61" s="68"/>
      <c r="C61" s="25"/>
      <c r="D61" s="25"/>
      <c r="E61" s="67" t="str">
        <f t="shared" si="20"/>
        <v/>
      </c>
      <c r="F61" s="62"/>
      <c r="G61" s="14"/>
      <c r="H61" s="65"/>
      <c r="I61" s="70"/>
      <c r="J61" s="14"/>
      <c r="K61" s="69"/>
      <c r="L61" s="15"/>
      <c r="M61" s="16"/>
      <c r="N61" s="17"/>
      <c r="O61" s="72"/>
      <c r="P61" s="18"/>
      <c r="Q61" s="60"/>
      <c r="R61" s="19"/>
      <c r="S61" s="18"/>
      <c r="T61" s="75"/>
      <c r="U61" s="20"/>
      <c r="V61" s="21"/>
      <c r="W61" s="22"/>
      <c r="Y61" s="78" t="e">
        <f>VLOOKUP(V61,[1]IOT!$A:$B,2,0)</f>
        <v>#N/A</v>
      </c>
      <c r="Z61" s="78">
        <f>IF(ISNA(VLOOKUP(K61,[2]Sheet1!$A:$B,2,0)),0,(VLOOKUP(K61,[2]Sheet1!$A:$B,2,0)))</f>
        <v>0</v>
      </c>
      <c r="AA61" s="78">
        <f t="shared" si="21"/>
        <v>0</v>
      </c>
      <c r="AB61" s="78" t="e">
        <f>VLOOKUP(K61,[1]IOT!$A:$E,5,0)</f>
        <v>#N/A</v>
      </c>
      <c r="AC61" s="78"/>
      <c r="AD61" s="78" t="e">
        <f>VLOOKUP(K61,[1]IOT!$A:$F,6,0)</f>
        <v>#N/A</v>
      </c>
      <c r="AE61" s="78"/>
      <c r="AF61" s="78"/>
      <c r="AG61" s="78"/>
      <c r="AH61" s="78" t="e">
        <f>VLOOKUP(K61,[1]IOT!$A:$G,7,0)</f>
        <v>#N/A</v>
      </c>
      <c r="AI61" s="78" t="e">
        <f>VLOOKUP(K61,[1]IOT!$A:$H,8,0)</f>
        <v>#N/A</v>
      </c>
      <c r="AJ61" s="78" t="e">
        <f>VLOOKUP(K61,[1]IOT!$A:$I,9,0)</f>
        <v>#N/A</v>
      </c>
      <c r="AK61" s="78" t="e">
        <f>VLOOKUP(K61,[1]IOT!$A:$J,10,0)</f>
        <v>#N/A</v>
      </c>
      <c r="AL61" s="78" t="e">
        <f>VLOOKUP(K61,[1]IOT!$A:$K,11,0)</f>
        <v>#N/A</v>
      </c>
      <c r="AM61" s="78"/>
      <c r="AN61" s="78"/>
      <c r="AO61" s="79">
        <f t="shared" si="22"/>
        <v>0</v>
      </c>
      <c r="AP61" s="80">
        <f t="shared" si="23"/>
        <v>0</v>
      </c>
      <c r="AQ61" s="77"/>
      <c r="AR61" s="6" t="str">
        <f t="shared" si="24"/>
        <v/>
      </c>
    </row>
    <row r="62" spans="1:44" s="6" customFormat="1" ht="47.25" customHeight="1" x14ac:dyDescent="0.35">
      <c r="A62" s="71"/>
      <c r="B62" s="68"/>
      <c r="C62" s="25"/>
      <c r="D62" s="25"/>
      <c r="E62" s="67" t="str">
        <f t="shared" si="20"/>
        <v/>
      </c>
      <c r="F62" s="62"/>
      <c r="G62" s="14"/>
      <c r="H62" s="65"/>
      <c r="I62" s="70"/>
      <c r="J62" s="14"/>
      <c r="K62" s="69"/>
      <c r="L62" s="15"/>
      <c r="M62" s="16"/>
      <c r="N62" s="17"/>
      <c r="O62" s="72"/>
      <c r="P62" s="18"/>
      <c r="Q62" s="60"/>
      <c r="R62" s="19"/>
      <c r="S62" s="18"/>
      <c r="T62" s="75"/>
      <c r="U62" s="20"/>
      <c r="V62" s="21"/>
      <c r="W62" s="22"/>
      <c r="Y62" s="78" t="e">
        <f>VLOOKUP(V62,[1]IOT!$A:$B,2,0)</f>
        <v>#N/A</v>
      </c>
      <c r="Z62" s="78">
        <f>IF(ISNA(VLOOKUP(K62,[2]Sheet1!$A:$B,2,0)),0,(VLOOKUP(K62,[2]Sheet1!$A:$B,2,0)))</f>
        <v>0</v>
      </c>
      <c r="AA62" s="78">
        <f t="shared" si="21"/>
        <v>0</v>
      </c>
      <c r="AB62" s="78" t="e">
        <f>VLOOKUP(K62,[1]IOT!$A:$E,5,0)</f>
        <v>#N/A</v>
      </c>
      <c r="AC62" s="78"/>
      <c r="AD62" s="78" t="e">
        <f>VLOOKUP(K62,[1]IOT!$A:$F,6,0)</f>
        <v>#N/A</v>
      </c>
      <c r="AE62" s="78"/>
      <c r="AF62" s="78"/>
      <c r="AG62" s="78"/>
      <c r="AH62" s="78" t="e">
        <f>VLOOKUP(K62,[1]IOT!$A:$G,7,0)</f>
        <v>#N/A</v>
      </c>
      <c r="AI62" s="78" t="e">
        <f>VLOOKUP(K62,[1]IOT!$A:$H,8,0)</f>
        <v>#N/A</v>
      </c>
      <c r="AJ62" s="78" t="e">
        <f>VLOOKUP(K62,[1]IOT!$A:$I,9,0)</f>
        <v>#N/A</v>
      </c>
      <c r="AK62" s="78" t="e">
        <f>VLOOKUP(K62,[1]IOT!$A:$J,10,0)</f>
        <v>#N/A</v>
      </c>
      <c r="AL62" s="78" t="e">
        <f>VLOOKUP(K62,[1]IOT!$A:$K,11,0)</f>
        <v>#N/A</v>
      </c>
      <c r="AM62" s="78"/>
      <c r="AN62" s="78"/>
      <c r="AO62" s="79">
        <f t="shared" si="22"/>
        <v>0</v>
      </c>
      <c r="AP62" s="80">
        <f t="shared" si="23"/>
        <v>0</v>
      </c>
      <c r="AQ62" s="77"/>
      <c r="AR62" s="6" t="str">
        <f t="shared" si="24"/>
        <v/>
      </c>
    </row>
    <row r="63" spans="1:44" s="6" customFormat="1" ht="47.25" customHeight="1" x14ac:dyDescent="0.35">
      <c r="A63" s="71"/>
      <c r="B63" s="68"/>
      <c r="C63" s="25"/>
      <c r="D63" s="25"/>
      <c r="E63" s="67" t="str">
        <f t="shared" si="20"/>
        <v/>
      </c>
      <c r="F63" s="62"/>
      <c r="G63" s="14"/>
      <c r="H63" s="65"/>
      <c r="I63" s="70"/>
      <c r="J63" s="14"/>
      <c r="K63" s="69"/>
      <c r="L63" s="15"/>
      <c r="M63" s="16"/>
      <c r="N63" s="17"/>
      <c r="O63" s="72"/>
      <c r="P63" s="18"/>
      <c r="Q63" s="60"/>
      <c r="R63" s="19"/>
      <c r="S63" s="18"/>
      <c r="T63" s="75"/>
      <c r="U63" s="20"/>
      <c r="V63" s="21"/>
      <c r="W63" s="22"/>
      <c r="Y63" s="78" t="e">
        <f>VLOOKUP(V63,[1]IOT!$A:$B,2,0)</f>
        <v>#N/A</v>
      </c>
      <c r="Z63" s="78">
        <f>IF(ISNA(VLOOKUP(K63,[2]Sheet1!$A:$B,2,0)),0,(VLOOKUP(K63,[2]Sheet1!$A:$B,2,0)))</f>
        <v>0</v>
      </c>
      <c r="AA63" s="78">
        <f t="shared" si="21"/>
        <v>0</v>
      </c>
      <c r="AB63" s="78" t="e">
        <f>VLOOKUP(K63,[1]IOT!$A:$E,5,0)</f>
        <v>#N/A</v>
      </c>
      <c r="AC63" s="78"/>
      <c r="AD63" s="78" t="e">
        <f>VLOOKUP(K63,[1]IOT!$A:$F,6,0)</f>
        <v>#N/A</v>
      </c>
      <c r="AE63" s="78"/>
      <c r="AF63" s="78"/>
      <c r="AG63" s="78"/>
      <c r="AH63" s="78" t="e">
        <f>VLOOKUP(K63,[1]IOT!$A:$G,7,0)</f>
        <v>#N/A</v>
      </c>
      <c r="AI63" s="78" t="e">
        <f>VLOOKUP(K63,[1]IOT!$A:$H,8,0)</f>
        <v>#N/A</v>
      </c>
      <c r="AJ63" s="78" t="e">
        <f>VLOOKUP(K63,[1]IOT!$A:$I,9,0)</f>
        <v>#N/A</v>
      </c>
      <c r="AK63" s="78" t="e">
        <f>VLOOKUP(K63,[1]IOT!$A:$J,10,0)</f>
        <v>#N/A</v>
      </c>
      <c r="AL63" s="78" t="e">
        <f>VLOOKUP(K63,[1]IOT!$A:$K,11,0)</f>
        <v>#N/A</v>
      </c>
      <c r="AM63" s="78"/>
      <c r="AN63" s="78"/>
      <c r="AO63" s="79">
        <f t="shared" si="22"/>
        <v>0</v>
      </c>
      <c r="AP63" s="80">
        <f t="shared" si="23"/>
        <v>0</v>
      </c>
      <c r="AQ63" s="77"/>
      <c r="AR63" s="6" t="str">
        <f t="shared" si="24"/>
        <v/>
      </c>
    </row>
    <row r="64" spans="1:44" s="6" customFormat="1" ht="47.25" customHeight="1" x14ac:dyDescent="0.35">
      <c r="A64" s="71"/>
      <c r="B64" s="68"/>
      <c r="C64" s="25"/>
      <c r="D64" s="25"/>
      <c r="E64" s="67" t="str">
        <f t="shared" si="20"/>
        <v/>
      </c>
      <c r="F64" s="62"/>
      <c r="G64" s="14"/>
      <c r="H64" s="65"/>
      <c r="I64" s="70"/>
      <c r="J64" s="14"/>
      <c r="K64" s="69"/>
      <c r="L64" s="15"/>
      <c r="M64" s="16"/>
      <c r="N64" s="17"/>
      <c r="O64" s="72"/>
      <c r="P64" s="18"/>
      <c r="Q64" s="60"/>
      <c r="R64" s="19"/>
      <c r="S64" s="18"/>
      <c r="T64" s="75"/>
      <c r="U64" s="20"/>
      <c r="V64" s="21"/>
      <c r="W64" s="22"/>
      <c r="Y64" s="78" t="e">
        <f>VLOOKUP(V64,[1]IOT!$A:$B,2,0)</f>
        <v>#N/A</v>
      </c>
      <c r="Z64" s="78">
        <f>IF(ISNA(VLOOKUP(K64,[2]Sheet1!$A:$B,2,0)),0,(VLOOKUP(K64,[2]Sheet1!$A:$B,2,0)))</f>
        <v>0</v>
      </c>
      <c r="AA64" s="78">
        <f t="shared" si="21"/>
        <v>0</v>
      </c>
      <c r="AB64" s="78" t="e">
        <f>VLOOKUP(K64,[1]IOT!$A:$E,5,0)</f>
        <v>#N/A</v>
      </c>
      <c r="AC64" s="78"/>
      <c r="AD64" s="78" t="e">
        <f>VLOOKUP(K64,[1]IOT!$A:$F,6,0)</f>
        <v>#N/A</v>
      </c>
      <c r="AE64" s="78"/>
      <c r="AF64" s="78"/>
      <c r="AG64" s="78"/>
      <c r="AH64" s="78" t="e">
        <f>VLOOKUP(K64,[1]IOT!$A:$G,7,0)</f>
        <v>#N/A</v>
      </c>
      <c r="AI64" s="78" t="e">
        <f>VLOOKUP(K64,[1]IOT!$A:$H,8,0)</f>
        <v>#N/A</v>
      </c>
      <c r="AJ64" s="78" t="e">
        <f>VLOOKUP(K64,[1]IOT!$A:$I,9,0)</f>
        <v>#N/A</v>
      </c>
      <c r="AK64" s="78" t="e">
        <f>VLOOKUP(K64,[1]IOT!$A:$J,10,0)</f>
        <v>#N/A</v>
      </c>
      <c r="AL64" s="78" t="e">
        <f>VLOOKUP(K64,[1]IOT!$A:$K,11,0)</f>
        <v>#N/A</v>
      </c>
      <c r="AM64" s="78"/>
      <c r="AN64" s="78"/>
      <c r="AO64" s="79">
        <f t="shared" si="22"/>
        <v>0</v>
      </c>
      <c r="AP64" s="80">
        <f t="shared" si="23"/>
        <v>0</v>
      </c>
      <c r="AQ64" s="77"/>
      <c r="AR64" s="6" t="str">
        <f t="shared" si="24"/>
        <v/>
      </c>
    </row>
    <row r="65" spans="1:44" s="6" customFormat="1" ht="47.25" customHeight="1" x14ac:dyDescent="0.35">
      <c r="A65" s="71"/>
      <c r="B65" s="68"/>
      <c r="C65" s="25"/>
      <c r="D65" s="25"/>
      <c r="E65" s="67" t="str">
        <f t="shared" si="20"/>
        <v/>
      </c>
      <c r="F65" s="62"/>
      <c r="G65" s="14"/>
      <c r="H65" s="65"/>
      <c r="I65" s="70"/>
      <c r="J65" s="14"/>
      <c r="K65" s="69"/>
      <c r="L65" s="15"/>
      <c r="M65" s="16"/>
      <c r="N65" s="17"/>
      <c r="O65" s="72"/>
      <c r="P65" s="18"/>
      <c r="Q65" s="60"/>
      <c r="R65" s="19"/>
      <c r="S65" s="18"/>
      <c r="T65" s="75"/>
      <c r="U65" s="20"/>
      <c r="V65" s="21"/>
      <c r="W65" s="22"/>
      <c r="Y65" s="78" t="e">
        <f>VLOOKUP(V65,[1]IOT!$A:$B,2,0)</f>
        <v>#N/A</v>
      </c>
      <c r="Z65" s="78">
        <f>IF(ISNA(VLOOKUP(K65,[2]Sheet1!$A:$B,2,0)),0,(VLOOKUP(K65,[2]Sheet1!$A:$B,2,0)))</f>
        <v>0</v>
      </c>
      <c r="AA65" s="78">
        <f t="shared" si="21"/>
        <v>0</v>
      </c>
      <c r="AB65" s="78" t="e">
        <f>VLOOKUP(K65,[1]IOT!$A:$E,5,0)</f>
        <v>#N/A</v>
      </c>
      <c r="AC65" s="78"/>
      <c r="AD65" s="78" t="e">
        <f>VLOOKUP(K65,[1]IOT!$A:$F,6,0)</f>
        <v>#N/A</v>
      </c>
      <c r="AE65" s="78"/>
      <c r="AF65" s="78"/>
      <c r="AG65" s="78"/>
      <c r="AH65" s="78" t="e">
        <f>VLOOKUP(K65,[1]IOT!$A:$G,7,0)</f>
        <v>#N/A</v>
      </c>
      <c r="AI65" s="78" t="e">
        <f>VLOOKUP(K65,[1]IOT!$A:$H,8,0)</f>
        <v>#N/A</v>
      </c>
      <c r="AJ65" s="78" t="e">
        <f>VLOOKUP(K65,[1]IOT!$A:$I,9,0)</f>
        <v>#N/A</v>
      </c>
      <c r="AK65" s="78" t="e">
        <f>VLOOKUP(K65,[1]IOT!$A:$J,10,0)</f>
        <v>#N/A</v>
      </c>
      <c r="AL65" s="78" t="e">
        <f>VLOOKUP(K65,[1]IOT!$A:$K,11,0)</f>
        <v>#N/A</v>
      </c>
      <c r="AM65" s="78"/>
      <c r="AN65" s="78"/>
      <c r="AO65" s="79">
        <f t="shared" si="22"/>
        <v>0</v>
      </c>
      <c r="AP65" s="80">
        <f t="shared" si="23"/>
        <v>0</v>
      </c>
      <c r="AQ65" s="77"/>
      <c r="AR65" s="6" t="str">
        <f t="shared" si="24"/>
        <v/>
      </c>
    </row>
    <row r="66" spans="1:44" s="6" customFormat="1" ht="47.25" customHeight="1" x14ac:dyDescent="0.35">
      <c r="A66" s="71"/>
      <c r="B66" s="68"/>
      <c r="C66" s="25"/>
      <c r="D66" s="25"/>
      <c r="E66" s="67" t="str">
        <f t="shared" si="20"/>
        <v/>
      </c>
      <c r="F66" s="62"/>
      <c r="G66" s="14"/>
      <c r="H66" s="65"/>
      <c r="I66" s="70"/>
      <c r="J66" s="14"/>
      <c r="K66" s="69"/>
      <c r="L66" s="15"/>
      <c r="M66" s="16"/>
      <c r="N66" s="17"/>
      <c r="O66" s="72"/>
      <c r="P66" s="18"/>
      <c r="Q66" s="60"/>
      <c r="R66" s="19"/>
      <c r="S66" s="18"/>
      <c r="T66" s="75"/>
      <c r="U66" s="20"/>
      <c r="V66" s="21"/>
      <c r="W66" s="22"/>
      <c r="Y66" s="78" t="e">
        <f>VLOOKUP(V66,[1]IOT!$A:$B,2,0)</f>
        <v>#N/A</v>
      </c>
      <c r="Z66" s="78">
        <f>IF(ISNA(VLOOKUP(K66,[2]Sheet1!$A:$B,2,0)),0,(VLOOKUP(K66,[2]Sheet1!$A:$B,2,0)))</f>
        <v>0</v>
      </c>
      <c r="AA66" s="78">
        <f t="shared" si="21"/>
        <v>0</v>
      </c>
      <c r="AB66" s="78" t="e">
        <f>VLOOKUP(K66,[1]IOT!$A:$E,5,0)</f>
        <v>#N/A</v>
      </c>
      <c r="AC66" s="78"/>
      <c r="AD66" s="78" t="e">
        <f>VLOOKUP(K66,[1]IOT!$A:$F,6,0)</f>
        <v>#N/A</v>
      </c>
      <c r="AE66" s="78"/>
      <c r="AF66" s="78"/>
      <c r="AG66" s="78"/>
      <c r="AH66" s="78" t="e">
        <f>VLOOKUP(K66,[1]IOT!$A:$G,7,0)</f>
        <v>#N/A</v>
      </c>
      <c r="AI66" s="78" t="e">
        <f>VLOOKUP(K66,[1]IOT!$A:$H,8,0)</f>
        <v>#N/A</v>
      </c>
      <c r="AJ66" s="78" t="e">
        <f>VLOOKUP(K66,[1]IOT!$A:$I,9,0)</f>
        <v>#N/A</v>
      </c>
      <c r="AK66" s="78" t="e">
        <f>VLOOKUP(K66,[1]IOT!$A:$J,10,0)</f>
        <v>#N/A</v>
      </c>
      <c r="AL66" s="78" t="e">
        <f>VLOOKUP(K66,[1]IOT!$A:$K,11,0)</f>
        <v>#N/A</v>
      </c>
      <c r="AM66" s="78"/>
      <c r="AN66" s="78"/>
      <c r="AO66" s="79">
        <f t="shared" si="22"/>
        <v>0</v>
      </c>
      <c r="AP66" s="80">
        <f t="shared" si="23"/>
        <v>0</v>
      </c>
      <c r="AQ66" s="77"/>
      <c r="AR66" s="6" t="str">
        <f t="shared" si="24"/>
        <v/>
      </c>
    </row>
    <row r="67" spans="1:44" s="6" customFormat="1" ht="47.25" customHeight="1" x14ac:dyDescent="0.35">
      <c r="A67" s="71"/>
      <c r="B67" s="68"/>
      <c r="C67" s="25"/>
      <c r="D67" s="25"/>
      <c r="E67" s="67" t="str">
        <f t="shared" si="20"/>
        <v/>
      </c>
      <c r="F67" s="62"/>
      <c r="G67" s="14"/>
      <c r="H67" s="65"/>
      <c r="I67" s="70"/>
      <c r="J67" s="14"/>
      <c r="K67" s="69"/>
      <c r="L67" s="15"/>
      <c r="M67" s="16"/>
      <c r="N67" s="17"/>
      <c r="O67" s="72"/>
      <c r="P67" s="18"/>
      <c r="Q67" s="60"/>
      <c r="R67" s="19"/>
      <c r="S67" s="18"/>
      <c r="T67" s="75"/>
      <c r="U67" s="20"/>
      <c r="V67" s="21"/>
      <c r="W67" s="22"/>
      <c r="Y67" s="78" t="e">
        <f>VLOOKUP(V67,[1]IOT!$A:$B,2,0)</f>
        <v>#N/A</v>
      </c>
      <c r="Z67" s="78">
        <f>IF(ISNA(VLOOKUP(K67,[2]Sheet1!$A:$B,2,0)),0,(VLOOKUP(K67,[2]Sheet1!$A:$B,2,0)))</f>
        <v>0</v>
      </c>
      <c r="AA67" s="78">
        <f t="shared" si="21"/>
        <v>0</v>
      </c>
      <c r="AB67" s="78" t="e">
        <f>VLOOKUP(K67,[1]IOT!$A:$E,5,0)</f>
        <v>#N/A</v>
      </c>
      <c r="AC67" s="78"/>
      <c r="AD67" s="78" t="e">
        <f>VLOOKUP(K67,[1]IOT!$A:$F,6,0)</f>
        <v>#N/A</v>
      </c>
      <c r="AE67" s="78"/>
      <c r="AF67" s="78"/>
      <c r="AG67" s="78"/>
      <c r="AH67" s="78" t="e">
        <f>VLOOKUP(K67,[1]IOT!$A:$G,7,0)</f>
        <v>#N/A</v>
      </c>
      <c r="AI67" s="78" t="e">
        <f>VLOOKUP(K67,[1]IOT!$A:$H,8,0)</f>
        <v>#N/A</v>
      </c>
      <c r="AJ67" s="78" t="e">
        <f>VLOOKUP(K67,[1]IOT!$A:$I,9,0)</f>
        <v>#N/A</v>
      </c>
      <c r="AK67" s="78" t="e">
        <f>VLOOKUP(K67,[1]IOT!$A:$J,10,0)</f>
        <v>#N/A</v>
      </c>
      <c r="AL67" s="78" t="e">
        <f>VLOOKUP(K67,[1]IOT!$A:$K,11,0)</f>
        <v>#N/A</v>
      </c>
      <c r="AM67" s="78"/>
      <c r="AN67" s="78"/>
      <c r="AO67" s="79">
        <f t="shared" si="22"/>
        <v>0</v>
      </c>
      <c r="AP67" s="80">
        <f t="shared" si="23"/>
        <v>0</v>
      </c>
      <c r="AQ67" s="77"/>
      <c r="AR67" s="6" t="str">
        <f t="shared" si="24"/>
        <v/>
      </c>
    </row>
    <row r="68" spans="1:44" s="6" customFormat="1" ht="47.25" customHeight="1" x14ac:dyDescent="0.35">
      <c r="A68" s="71"/>
      <c r="B68" s="68"/>
      <c r="C68" s="25"/>
      <c r="D68" s="25"/>
      <c r="E68" s="67" t="str">
        <f t="shared" si="20"/>
        <v/>
      </c>
      <c r="F68" s="62"/>
      <c r="G68" s="14"/>
      <c r="H68" s="65"/>
      <c r="I68" s="70"/>
      <c r="J68" s="14"/>
      <c r="K68" s="69"/>
      <c r="L68" s="15"/>
      <c r="M68" s="16"/>
      <c r="N68" s="17"/>
      <c r="O68" s="72"/>
      <c r="P68" s="18"/>
      <c r="Q68" s="60"/>
      <c r="R68" s="19"/>
      <c r="S68" s="18"/>
      <c r="T68" s="75"/>
      <c r="U68" s="20"/>
      <c r="V68" s="21"/>
      <c r="W68" s="22"/>
      <c r="Y68" s="78" t="e">
        <f>VLOOKUP(V68,[1]IOT!$A:$B,2,0)</f>
        <v>#N/A</v>
      </c>
      <c r="Z68" s="78">
        <f>IF(ISNA(VLOOKUP(K68,[2]Sheet1!$A:$B,2,0)),0,(VLOOKUP(K68,[2]Sheet1!$A:$B,2,0)))</f>
        <v>0</v>
      </c>
      <c r="AA68" s="78">
        <f t="shared" si="21"/>
        <v>0</v>
      </c>
      <c r="AB68" s="78" t="e">
        <f>VLOOKUP(K68,[1]IOT!$A:$E,5,0)</f>
        <v>#N/A</v>
      </c>
      <c r="AC68" s="78"/>
      <c r="AD68" s="78" t="e">
        <f>VLOOKUP(K68,[1]IOT!$A:$F,6,0)</f>
        <v>#N/A</v>
      </c>
      <c r="AE68" s="78"/>
      <c r="AF68" s="78"/>
      <c r="AG68" s="78"/>
      <c r="AH68" s="78" t="e">
        <f>VLOOKUP(K68,[1]IOT!$A:$G,7,0)</f>
        <v>#N/A</v>
      </c>
      <c r="AI68" s="78" t="e">
        <f>VLOOKUP(K68,[1]IOT!$A:$H,8,0)</f>
        <v>#N/A</v>
      </c>
      <c r="AJ68" s="78" t="e">
        <f>VLOOKUP(K68,[1]IOT!$A:$I,9,0)</f>
        <v>#N/A</v>
      </c>
      <c r="AK68" s="78" t="e">
        <f>VLOOKUP(K68,[1]IOT!$A:$J,10,0)</f>
        <v>#N/A</v>
      </c>
      <c r="AL68" s="78" t="e">
        <f>VLOOKUP(K68,[1]IOT!$A:$K,11,0)</f>
        <v>#N/A</v>
      </c>
      <c r="AM68" s="78"/>
      <c r="AN68" s="78"/>
      <c r="AO68" s="79">
        <f t="shared" si="22"/>
        <v>0</v>
      </c>
      <c r="AP68" s="80">
        <f t="shared" si="23"/>
        <v>0</v>
      </c>
      <c r="AQ68" s="77"/>
      <c r="AR68" s="6" t="str">
        <f t="shared" si="24"/>
        <v/>
      </c>
    </row>
    <row r="69" spans="1:44" s="6" customFormat="1" ht="47.25" customHeight="1" x14ac:dyDescent="0.35">
      <c r="A69" s="71"/>
      <c r="B69" s="68"/>
      <c r="C69" s="25"/>
      <c r="D69" s="25"/>
      <c r="E69" s="67" t="str">
        <f t="shared" si="20"/>
        <v/>
      </c>
      <c r="F69" s="62"/>
      <c r="G69" s="14"/>
      <c r="H69" s="65"/>
      <c r="I69" s="70"/>
      <c r="J69" s="14"/>
      <c r="K69" s="69"/>
      <c r="L69" s="15"/>
      <c r="M69" s="16"/>
      <c r="N69" s="17"/>
      <c r="O69" s="72"/>
      <c r="P69" s="18"/>
      <c r="Q69" s="60"/>
      <c r="R69" s="19"/>
      <c r="S69" s="18"/>
      <c r="T69" s="75"/>
      <c r="U69" s="20"/>
      <c r="V69" s="21"/>
      <c r="W69" s="22"/>
      <c r="Y69" s="78" t="e">
        <f>VLOOKUP(V69,[1]IOT!$A:$B,2,0)</f>
        <v>#N/A</v>
      </c>
      <c r="Z69" s="78">
        <f>IF(ISNA(VLOOKUP(K69,[2]Sheet1!$A:$B,2,0)),0,(VLOOKUP(K69,[2]Sheet1!$A:$B,2,0)))</f>
        <v>0</v>
      </c>
      <c r="AA69" s="78">
        <f t="shared" si="21"/>
        <v>0</v>
      </c>
      <c r="AB69" s="78" t="e">
        <f>VLOOKUP(K69,[1]IOT!$A:$E,5,0)</f>
        <v>#N/A</v>
      </c>
      <c r="AC69" s="78"/>
      <c r="AD69" s="78" t="e">
        <f>VLOOKUP(K69,[1]IOT!$A:$F,6,0)</f>
        <v>#N/A</v>
      </c>
      <c r="AE69" s="78"/>
      <c r="AF69" s="78"/>
      <c r="AG69" s="78"/>
      <c r="AH69" s="78" t="e">
        <f>VLOOKUP(K69,[1]IOT!$A:$G,7,0)</f>
        <v>#N/A</v>
      </c>
      <c r="AI69" s="78" t="e">
        <f>VLOOKUP(K69,[1]IOT!$A:$H,8,0)</f>
        <v>#N/A</v>
      </c>
      <c r="AJ69" s="78" t="e">
        <f>VLOOKUP(K69,[1]IOT!$A:$I,9,0)</f>
        <v>#N/A</v>
      </c>
      <c r="AK69" s="78" t="e">
        <f>VLOOKUP(K69,[1]IOT!$A:$J,10,0)</f>
        <v>#N/A</v>
      </c>
      <c r="AL69" s="78" t="e">
        <f>VLOOKUP(K69,[1]IOT!$A:$K,11,0)</f>
        <v>#N/A</v>
      </c>
      <c r="AM69" s="78"/>
      <c r="AN69" s="78"/>
      <c r="AO69" s="79">
        <f t="shared" si="22"/>
        <v>0</v>
      </c>
      <c r="AP69" s="80">
        <f t="shared" si="23"/>
        <v>0</v>
      </c>
      <c r="AQ69" s="77"/>
      <c r="AR69" s="6" t="str">
        <f t="shared" si="24"/>
        <v/>
      </c>
    </row>
    <row r="70" spans="1:44" s="6" customFormat="1" ht="47.25" customHeight="1" x14ac:dyDescent="0.35">
      <c r="A70" s="71"/>
      <c r="B70" s="68"/>
      <c r="C70" s="25"/>
      <c r="D70" s="25"/>
      <c r="E70" s="67" t="str">
        <f t="shared" si="20"/>
        <v/>
      </c>
      <c r="F70" s="62"/>
      <c r="G70" s="14"/>
      <c r="H70" s="65"/>
      <c r="I70" s="70"/>
      <c r="J70" s="14"/>
      <c r="K70" s="69"/>
      <c r="L70" s="15"/>
      <c r="M70" s="16"/>
      <c r="N70" s="17"/>
      <c r="O70" s="72"/>
      <c r="P70" s="18"/>
      <c r="Q70" s="60"/>
      <c r="R70" s="19"/>
      <c r="S70" s="18"/>
      <c r="T70" s="75"/>
      <c r="U70" s="20"/>
      <c r="V70" s="21"/>
      <c r="W70" s="22"/>
      <c r="Y70" s="78" t="e">
        <f>VLOOKUP(V70,[1]IOT!$A:$B,2,0)</f>
        <v>#N/A</v>
      </c>
      <c r="Z70" s="78">
        <f>IF(ISNA(VLOOKUP(K70,[2]Sheet1!$A:$B,2,0)),0,(VLOOKUP(K70,[2]Sheet1!$A:$B,2,0)))</f>
        <v>0</v>
      </c>
      <c r="AA70" s="78">
        <f t="shared" si="21"/>
        <v>0</v>
      </c>
      <c r="AB70" s="78" t="e">
        <f>VLOOKUP(K70,[1]IOT!$A:$E,5,0)</f>
        <v>#N/A</v>
      </c>
      <c r="AC70" s="78"/>
      <c r="AD70" s="78" t="e">
        <f>VLOOKUP(K70,[1]IOT!$A:$F,6,0)</f>
        <v>#N/A</v>
      </c>
      <c r="AE70" s="78"/>
      <c r="AF70" s="78"/>
      <c r="AG70" s="78"/>
      <c r="AH70" s="78" t="e">
        <f>VLOOKUP(K70,[1]IOT!$A:$G,7,0)</f>
        <v>#N/A</v>
      </c>
      <c r="AI70" s="78" t="e">
        <f>VLOOKUP(K70,[1]IOT!$A:$H,8,0)</f>
        <v>#N/A</v>
      </c>
      <c r="AJ70" s="78" t="e">
        <f>VLOOKUP(K70,[1]IOT!$A:$I,9,0)</f>
        <v>#N/A</v>
      </c>
      <c r="AK70" s="78" t="e">
        <f>VLOOKUP(K70,[1]IOT!$A:$J,10,0)</f>
        <v>#N/A</v>
      </c>
      <c r="AL70" s="78" t="e">
        <f>VLOOKUP(K70,[1]IOT!$A:$K,11,0)</f>
        <v>#N/A</v>
      </c>
      <c r="AM70" s="78"/>
      <c r="AN70" s="78"/>
      <c r="AO70" s="79">
        <f t="shared" si="22"/>
        <v>0</v>
      </c>
      <c r="AP70" s="80">
        <f t="shared" si="23"/>
        <v>0</v>
      </c>
      <c r="AQ70" s="77"/>
      <c r="AR70" s="6" t="str">
        <f t="shared" si="24"/>
        <v/>
      </c>
    </row>
    <row r="71" spans="1:44" s="6" customFormat="1" ht="47.25" customHeight="1" x14ac:dyDescent="0.35">
      <c r="A71" s="71"/>
      <c r="B71" s="68"/>
      <c r="C71" s="25"/>
      <c r="D71" s="25"/>
      <c r="E71" s="67" t="str">
        <f t="shared" si="20"/>
        <v/>
      </c>
      <c r="F71" s="62"/>
      <c r="G71" s="14"/>
      <c r="H71" s="65"/>
      <c r="I71" s="70"/>
      <c r="J71" s="14"/>
      <c r="K71" s="69"/>
      <c r="L71" s="15"/>
      <c r="M71" s="16"/>
      <c r="N71" s="17"/>
      <c r="O71" s="72"/>
      <c r="P71" s="18"/>
      <c r="Q71" s="60"/>
      <c r="R71" s="19"/>
      <c r="S71" s="18"/>
      <c r="T71" s="75"/>
      <c r="U71" s="20"/>
      <c r="V71" s="21"/>
      <c r="W71" s="22"/>
      <c r="Y71" s="78" t="e">
        <f>VLOOKUP(V71,[1]IOT!$A:$B,2,0)</f>
        <v>#N/A</v>
      </c>
      <c r="Z71" s="78">
        <f>IF(ISNA(VLOOKUP(K71,[2]Sheet1!$A:$B,2,0)),0,(VLOOKUP(K71,[2]Sheet1!$A:$B,2,0)))</f>
        <v>0</v>
      </c>
      <c r="AA71" s="78">
        <f t="shared" si="21"/>
        <v>0</v>
      </c>
      <c r="AB71" s="78" t="e">
        <f>VLOOKUP(K71,[1]IOT!$A:$E,5,0)</f>
        <v>#N/A</v>
      </c>
      <c r="AC71" s="78"/>
      <c r="AD71" s="78" t="e">
        <f>VLOOKUP(K71,[1]IOT!$A:$F,6,0)</f>
        <v>#N/A</v>
      </c>
      <c r="AE71" s="78"/>
      <c r="AF71" s="78"/>
      <c r="AG71" s="78"/>
      <c r="AH71" s="78" t="e">
        <f>VLOOKUP(K71,[1]IOT!$A:$G,7,0)</f>
        <v>#N/A</v>
      </c>
      <c r="AI71" s="78" t="e">
        <f>VLOOKUP(K71,[1]IOT!$A:$H,8,0)</f>
        <v>#N/A</v>
      </c>
      <c r="AJ71" s="78" t="e">
        <f>VLOOKUP(K71,[1]IOT!$A:$I,9,0)</f>
        <v>#N/A</v>
      </c>
      <c r="AK71" s="78" t="e">
        <f>VLOOKUP(K71,[1]IOT!$A:$J,10,0)</f>
        <v>#N/A</v>
      </c>
      <c r="AL71" s="78" t="e">
        <f>VLOOKUP(K71,[1]IOT!$A:$K,11,0)</f>
        <v>#N/A</v>
      </c>
      <c r="AM71" s="78"/>
      <c r="AN71" s="78"/>
      <c r="AO71" s="79">
        <f t="shared" si="22"/>
        <v>0</v>
      </c>
      <c r="AP71" s="80">
        <f t="shared" si="23"/>
        <v>0</v>
      </c>
      <c r="AQ71" s="77"/>
      <c r="AR71" s="6" t="str">
        <f t="shared" si="24"/>
        <v/>
      </c>
    </row>
    <row r="72" spans="1:44" s="6" customFormat="1" ht="47.25" customHeight="1" x14ac:dyDescent="0.35">
      <c r="A72" s="71"/>
      <c r="B72" s="68"/>
      <c r="C72" s="25"/>
      <c r="D72" s="25"/>
      <c r="E72" s="67" t="str">
        <f t="shared" si="20"/>
        <v/>
      </c>
      <c r="F72" s="62"/>
      <c r="G72" s="14"/>
      <c r="H72" s="65"/>
      <c r="I72" s="70"/>
      <c r="J72" s="14"/>
      <c r="K72" s="69"/>
      <c r="L72" s="15"/>
      <c r="M72" s="16"/>
      <c r="N72" s="17"/>
      <c r="O72" s="72"/>
      <c r="P72" s="18"/>
      <c r="Q72" s="60"/>
      <c r="R72" s="19"/>
      <c r="S72" s="18"/>
      <c r="T72" s="75"/>
      <c r="U72" s="20"/>
      <c r="V72" s="21"/>
      <c r="W72" s="22"/>
      <c r="Y72" s="78" t="e">
        <f>VLOOKUP(V72,[1]IOT!$A:$B,2,0)</f>
        <v>#N/A</v>
      </c>
      <c r="Z72" s="78">
        <f>IF(ISNA(VLOOKUP(K72,[2]Sheet1!$A:$B,2,0)),0,(VLOOKUP(K72,[2]Sheet1!$A:$B,2,0)))</f>
        <v>0</v>
      </c>
      <c r="AA72" s="78">
        <f t="shared" si="21"/>
        <v>0</v>
      </c>
      <c r="AB72" s="78" t="e">
        <f>VLOOKUP(K72,[1]IOT!$A:$E,5,0)</f>
        <v>#N/A</v>
      </c>
      <c r="AC72" s="78"/>
      <c r="AD72" s="78" t="e">
        <f>VLOOKUP(K72,[1]IOT!$A:$F,6,0)</f>
        <v>#N/A</v>
      </c>
      <c r="AE72" s="78"/>
      <c r="AF72" s="78"/>
      <c r="AG72" s="78"/>
      <c r="AH72" s="78" t="e">
        <f>VLOOKUP(K72,[1]IOT!$A:$G,7,0)</f>
        <v>#N/A</v>
      </c>
      <c r="AI72" s="78" t="e">
        <f>VLOOKUP(K72,[1]IOT!$A:$H,8,0)</f>
        <v>#N/A</v>
      </c>
      <c r="AJ72" s="78" t="e">
        <f>VLOOKUP(K72,[1]IOT!$A:$I,9,0)</f>
        <v>#N/A</v>
      </c>
      <c r="AK72" s="78" t="e">
        <f>VLOOKUP(K72,[1]IOT!$A:$J,10,0)</f>
        <v>#N/A</v>
      </c>
      <c r="AL72" s="78" t="e">
        <f>VLOOKUP(K72,[1]IOT!$A:$K,11,0)</f>
        <v>#N/A</v>
      </c>
      <c r="AM72" s="78"/>
      <c r="AN72" s="78"/>
      <c r="AO72" s="79">
        <f t="shared" si="22"/>
        <v>0</v>
      </c>
      <c r="AP72" s="80">
        <f t="shared" si="23"/>
        <v>0</v>
      </c>
      <c r="AQ72" s="77"/>
      <c r="AR72" s="6" t="str">
        <f t="shared" si="24"/>
        <v/>
      </c>
    </row>
    <row r="73" spans="1:44" s="6" customFormat="1" ht="47.25" customHeight="1" x14ac:dyDescent="0.35">
      <c r="A73" s="71"/>
      <c r="B73" s="68"/>
      <c r="C73" s="25"/>
      <c r="D73" s="25"/>
      <c r="E73" s="67" t="str">
        <f t="shared" si="20"/>
        <v/>
      </c>
      <c r="F73" s="62"/>
      <c r="G73" s="14"/>
      <c r="H73" s="65"/>
      <c r="I73" s="70"/>
      <c r="J73" s="14"/>
      <c r="K73" s="69"/>
      <c r="L73" s="15"/>
      <c r="M73" s="16"/>
      <c r="N73" s="17"/>
      <c r="O73" s="72"/>
      <c r="P73" s="18"/>
      <c r="Q73" s="60"/>
      <c r="R73" s="19"/>
      <c r="S73" s="18"/>
      <c r="T73" s="75"/>
      <c r="U73" s="20"/>
      <c r="V73" s="21"/>
      <c r="W73" s="22"/>
      <c r="Y73" s="78" t="e">
        <f>VLOOKUP(V73,[1]IOT!$A:$B,2,0)</f>
        <v>#N/A</v>
      </c>
      <c r="Z73" s="78">
        <f>IF(ISNA(VLOOKUP(K73,[2]Sheet1!$A:$B,2,0)),0,(VLOOKUP(K73,[2]Sheet1!$A:$B,2,0)))</f>
        <v>0</v>
      </c>
      <c r="AA73" s="78">
        <f t="shared" si="21"/>
        <v>0</v>
      </c>
      <c r="AB73" s="78" t="e">
        <f>VLOOKUP(K73,[1]IOT!$A:$E,5,0)</f>
        <v>#N/A</v>
      </c>
      <c r="AC73" s="78"/>
      <c r="AD73" s="78" t="e">
        <f>VLOOKUP(K73,[1]IOT!$A:$F,6,0)</f>
        <v>#N/A</v>
      </c>
      <c r="AE73" s="78"/>
      <c r="AF73" s="78"/>
      <c r="AG73" s="78"/>
      <c r="AH73" s="78" t="e">
        <f>VLOOKUP(K73,[1]IOT!$A:$G,7,0)</f>
        <v>#N/A</v>
      </c>
      <c r="AI73" s="78" t="e">
        <f>VLOOKUP(K73,[1]IOT!$A:$H,8,0)</f>
        <v>#N/A</v>
      </c>
      <c r="AJ73" s="78" t="e">
        <f>VLOOKUP(K73,[1]IOT!$A:$I,9,0)</f>
        <v>#N/A</v>
      </c>
      <c r="AK73" s="78" t="e">
        <f>VLOOKUP(K73,[1]IOT!$A:$J,10,0)</f>
        <v>#N/A</v>
      </c>
      <c r="AL73" s="78" t="e">
        <f>VLOOKUP(K73,[1]IOT!$A:$K,11,0)</f>
        <v>#N/A</v>
      </c>
      <c r="AM73" s="78"/>
      <c r="AN73" s="78"/>
      <c r="AO73" s="79">
        <f t="shared" si="22"/>
        <v>0</v>
      </c>
      <c r="AP73" s="80">
        <f t="shared" si="23"/>
        <v>0</v>
      </c>
      <c r="AQ73" s="77"/>
      <c r="AR73" s="6" t="str">
        <f t="shared" si="24"/>
        <v/>
      </c>
    </row>
    <row r="74" spans="1:44" s="6" customFormat="1" ht="47.25" customHeight="1" x14ac:dyDescent="0.35">
      <c r="A74" s="71"/>
      <c r="B74" s="68"/>
      <c r="C74" s="25"/>
      <c r="D74" s="25"/>
      <c r="E74" s="67" t="str">
        <f t="shared" si="20"/>
        <v/>
      </c>
      <c r="F74" s="62"/>
      <c r="G74" s="14"/>
      <c r="H74" s="65"/>
      <c r="I74" s="70"/>
      <c r="J74" s="14"/>
      <c r="K74" s="69"/>
      <c r="L74" s="15"/>
      <c r="M74" s="16"/>
      <c r="N74" s="17"/>
      <c r="O74" s="72"/>
      <c r="P74" s="18"/>
      <c r="Q74" s="60"/>
      <c r="R74" s="19"/>
      <c r="S74" s="18"/>
      <c r="T74" s="75"/>
      <c r="U74" s="20"/>
      <c r="V74" s="21"/>
      <c r="W74" s="22"/>
      <c r="Y74" s="78" t="e">
        <f>VLOOKUP(V74,[1]IOT!$A:$B,2,0)</f>
        <v>#N/A</v>
      </c>
      <c r="Z74" s="78">
        <f>IF(ISNA(VLOOKUP(K74,[2]Sheet1!$A:$B,2,0)),0,(VLOOKUP(K74,[2]Sheet1!$A:$B,2,0)))</f>
        <v>0</v>
      </c>
      <c r="AA74" s="78">
        <f t="shared" si="21"/>
        <v>0</v>
      </c>
      <c r="AB74" s="78" t="e">
        <f>VLOOKUP(K74,[1]IOT!$A:$E,5,0)</f>
        <v>#N/A</v>
      </c>
      <c r="AC74" s="78"/>
      <c r="AD74" s="78" t="e">
        <f>VLOOKUP(K74,[1]IOT!$A:$F,6,0)</f>
        <v>#N/A</v>
      </c>
      <c r="AE74" s="78"/>
      <c r="AF74" s="78"/>
      <c r="AG74" s="78"/>
      <c r="AH74" s="78" t="e">
        <f>VLOOKUP(K74,[1]IOT!$A:$G,7,0)</f>
        <v>#N/A</v>
      </c>
      <c r="AI74" s="78" t="e">
        <f>VLOOKUP(K74,[1]IOT!$A:$H,8,0)</f>
        <v>#N/A</v>
      </c>
      <c r="AJ74" s="78" t="e">
        <f>VLOOKUP(K74,[1]IOT!$A:$I,9,0)</f>
        <v>#N/A</v>
      </c>
      <c r="AK74" s="78" t="e">
        <f>VLOOKUP(K74,[1]IOT!$A:$J,10,0)</f>
        <v>#N/A</v>
      </c>
      <c r="AL74" s="78" t="e">
        <f>VLOOKUP(K74,[1]IOT!$A:$K,11,0)</f>
        <v>#N/A</v>
      </c>
      <c r="AM74" s="78"/>
      <c r="AN74" s="78"/>
      <c r="AO74" s="79">
        <f t="shared" si="22"/>
        <v>0</v>
      </c>
      <c r="AP74" s="80">
        <f t="shared" si="23"/>
        <v>0</v>
      </c>
      <c r="AQ74" s="77"/>
      <c r="AR74" s="6" t="str">
        <f t="shared" si="24"/>
        <v/>
      </c>
    </row>
    <row r="75" spans="1:44" s="6" customFormat="1" ht="47.25" customHeight="1" x14ac:dyDescent="0.35">
      <c r="A75" s="71"/>
      <c r="B75" s="68"/>
      <c r="C75" s="25"/>
      <c r="D75" s="25"/>
      <c r="E75" s="67" t="str">
        <f t="shared" si="20"/>
        <v/>
      </c>
      <c r="F75" s="62"/>
      <c r="G75" s="14"/>
      <c r="H75" s="65"/>
      <c r="I75" s="70"/>
      <c r="J75" s="14"/>
      <c r="K75" s="69"/>
      <c r="L75" s="15"/>
      <c r="M75" s="16"/>
      <c r="N75" s="17"/>
      <c r="O75" s="72"/>
      <c r="P75" s="18"/>
      <c r="Q75" s="60"/>
      <c r="R75" s="19"/>
      <c r="S75" s="18"/>
      <c r="T75" s="75"/>
      <c r="U75" s="20"/>
      <c r="V75" s="21"/>
      <c r="W75" s="22"/>
      <c r="Y75" s="78" t="e">
        <f>VLOOKUP(V75,[1]IOT!$A:$B,2,0)</f>
        <v>#N/A</v>
      </c>
      <c r="Z75" s="78">
        <f>IF(ISNA(VLOOKUP(K75,[2]Sheet1!$A:$B,2,0)),0,(VLOOKUP(K75,[2]Sheet1!$A:$B,2,0)))</f>
        <v>0</v>
      </c>
      <c r="AA75" s="78">
        <f t="shared" si="21"/>
        <v>0</v>
      </c>
      <c r="AB75" s="78" t="e">
        <f>VLOOKUP(K75,[1]IOT!$A:$E,5,0)</f>
        <v>#N/A</v>
      </c>
      <c r="AC75" s="78"/>
      <c r="AD75" s="78" t="e">
        <f>VLOOKUP(K75,[1]IOT!$A:$F,6,0)</f>
        <v>#N/A</v>
      </c>
      <c r="AE75" s="78"/>
      <c r="AF75" s="78"/>
      <c r="AG75" s="78"/>
      <c r="AH75" s="78" t="e">
        <f>VLOOKUP(K75,[1]IOT!$A:$G,7,0)</f>
        <v>#N/A</v>
      </c>
      <c r="AI75" s="78" t="e">
        <f>VLOOKUP(K75,[1]IOT!$A:$H,8,0)</f>
        <v>#N/A</v>
      </c>
      <c r="AJ75" s="78" t="e">
        <f>VLOOKUP(K75,[1]IOT!$A:$I,9,0)</f>
        <v>#N/A</v>
      </c>
      <c r="AK75" s="78" t="e">
        <f>VLOOKUP(K75,[1]IOT!$A:$J,10,0)</f>
        <v>#N/A</v>
      </c>
      <c r="AL75" s="78" t="e">
        <f>VLOOKUP(K75,[1]IOT!$A:$K,11,0)</f>
        <v>#N/A</v>
      </c>
      <c r="AM75" s="78"/>
      <c r="AN75" s="78"/>
      <c r="AO75" s="79">
        <f t="shared" si="22"/>
        <v>0</v>
      </c>
      <c r="AP75" s="80">
        <f t="shared" si="23"/>
        <v>0</v>
      </c>
      <c r="AQ75" s="77"/>
      <c r="AR75" s="6" t="str">
        <f t="shared" si="24"/>
        <v/>
      </c>
    </row>
    <row r="76" spans="1:44" s="6" customFormat="1" ht="47.25" customHeight="1" x14ac:dyDescent="0.35">
      <c r="A76" s="71"/>
      <c r="B76" s="68"/>
      <c r="C76" s="25"/>
      <c r="D76" s="25"/>
      <c r="E76" s="67" t="str">
        <f t="shared" si="20"/>
        <v/>
      </c>
      <c r="F76" s="62"/>
      <c r="G76" s="14"/>
      <c r="H76" s="65"/>
      <c r="I76" s="70"/>
      <c r="J76" s="14"/>
      <c r="K76" s="69"/>
      <c r="L76" s="15"/>
      <c r="M76" s="16"/>
      <c r="N76" s="17"/>
      <c r="O76" s="72"/>
      <c r="P76" s="18"/>
      <c r="Q76" s="60"/>
      <c r="R76" s="19"/>
      <c r="S76" s="18"/>
      <c r="T76" s="75"/>
      <c r="U76" s="20"/>
      <c r="V76" s="21"/>
      <c r="W76" s="22"/>
      <c r="Y76" s="78" t="e">
        <f>VLOOKUP(V76,[1]IOT!$A:$B,2,0)</f>
        <v>#N/A</v>
      </c>
      <c r="Z76" s="78">
        <f>IF(ISNA(VLOOKUP(K76,[2]Sheet1!$A:$B,2,0)),0,(VLOOKUP(K76,[2]Sheet1!$A:$B,2,0)))</f>
        <v>0</v>
      </c>
      <c r="AA76" s="78">
        <f t="shared" si="21"/>
        <v>0</v>
      </c>
      <c r="AB76" s="78" t="e">
        <f>VLOOKUP(K76,[1]IOT!$A:$E,5,0)</f>
        <v>#N/A</v>
      </c>
      <c r="AC76" s="78"/>
      <c r="AD76" s="78" t="e">
        <f>VLOOKUP(K76,[1]IOT!$A:$F,6,0)</f>
        <v>#N/A</v>
      </c>
      <c r="AE76" s="78"/>
      <c r="AF76" s="78"/>
      <c r="AG76" s="78"/>
      <c r="AH76" s="78" t="e">
        <f>VLOOKUP(K76,[1]IOT!$A:$G,7,0)</f>
        <v>#N/A</v>
      </c>
      <c r="AI76" s="78" t="e">
        <f>VLOOKUP(K76,[1]IOT!$A:$H,8,0)</f>
        <v>#N/A</v>
      </c>
      <c r="AJ76" s="78" t="e">
        <f>VLOOKUP(K76,[1]IOT!$A:$I,9,0)</f>
        <v>#N/A</v>
      </c>
      <c r="AK76" s="78" t="e">
        <f>VLOOKUP(K76,[1]IOT!$A:$J,10,0)</f>
        <v>#N/A</v>
      </c>
      <c r="AL76" s="78" t="e">
        <f>VLOOKUP(K76,[1]IOT!$A:$K,11,0)</f>
        <v>#N/A</v>
      </c>
      <c r="AM76" s="78"/>
      <c r="AN76" s="78"/>
      <c r="AO76" s="79">
        <f t="shared" si="22"/>
        <v>0</v>
      </c>
      <c r="AP76" s="80">
        <f t="shared" si="23"/>
        <v>0</v>
      </c>
      <c r="AQ76" s="77"/>
      <c r="AR76" s="6" t="str">
        <f t="shared" si="24"/>
        <v/>
      </c>
    </row>
    <row r="77" spans="1:44" s="6" customFormat="1" ht="47.25" customHeight="1" x14ac:dyDescent="0.35">
      <c r="A77" s="71"/>
      <c r="B77" s="68"/>
      <c r="C77" s="25"/>
      <c r="D77" s="25"/>
      <c r="E77" s="67" t="str">
        <f t="shared" si="20"/>
        <v/>
      </c>
      <c r="F77" s="62"/>
      <c r="G77" s="14"/>
      <c r="H77" s="65"/>
      <c r="I77" s="70"/>
      <c r="J77" s="14"/>
      <c r="K77" s="69"/>
      <c r="L77" s="15"/>
      <c r="M77" s="16"/>
      <c r="N77" s="17"/>
      <c r="O77" s="72"/>
      <c r="P77" s="18"/>
      <c r="Q77" s="60"/>
      <c r="R77" s="19"/>
      <c r="S77" s="18"/>
      <c r="T77" s="75"/>
      <c r="U77" s="20"/>
      <c r="V77" s="21"/>
      <c r="W77" s="22"/>
      <c r="Y77" s="78" t="e">
        <f>VLOOKUP(V77,[1]IOT!$A:$B,2,0)</f>
        <v>#N/A</v>
      </c>
      <c r="Z77" s="78">
        <f>IF(ISNA(VLOOKUP(K77,[2]Sheet1!$A:$B,2,0)),0,(VLOOKUP(K77,[2]Sheet1!$A:$B,2,0)))</f>
        <v>0</v>
      </c>
      <c r="AA77" s="78">
        <f t="shared" si="21"/>
        <v>0</v>
      </c>
      <c r="AB77" s="78" t="e">
        <f>VLOOKUP(K77,[1]IOT!$A:$E,5,0)</f>
        <v>#N/A</v>
      </c>
      <c r="AC77" s="78"/>
      <c r="AD77" s="78" t="e">
        <f>VLOOKUP(K77,[1]IOT!$A:$F,6,0)</f>
        <v>#N/A</v>
      </c>
      <c r="AE77" s="78"/>
      <c r="AF77" s="78"/>
      <c r="AG77" s="78"/>
      <c r="AH77" s="78" t="e">
        <f>VLOOKUP(K77,[1]IOT!$A:$G,7,0)</f>
        <v>#N/A</v>
      </c>
      <c r="AI77" s="78" t="e">
        <f>VLOOKUP(K77,[1]IOT!$A:$H,8,0)</f>
        <v>#N/A</v>
      </c>
      <c r="AJ77" s="78" t="e">
        <f>VLOOKUP(K77,[1]IOT!$A:$I,9,0)</f>
        <v>#N/A</v>
      </c>
      <c r="AK77" s="78" t="e">
        <f>VLOOKUP(K77,[1]IOT!$A:$J,10,0)</f>
        <v>#N/A</v>
      </c>
      <c r="AL77" s="78" t="e">
        <f>VLOOKUP(K77,[1]IOT!$A:$K,11,0)</f>
        <v>#N/A</v>
      </c>
      <c r="AM77" s="78"/>
      <c r="AN77" s="78"/>
      <c r="AO77" s="79">
        <f t="shared" si="22"/>
        <v>0</v>
      </c>
      <c r="AP77" s="80">
        <f t="shared" si="23"/>
        <v>0</v>
      </c>
      <c r="AQ77" s="77"/>
      <c r="AR77" s="6" t="str">
        <f t="shared" si="24"/>
        <v/>
      </c>
    </row>
    <row r="78" spans="1:44" s="6" customFormat="1" ht="47.25" customHeight="1" x14ac:dyDescent="0.35">
      <c r="A78" s="71"/>
      <c r="B78" s="68"/>
      <c r="C78" s="25"/>
      <c r="D78" s="25"/>
      <c r="E78" s="67" t="str">
        <f t="shared" si="20"/>
        <v/>
      </c>
      <c r="F78" s="62"/>
      <c r="G78" s="14"/>
      <c r="H78" s="65"/>
      <c r="I78" s="70"/>
      <c r="J78" s="14"/>
      <c r="K78" s="69"/>
      <c r="L78" s="15"/>
      <c r="M78" s="16"/>
      <c r="N78" s="17"/>
      <c r="O78" s="72"/>
      <c r="P78" s="18"/>
      <c r="Q78" s="60"/>
      <c r="R78" s="19"/>
      <c r="S78" s="18"/>
      <c r="T78" s="75"/>
      <c r="U78" s="20"/>
      <c r="V78" s="21"/>
      <c r="W78" s="22"/>
      <c r="Y78" s="78" t="e">
        <f>VLOOKUP(V78,[1]IOT!$A:$B,2,0)</f>
        <v>#N/A</v>
      </c>
      <c r="Z78" s="78">
        <f>IF(ISNA(VLOOKUP(K78,[2]Sheet1!$A:$B,2,0)),0,(VLOOKUP(K78,[2]Sheet1!$A:$B,2,0)))</f>
        <v>0</v>
      </c>
      <c r="AA78" s="78">
        <f t="shared" si="21"/>
        <v>0</v>
      </c>
      <c r="AB78" s="78" t="e">
        <f>VLOOKUP(K78,[1]IOT!$A:$E,5,0)</f>
        <v>#N/A</v>
      </c>
      <c r="AC78" s="78"/>
      <c r="AD78" s="78" t="e">
        <f>VLOOKUP(K78,[1]IOT!$A:$F,6,0)</f>
        <v>#N/A</v>
      </c>
      <c r="AE78" s="78"/>
      <c r="AF78" s="78"/>
      <c r="AG78" s="78"/>
      <c r="AH78" s="78" t="e">
        <f>VLOOKUP(K78,[1]IOT!$A:$G,7,0)</f>
        <v>#N/A</v>
      </c>
      <c r="AI78" s="78" t="e">
        <f>VLOOKUP(K78,[1]IOT!$A:$H,8,0)</f>
        <v>#N/A</v>
      </c>
      <c r="AJ78" s="78" t="e">
        <f>VLOOKUP(K78,[1]IOT!$A:$I,9,0)</f>
        <v>#N/A</v>
      </c>
      <c r="AK78" s="78" t="e">
        <f>VLOOKUP(K78,[1]IOT!$A:$J,10,0)</f>
        <v>#N/A</v>
      </c>
      <c r="AL78" s="78" t="e">
        <f>VLOOKUP(K78,[1]IOT!$A:$K,11,0)</f>
        <v>#N/A</v>
      </c>
      <c r="AM78" s="78"/>
      <c r="AN78" s="78"/>
      <c r="AO78" s="79">
        <f t="shared" si="22"/>
        <v>0</v>
      </c>
      <c r="AP78" s="80">
        <f t="shared" si="23"/>
        <v>0</v>
      </c>
      <c r="AQ78" s="77"/>
      <c r="AR78" s="6" t="str">
        <f t="shared" si="24"/>
        <v/>
      </c>
    </row>
    <row r="79" spans="1:44" s="6" customFormat="1" ht="47.25" customHeight="1" x14ac:dyDescent="0.35">
      <c r="A79" s="71"/>
      <c r="B79" s="68"/>
      <c r="C79" s="25"/>
      <c r="D79" s="25"/>
      <c r="E79" s="67" t="str">
        <f t="shared" si="20"/>
        <v/>
      </c>
      <c r="F79" s="62"/>
      <c r="G79" s="14"/>
      <c r="H79" s="65"/>
      <c r="I79" s="70"/>
      <c r="J79" s="14"/>
      <c r="K79" s="69"/>
      <c r="L79" s="15"/>
      <c r="M79" s="16"/>
      <c r="N79" s="17"/>
      <c r="O79" s="72"/>
      <c r="P79" s="18"/>
      <c r="Q79" s="60"/>
      <c r="R79" s="19"/>
      <c r="S79" s="18"/>
      <c r="T79" s="75"/>
      <c r="U79" s="20"/>
      <c r="V79" s="21"/>
      <c r="W79" s="22"/>
      <c r="Y79" s="78" t="e">
        <f>VLOOKUP(V79,[1]IOT!$A:$B,2,0)</f>
        <v>#N/A</v>
      </c>
      <c r="Z79" s="78">
        <f>IF(ISNA(VLOOKUP(K79,[2]Sheet1!$A:$B,2,0)),0,(VLOOKUP(K79,[2]Sheet1!$A:$B,2,0)))</f>
        <v>0</v>
      </c>
      <c r="AA79" s="78">
        <f t="shared" si="21"/>
        <v>0</v>
      </c>
      <c r="AB79" s="78" t="e">
        <f>VLOOKUP(K79,[1]IOT!$A:$E,5,0)</f>
        <v>#N/A</v>
      </c>
      <c r="AC79" s="78"/>
      <c r="AD79" s="78" t="e">
        <f>VLOOKUP(K79,[1]IOT!$A:$F,6,0)</f>
        <v>#N/A</v>
      </c>
      <c r="AE79" s="78"/>
      <c r="AF79" s="78"/>
      <c r="AG79" s="78"/>
      <c r="AH79" s="78" t="e">
        <f>VLOOKUP(K79,[1]IOT!$A:$G,7,0)</f>
        <v>#N/A</v>
      </c>
      <c r="AI79" s="78" t="e">
        <f>VLOOKUP(K79,[1]IOT!$A:$H,8,0)</f>
        <v>#N/A</v>
      </c>
      <c r="AJ79" s="78" t="e">
        <f>VLOOKUP(K79,[1]IOT!$A:$I,9,0)</f>
        <v>#N/A</v>
      </c>
      <c r="AK79" s="78" t="e">
        <f>VLOOKUP(K79,[1]IOT!$A:$J,10,0)</f>
        <v>#N/A</v>
      </c>
      <c r="AL79" s="78" t="e">
        <f>VLOOKUP(K79,[1]IOT!$A:$K,11,0)</f>
        <v>#N/A</v>
      </c>
      <c r="AM79" s="78"/>
      <c r="AN79" s="78"/>
      <c r="AO79" s="79">
        <f t="shared" si="22"/>
        <v>0</v>
      </c>
      <c r="AP79" s="80">
        <f t="shared" si="23"/>
        <v>0</v>
      </c>
      <c r="AQ79" s="77"/>
      <c r="AR79" s="6" t="str">
        <f t="shared" si="24"/>
        <v/>
      </c>
    </row>
    <row r="80" spans="1:44" s="6" customFormat="1" ht="47.25" customHeight="1" x14ac:dyDescent="0.35">
      <c r="A80" s="71"/>
      <c r="B80" s="68"/>
      <c r="C80" s="25"/>
      <c r="D80" s="25"/>
      <c r="E80" s="67" t="str">
        <f t="shared" si="20"/>
        <v/>
      </c>
      <c r="F80" s="62"/>
      <c r="G80" s="14"/>
      <c r="H80" s="65"/>
      <c r="I80" s="70"/>
      <c r="J80" s="14"/>
      <c r="K80" s="69"/>
      <c r="L80" s="15"/>
      <c r="M80" s="16"/>
      <c r="N80" s="17"/>
      <c r="O80" s="72"/>
      <c r="P80" s="18"/>
      <c r="Q80" s="60"/>
      <c r="R80" s="19"/>
      <c r="S80" s="76"/>
      <c r="T80" s="75"/>
      <c r="U80" s="20"/>
      <c r="V80" s="21"/>
      <c r="W80" s="22"/>
      <c r="Y80" s="78" t="e">
        <f>VLOOKUP(V80,[1]IOT!$A:$B,2,0)</f>
        <v>#N/A</v>
      </c>
      <c r="Z80" s="78">
        <f>IF(ISNA(VLOOKUP(K80,[2]Sheet1!$A:$B,2,0)),0,(VLOOKUP(K80,[2]Sheet1!$A:$B,2,0)))</f>
        <v>0</v>
      </c>
      <c r="AA80" s="78">
        <f t="shared" si="21"/>
        <v>0</v>
      </c>
      <c r="AB80" s="78" t="e">
        <f>VLOOKUP(K80,[1]IOT!$A:$E,5,0)</f>
        <v>#N/A</v>
      </c>
      <c r="AC80" s="78"/>
      <c r="AD80" s="78" t="e">
        <f>VLOOKUP(K80,[1]IOT!$A:$F,6,0)</f>
        <v>#N/A</v>
      </c>
      <c r="AE80" s="78"/>
      <c r="AF80" s="78"/>
      <c r="AG80" s="78"/>
      <c r="AH80" s="78" t="e">
        <f>VLOOKUP(K80,[1]IOT!$A:$G,7,0)</f>
        <v>#N/A</v>
      </c>
      <c r="AI80" s="78" t="e">
        <f>VLOOKUP(K80,[1]IOT!$A:$H,8,0)</f>
        <v>#N/A</v>
      </c>
      <c r="AJ80" s="78" t="e">
        <f>VLOOKUP(K80,[1]IOT!$A:$I,9,0)</f>
        <v>#N/A</v>
      </c>
      <c r="AK80" s="78" t="e">
        <f>VLOOKUP(K80,[1]IOT!$A:$J,10,0)</f>
        <v>#N/A</v>
      </c>
      <c r="AL80" s="78" t="e">
        <f>VLOOKUP(K80,[1]IOT!$A:$K,11,0)</f>
        <v>#N/A</v>
      </c>
      <c r="AM80" s="78"/>
      <c r="AN80" s="78"/>
      <c r="AO80" s="79">
        <f t="shared" si="22"/>
        <v>0</v>
      </c>
      <c r="AP80" s="80">
        <f t="shared" si="23"/>
        <v>0</v>
      </c>
      <c r="AQ80" s="77"/>
      <c r="AR80" s="6" t="str">
        <f t="shared" si="24"/>
        <v/>
      </c>
    </row>
    <row r="81" spans="1:44" s="6" customFormat="1" ht="47.25" customHeight="1" x14ac:dyDescent="0.35">
      <c r="A81" s="71"/>
      <c r="B81" s="68"/>
      <c r="C81" s="25"/>
      <c r="D81" s="25"/>
      <c r="E81" s="67" t="str">
        <f t="shared" si="20"/>
        <v/>
      </c>
      <c r="F81" s="62"/>
      <c r="G81" s="14"/>
      <c r="H81" s="65"/>
      <c r="I81" s="70"/>
      <c r="J81" s="14"/>
      <c r="K81" s="69"/>
      <c r="L81" s="15"/>
      <c r="M81" s="16"/>
      <c r="N81" s="17"/>
      <c r="O81" s="72"/>
      <c r="P81" s="18"/>
      <c r="Q81" s="60"/>
      <c r="R81" s="19"/>
      <c r="S81" s="18"/>
      <c r="T81" s="75"/>
      <c r="U81" s="20"/>
      <c r="V81" s="21"/>
      <c r="W81" s="22"/>
      <c r="Y81" s="78" t="e">
        <f>VLOOKUP(V81,[1]IOT!$A:$B,2,0)</f>
        <v>#N/A</v>
      </c>
      <c r="Z81" s="78">
        <f>IF(ISNA(VLOOKUP(K81,[2]Sheet1!$A:$B,2,0)),0,(VLOOKUP(K81,[2]Sheet1!$A:$B,2,0)))</f>
        <v>0</v>
      </c>
      <c r="AA81" s="78">
        <f t="shared" si="21"/>
        <v>0</v>
      </c>
      <c r="AB81" s="78" t="e">
        <f>VLOOKUP(K81,[1]IOT!$A:$E,5,0)</f>
        <v>#N/A</v>
      </c>
      <c r="AC81" s="78"/>
      <c r="AD81" s="78" t="e">
        <f>VLOOKUP(K81,[1]IOT!$A:$F,6,0)</f>
        <v>#N/A</v>
      </c>
      <c r="AE81" s="78"/>
      <c r="AF81" s="78"/>
      <c r="AG81" s="78"/>
      <c r="AH81" s="78" t="e">
        <f>VLOOKUP(K81,[1]IOT!$A:$G,7,0)</f>
        <v>#N/A</v>
      </c>
      <c r="AI81" s="78" t="e">
        <f>VLOOKUP(K81,[1]IOT!$A:$H,8,0)</f>
        <v>#N/A</v>
      </c>
      <c r="AJ81" s="78" t="e">
        <f>VLOOKUP(K81,[1]IOT!$A:$I,9,0)</f>
        <v>#N/A</v>
      </c>
      <c r="AK81" s="78" t="e">
        <f>VLOOKUP(K81,[1]IOT!$A:$J,10,0)</f>
        <v>#N/A</v>
      </c>
      <c r="AL81" s="78" t="e">
        <f>VLOOKUP(K81,[1]IOT!$A:$K,11,0)</f>
        <v>#N/A</v>
      </c>
      <c r="AM81" s="78"/>
      <c r="AN81" s="78"/>
      <c r="AO81" s="79">
        <f t="shared" si="22"/>
        <v>0</v>
      </c>
      <c r="AP81" s="80">
        <f t="shared" si="23"/>
        <v>0</v>
      </c>
      <c r="AQ81" s="77"/>
      <c r="AR81" s="6" t="str">
        <f t="shared" si="24"/>
        <v/>
      </c>
    </row>
    <row r="82" spans="1:44" s="6" customFormat="1" ht="47.25" customHeight="1" x14ac:dyDescent="0.35">
      <c r="A82" s="71"/>
      <c r="B82" s="68"/>
      <c r="C82" s="25"/>
      <c r="D82" s="25"/>
      <c r="E82" s="67" t="str">
        <f t="shared" si="20"/>
        <v/>
      </c>
      <c r="F82" s="62"/>
      <c r="G82" s="14"/>
      <c r="H82" s="65"/>
      <c r="I82" s="70"/>
      <c r="J82" s="14"/>
      <c r="K82" s="69"/>
      <c r="L82" s="15"/>
      <c r="M82" s="16"/>
      <c r="N82" s="17"/>
      <c r="O82" s="72"/>
      <c r="P82" s="18"/>
      <c r="Q82" s="60"/>
      <c r="R82" s="19"/>
      <c r="S82" s="18"/>
      <c r="T82" s="75"/>
      <c r="U82" s="20"/>
      <c r="V82" s="21"/>
      <c r="W82" s="22"/>
      <c r="Y82" s="78" t="e">
        <f>VLOOKUP(V82,[1]IOT!$A:$B,2,0)</f>
        <v>#N/A</v>
      </c>
      <c r="Z82" s="78">
        <f>IF(ISNA(VLOOKUP(K82,[2]Sheet1!$A:$B,2,0)),0,(VLOOKUP(K82,[2]Sheet1!$A:$B,2,0)))</f>
        <v>0</v>
      </c>
      <c r="AA82" s="78">
        <f t="shared" si="21"/>
        <v>0</v>
      </c>
      <c r="AB82" s="78" t="e">
        <f>VLOOKUP(K82,[1]IOT!$A:$E,5,0)</f>
        <v>#N/A</v>
      </c>
      <c r="AC82" s="78"/>
      <c r="AD82" s="78" t="e">
        <f>VLOOKUP(K82,[1]IOT!$A:$F,6,0)</f>
        <v>#N/A</v>
      </c>
      <c r="AE82" s="78"/>
      <c r="AF82" s="78"/>
      <c r="AG82" s="78"/>
      <c r="AH82" s="78" t="e">
        <f>VLOOKUP(K82,[1]IOT!$A:$G,7,0)</f>
        <v>#N/A</v>
      </c>
      <c r="AI82" s="78" t="e">
        <f>VLOOKUP(K82,[1]IOT!$A:$H,8,0)</f>
        <v>#N/A</v>
      </c>
      <c r="AJ82" s="78" t="e">
        <f>VLOOKUP(K82,[1]IOT!$A:$I,9,0)</f>
        <v>#N/A</v>
      </c>
      <c r="AK82" s="78" t="e">
        <f>VLOOKUP(K82,[1]IOT!$A:$J,10,0)</f>
        <v>#N/A</v>
      </c>
      <c r="AL82" s="78" t="e">
        <f>VLOOKUP(K82,[1]IOT!$A:$K,11,0)</f>
        <v>#N/A</v>
      </c>
      <c r="AM82" s="78"/>
      <c r="AN82" s="78"/>
      <c r="AO82" s="79">
        <f t="shared" si="22"/>
        <v>0</v>
      </c>
      <c r="AP82" s="80">
        <f t="shared" si="23"/>
        <v>0</v>
      </c>
      <c r="AQ82" s="77"/>
      <c r="AR82" s="6" t="str">
        <f t="shared" si="24"/>
        <v/>
      </c>
    </row>
    <row r="83" spans="1:44" s="6" customFormat="1" ht="47.25" customHeight="1" x14ac:dyDescent="0.35">
      <c r="A83" s="71"/>
      <c r="B83" s="68"/>
      <c r="C83" s="25"/>
      <c r="D83" s="25"/>
      <c r="E83" s="67" t="str">
        <f t="shared" si="20"/>
        <v/>
      </c>
      <c r="F83" s="62"/>
      <c r="G83" s="14"/>
      <c r="H83" s="65"/>
      <c r="I83" s="70"/>
      <c r="J83" s="14"/>
      <c r="K83" s="69"/>
      <c r="L83" s="15"/>
      <c r="M83" s="16"/>
      <c r="N83" s="17"/>
      <c r="O83" s="72"/>
      <c r="P83" s="18"/>
      <c r="Q83" s="60"/>
      <c r="R83" s="19"/>
      <c r="S83" s="18"/>
      <c r="T83" s="75"/>
      <c r="U83" s="20"/>
      <c r="V83" s="21"/>
      <c r="W83" s="22"/>
      <c r="Y83" s="78" t="e">
        <f>VLOOKUP(V83,[1]IOT!$A:$B,2,0)</f>
        <v>#N/A</v>
      </c>
      <c r="Z83" s="78">
        <f>IF(ISNA(VLOOKUP(K83,[2]Sheet1!$A:$B,2,0)),0,(VLOOKUP(K83,[2]Sheet1!$A:$B,2,0)))</f>
        <v>0</v>
      </c>
      <c r="AA83" s="78">
        <f t="shared" si="21"/>
        <v>0</v>
      </c>
      <c r="AB83" s="78" t="e">
        <f>VLOOKUP(K83,[1]IOT!$A:$E,5,0)</f>
        <v>#N/A</v>
      </c>
      <c r="AC83" s="78"/>
      <c r="AD83" s="78" t="e">
        <f>VLOOKUP(K83,[1]IOT!$A:$F,6,0)</f>
        <v>#N/A</v>
      </c>
      <c r="AE83" s="78"/>
      <c r="AF83" s="78"/>
      <c r="AG83" s="78"/>
      <c r="AH83" s="78" t="e">
        <f>VLOOKUP(K83,[1]IOT!$A:$G,7,0)</f>
        <v>#N/A</v>
      </c>
      <c r="AI83" s="78" t="e">
        <f>VLOOKUP(K83,[1]IOT!$A:$H,8,0)</f>
        <v>#N/A</v>
      </c>
      <c r="AJ83" s="78" t="e">
        <f>VLOOKUP(K83,[1]IOT!$A:$I,9,0)</f>
        <v>#N/A</v>
      </c>
      <c r="AK83" s="78" t="e">
        <f>VLOOKUP(K83,[1]IOT!$A:$J,10,0)</f>
        <v>#N/A</v>
      </c>
      <c r="AL83" s="78" t="e">
        <f>VLOOKUP(K83,[1]IOT!$A:$K,11,0)</f>
        <v>#N/A</v>
      </c>
      <c r="AM83" s="78"/>
      <c r="AN83" s="78"/>
      <c r="AO83" s="79">
        <f t="shared" si="22"/>
        <v>0</v>
      </c>
      <c r="AP83" s="80">
        <f t="shared" si="23"/>
        <v>0</v>
      </c>
      <c r="AQ83" s="77"/>
      <c r="AR83" s="6" t="str">
        <f t="shared" si="24"/>
        <v/>
      </c>
    </row>
    <row r="84" spans="1:44" s="6" customFormat="1" ht="47.25" customHeight="1" x14ac:dyDescent="0.35">
      <c r="A84" s="71"/>
      <c r="B84" s="68"/>
      <c r="C84" s="25"/>
      <c r="D84" s="25"/>
      <c r="E84" s="67" t="str">
        <f t="shared" si="20"/>
        <v/>
      </c>
      <c r="F84" s="62"/>
      <c r="G84" s="14"/>
      <c r="H84" s="65"/>
      <c r="I84" s="70"/>
      <c r="J84" s="14"/>
      <c r="K84" s="69"/>
      <c r="L84" s="15"/>
      <c r="M84" s="16"/>
      <c r="N84" s="17"/>
      <c r="O84" s="72"/>
      <c r="P84" s="18"/>
      <c r="Q84" s="60"/>
      <c r="R84" s="19"/>
      <c r="S84" s="18"/>
      <c r="T84" s="75"/>
      <c r="U84" s="20"/>
      <c r="V84" s="21"/>
      <c r="W84" s="22"/>
      <c r="Y84" s="78" t="e">
        <f>VLOOKUP(V84,[1]IOT!$A:$B,2,0)</f>
        <v>#N/A</v>
      </c>
      <c r="Z84" s="78">
        <f>IF(ISNA(VLOOKUP(K84,[2]Sheet1!$A:$B,2,0)),0,(VLOOKUP(K84,[2]Sheet1!$A:$B,2,0)))</f>
        <v>0</v>
      </c>
      <c r="AA84" s="78">
        <f t="shared" si="21"/>
        <v>0</v>
      </c>
      <c r="AB84" s="78" t="e">
        <f>VLOOKUP(K84,[1]IOT!$A:$E,5,0)</f>
        <v>#N/A</v>
      </c>
      <c r="AC84" s="78"/>
      <c r="AD84" s="78" t="e">
        <f>VLOOKUP(K84,[1]IOT!$A:$F,6,0)</f>
        <v>#N/A</v>
      </c>
      <c r="AE84" s="78"/>
      <c r="AF84" s="78"/>
      <c r="AG84" s="78"/>
      <c r="AH84" s="78" t="e">
        <f>VLOOKUP(K84,[1]IOT!$A:$G,7,0)</f>
        <v>#N/A</v>
      </c>
      <c r="AI84" s="78" t="e">
        <f>VLOOKUP(K84,[1]IOT!$A:$H,8,0)</f>
        <v>#N/A</v>
      </c>
      <c r="AJ84" s="78" t="e">
        <f>VLOOKUP(K84,[1]IOT!$A:$I,9,0)</f>
        <v>#N/A</v>
      </c>
      <c r="AK84" s="78" t="e">
        <f>VLOOKUP(K84,[1]IOT!$A:$J,10,0)</f>
        <v>#N/A</v>
      </c>
      <c r="AL84" s="78" t="e">
        <f>VLOOKUP(K84,[1]IOT!$A:$K,11,0)</f>
        <v>#N/A</v>
      </c>
      <c r="AM84" s="78"/>
      <c r="AN84" s="78"/>
      <c r="AO84" s="79">
        <f t="shared" si="22"/>
        <v>0</v>
      </c>
      <c r="AP84" s="80">
        <f t="shared" si="23"/>
        <v>0</v>
      </c>
      <c r="AQ84" s="77"/>
      <c r="AR84" s="6" t="str">
        <f t="shared" si="24"/>
        <v/>
      </c>
    </row>
    <row r="85" spans="1:44" s="6" customFormat="1" ht="47.25" customHeight="1" x14ac:dyDescent="0.35">
      <c r="A85" s="71"/>
      <c r="B85" s="68"/>
      <c r="C85" s="25"/>
      <c r="D85" s="25"/>
      <c r="E85" s="67" t="str">
        <f t="shared" si="20"/>
        <v/>
      </c>
      <c r="F85" s="62"/>
      <c r="G85" s="14"/>
      <c r="H85" s="65"/>
      <c r="I85" s="70"/>
      <c r="J85" s="14"/>
      <c r="K85" s="69"/>
      <c r="L85" s="15"/>
      <c r="M85" s="16"/>
      <c r="N85" s="17"/>
      <c r="O85" s="72"/>
      <c r="P85" s="18"/>
      <c r="Q85" s="60"/>
      <c r="R85" s="19"/>
      <c r="S85" s="18"/>
      <c r="T85" s="75"/>
      <c r="U85" s="20"/>
      <c r="V85" s="21"/>
      <c r="W85" s="22"/>
      <c r="Y85" s="78" t="e">
        <f>VLOOKUP(V85,[1]IOT!$A:$B,2,0)</f>
        <v>#N/A</v>
      </c>
      <c r="Z85" s="78">
        <f>IF(ISNA(VLOOKUP(K85,[2]Sheet1!$A:$B,2,0)),0,(VLOOKUP(K85,[2]Sheet1!$A:$B,2,0)))</f>
        <v>0</v>
      </c>
      <c r="AA85" s="78">
        <f t="shared" si="21"/>
        <v>0</v>
      </c>
      <c r="AB85" s="78" t="e">
        <f>VLOOKUP(K85,[1]IOT!$A:$E,5,0)</f>
        <v>#N/A</v>
      </c>
      <c r="AC85" s="78"/>
      <c r="AD85" s="78" t="e">
        <f>VLOOKUP(K85,[1]IOT!$A:$F,6,0)</f>
        <v>#N/A</v>
      </c>
      <c r="AE85" s="78"/>
      <c r="AF85" s="78"/>
      <c r="AG85" s="78"/>
      <c r="AH85" s="78" t="e">
        <f>VLOOKUP(K85,[1]IOT!$A:$G,7,0)</f>
        <v>#N/A</v>
      </c>
      <c r="AI85" s="78" t="e">
        <f>VLOOKUP(K85,[1]IOT!$A:$H,8,0)</f>
        <v>#N/A</v>
      </c>
      <c r="AJ85" s="78" t="e">
        <f>VLOOKUP(K85,[1]IOT!$A:$I,9,0)</f>
        <v>#N/A</v>
      </c>
      <c r="AK85" s="78" t="e">
        <f>VLOOKUP(K85,[1]IOT!$A:$J,10,0)</f>
        <v>#N/A</v>
      </c>
      <c r="AL85" s="78" t="e">
        <f>VLOOKUP(K85,[1]IOT!$A:$K,11,0)</f>
        <v>#N/A</v>
      </c>
      <c r="AM85" s="78"/>
      <c r="AN85" s="78"/>
      <c r="AO85" s="79">
        <f t="shared" si="22"/>
        <v>0</v>
      </c>
      <c r="AP85" s="80">
        <f t="shared" si="23"/>
        <v>0</v>
      </c>
      <c r="AQ85" s="77"/>
      <c r="AR85" s="6" t="str">
        <f t="shared" si="24"/>
        <v/>
      </c>
    </row>
    <row r="86" spans="1:44" s="6" customFormat="1" ht="47.25" customHeight="1" x14ac:dyDescent="0.35">
      <c r="A86" s="71"/>
      <c r="B86" s="68"/>
      <c r="C86" s="25"/>
      <c r="D86" s="25"/>
      <c r="E86" s="67" t="str">
        <f t="shared" si="20"/>
        <v/>
      </c>
      <c r="F86" s="62"/>
      <c r="G86" s="14"/>
      <c r="H86" s="65"/>
      <c r="I86" s="70"/>
      <c r="J86" s="14"/>
      <c r="K86" s="69"/>
      <c r="L86" s="15"/>
      <c r="M86" s="16"/>
      <c r="N86" s="17"/>
      <c r="O86" s="72"/>
      <c r="P86" s="18"/>
      <c r="Q86" s="60"/>
      <c r="R86" s="19"/>
      <c r="S86" s="18"/>
      <c r="T86" s="75"/>
      <c r="U86" s="20"/>
      <c r="V86" s="21"/>
      <c r="W86" s="22"/>
      <c r="Y86" s="78" t="e">
        <f>VLOOKUP(V86,[1]IOT!$A:$B,2,0)</f>
        <v>#N/A</v>
      </c>
      <c r="Z86" s="78">
        <f>IF(ISNA(VLOOKUP(K86,[2]Sheet1!$A:$B,2,0)),0,(VLOOKUP(K86,[2]Sheet1!$A:$B,2,0)))</f>
        <v>0</v>
      </c>
      <c r="AA86" s="78">
        <f t="shared" si="21"/>
        <v>0</v>
      </c>
      <c r="AB86" s="78" t="e">
        <f>VLOOKUP(K86,[1]IOT!$A:$E,5,0)</f>
        <v>#N/A</v>
      </c>
      <c r="AC86" s="78"/>
      <c r="AD86" s="78" t="e">
        <f>VLOOKUP(K86,[1]IOT!$A:$F,6,0)</f>
        <v>#N/A</v>
      </c>
      <c r="AE86" s="78"/>
      <c r="AF86" s="78"/>
      <c r="AG86" s="78"/>
      <c r="AH86" s="78" t="e">
        <f>VLOOKUP(K86,[1]IOT!$A:$G,7,0)</f>
        <v>#N/A</v>
      </c>
      <c r="AI86" s="78" t="e">
        <f>VLOOKUP(K86,[1]IOT!$A:$H,8,0)</f>
        <v>#N/A</v>
      </c>
      <c r="AJ86" s="78" t="e">
        <f>VLOOKUP(K86,[1]IOT!$A:$I,9,0)</f>
        <v>#N/A</v>
      </c>
      <c r="AK86" s="78" t="e">
        <f>VLOOKUP(K86,[1]IOT!$A:$J,10,0)</f>
        <v>#N/A</v>
      </c>
      <c r="AL86" s="78" t="e">
        <f>VLOOKUP(K86,[1]IOT!$A:$K,11,0)</f>
        <v>#N/A</v>
      </c>
      <c r="AM86" s="78"/>
      <c r="AN86" s="78"/>
      <c r="AO86" s="79">
        <f t="shared" si="22"/>
        <v>0</v>
      </c>
      <c r="AP86" s="80">
        <f t="shared" si="23"/>
        <v>0</v>
      </c>
      <c r="AQ86" s="77"/>
      <c r="AR86" s="6" t="str">
        <f t="shared" si="24"/>
        <v/>
      </c>
    </row>
    <row r="87" spans="1:44" s="6" customFormat="1" ht="47.25" customHeight="1" x14ac:dyDescent="0.35">
      <c r="A87" s="71"/>
      <c r="B87" s="68"/>
      <c r="C87" s="25"/>
      <c r="D87" s="25"/>
      <c r="E87" s="67" t="str">
        <f t="shared" si="20"/>
        <v/>
      </c>
      <c r="F87" s="62"/>
      <c r="G87" s="14"/>
      <c r="H87" s="65"/>
      <c r="I87" s="70"/>
      <c r="J87" s="14"/>
      <c r="K87" s="69"/>
      <c r="L87" s="15"/>
      <c r="M87" s="16"/>
      <c r="N87" s="17"/>
      <c r="O87" s="72"/>
      <c r="P87" s="18"/>
      <c r="Q87" s="60"/>
      <c r="R87" s="19"/>
      <c r="S87" s="18"/>
      <c r="T87" s="75"/>
      <c r="U87" s="20"/>
      <c r="V87" s="21"/>
      <c r="W87" s="22"/>
      <c r="Y87" s="78" t="e">
        <f>VLOOKUP(V87,[1]IOT!$A:$B,2,0)</f>
        <v>#N/A</v>
      </c>
      <c r="Z87" s="78">
        <f>IF(ISNA(VLOOKUP(K87,[2]Sheet1!$A:$B,2,0)),0,(VLOOKUP(K87,[2]Sheet1!$A:$B,2,0)))</f>
        <v>0</v>
      </c>
      <c r="AA87" s="78">
        <f t="shared" si="21"/>
        <v>0</v>
      </c>
      <c r="AB87" s="78" t="e">
        <f>VLOOKUP(K87,[1]IOT!$A:$E,5,0)</f>
        <v>#N/A</v>
      </c>
      <c r="AC87" s="78"/>
      <c r="AD87" s="78" t="e">
        <f>VLOOKUP(K87,[1]IOT!$A:$F,6,0)</f>
        <v>#N/A</v>
      </c>
      <c r="AE87" s="78"/>
      <c r="AF87" s="78"/>
      <c r="AG87" s="78"/>
      <c r="AH87" s="78" t="e">
        <f>VLOOKUP(K87,[1]IOT!$A:$G,7,0)</f>
        <v>#N/A</v>
      </c>
      <c r="AI87" s="78" t="e">
        <f>VLOOKUP(K87,[1]IOT!$A:$H,8,0)</f>
        <v>#N/A</v>
      </c>
      <c r="AJ87" s="78" t="e">
        <f>VLOOKUP(K87,[1]IOT!$A:$I,9,0)</f>
        <v>#N/A</v>
      </c>
      <c r="AK87" s="78" t="e">
        <f>VLOOKUP(K87,[1]IOT!$A:$J,10,0)</f>
        <v>#N/A</v>
      </c>
      <c r="AL87" s="78" t="e">
        <f>VLOOKUP(K87,[1]IOT!$A:$K,11,0)</f>
        <v>#N/A</v>
      </c>
      <c r="AM87" s="78"/>
      <c r="AN87" s="78"/>
      <c r="AO87" s="79">
        <f t="shared" si="22"/>
        <v>0</v>
      </c>
      <c r="AP87" s="80">
        <f t="shared" si="23"/>
        <v>0</v>
      </c>
      <c r="AQ87" s="77"/>
      <c r="AR87" s="6" t="str">
        <f t="shared" si="24"/>
        <v/>
      </c>
    </row>
    <row r="88" spans="1:44" s="6" customFormat="1" ht="47.25" customHeight="1" x14ac:dyDescent="0.35">
      <c r="A88" s="71"/>
      <c r="B88" s="68"/>
      <c r="C88" s="25"/>
      <c r="D88" s="25"/>
      <c r="E88" s="67" t="str">
        <f t="shared" si="20"/>
        <v/>
      </c>
      <c r="F88" s="62"/>
      <c r="G88" s="14"/>
      <c r="H88" s="65"/>
      <c r="I88" s="70"/>
      <c r="J88" s="14"/>
      <c r="K88" s="69"/>
      <c r="L88" s="15"/>
      <c r="M88" s="16"/>
      <c r="N88" s="17"/>
      <c r="O88" s="72"/>
      <c r="P88" s="18"/>
      <c r="Q88" s="60"/>
      <c r="R88" s="19"/>
      <c r="S88" s="18"/>
      <c r="T88" s="75"/>
      <c r="U88" s="20"/>
      <c r="V88" s="21"/>
      <c r="W88" s="22"/>
      <c r="Y88" s="78" t="e">
        <f>VLOOKUP(V88,[1]IOT!$A:$B,2,0)</f>
        <v>#N/A</v>
      </c>
      <c r="Z88" s="78">
        <f>IF(ISNA(VLOOKUP(K88,[2]Sheet1!$A:$B,2,0)),0,(VLOOKUP(K88,[2]Sheet1!$A:$B,2,0)))</f>
        <v>0</v>
      </c>
      <c r="AA88" s="78">
        <f t="shared" si="21"/>
        <v>0</v>
      </c>
      <c r="AB88" s="78" t="e">
        <f>VLOOKUP(K88,[1]IOT!$A:$E,5,0)</f>
        <v>#N/A</v>
      </c>
      <c r="AC88" s="78"/>
      <c r="AD88" s="78" t="e">
        <f>VLOOKUP(K88,[1]IOT!$A:$F,6,0)</f>
        <v>#N/A</v>
      </c>
      <c r="AE88" s="78"/>
      <c r="AF88" s="78"/>
      <c r="AG88" s="78"/>
      <c r="AH88" s="78" t="e">
        <f>VLOOKUP(K88,[1]IOT!$A:$G,7,0)</f>
        <v>#N/A</v>
      </c>
      <c r="AI88" s="78" t="e">
        <f>VLOOKUP(K88,[1]IOT!$A:$H,8,0)</f>
        <v>#N/A</v>
      </c>
      <c r="AJ88" s="78" t="e">
        <f>VLOOKUP(K88,[1]IOT!$A:$I,9,0)</f>
        <v>#N/A</v>
      </c>
      <c r="AK88" s="78" t="e">
        <f>VLOOKUP(K88,[1]IOT!$A:$J,10,0)</f>
        <v>#N/A</v>
      </c>
      <c r="AL88" s="78" t="e">
        <f>VLOOKUP(K88,[1]IOT!$A:$K,11,0)</f>
        <v>#N/A</v>
      </c>
      <c r="AM88" s="78"/>
      <c r="AN88" s="78"/>
      <c r="AO88" s="79">
        <f t="shared" si="22"/>
        <v>0</v>
      </c>
      <c r="AP88" s="80">
        <f t="shared" si="23"/>
        <v>0</v>
      </c>
      <c r="AQ88" s="77"/>
      <c r="AR88" s="6" t="str">
        <f t="shared" si="24"/>
        <v/>
      </c>
    </row>
    <row r="89" spans="1:44" s="6" customFormat="1" ht="47.25" customHeight="1" x14ac:dyDescent="0.35">
      <c r="A89" s="71"/>
      <c r="B89" s="68"/>
      <c r="C89" s="25"/>
      <c r="D89" s="25"/>
      <c r="E89" s="67" t="str">
        <f t="shared" si="20"/>
        <v/>
      </c>
      <c r="F89" s="62"/>
      <c r="G89" s="14"/>
      <c r="H89" s="65"/>
      <c r="I89" s="70"/>
      <c r="J89" s="14"/>
      <c r="K89" s="69"/>
      <c r="L89" s="15"/>
      <c r="M89" s="16"/>
      <c r="N89" s="17"/>
      <c r="O89" s="72"/>
      <c r="P89" s="18"/>
      <c r="Q89" s="60"/>
      <c r="R89" s="19"/>
      <c r="S89" s="18"/>
      <c r="T89" s="75"/>
      <c r="U89" s="20"/>
      <c r="V89" s="21"/>
      <c r="W89" s="22"/>
      <c r="Y89" s="78" t="e">
        <f>VLOOKUP(V89,[1]IOT!$A:$B,2,0)</f>
        <v>#N/A</v>
      </c>
      <c r="Z89" s="78">
        <f>IF(ISNA(VLOOKUP(K89,[2]Sheet1!$A:$B,2,0)),0,(VLOOKUP(K89,[2]Sheet1!$A:$B,2,0)))</f>
        <v>0</v>
      </c>
      <c r="AA89" s="78">
        <f t="shared" si="21"/>
        <v>0</v>
      </c>
      <c r="AB89" s="78" t="e">
        <f>VLOOKUP(K89,[1]IOT!$A:$E,5,0)</f>
        <v>#N/A</v>
      </c>
      <c r="AC89" s="78"/>
      <c r="AD89" s="78" t="e">
        <f>VLOOKUP(K89,[1]IOT!$A:$F,6,0)</f>
        <v>#N/A</v>
      </c>
      <c r="AE89" s="78"/>
      <c r="AF89" s="78"/>
      <c r="AG89" s="78"/>
      <c r="AH89" s="78" t="e">
        <f>VLOOKUP(K89,[1]IOT!$A:$G,7,0)</f>
        <v>#N/A</v>
      </c>
      <c r="AI89" s="78" t="e">
        <f>VLOOKUP(K89,[1]IOT!$A:$H,8,0)</f>
        <v>#N/A</v>
      </c>
      <c r="AJ89" s="78" t="e">
        <f>VLOOKUP(K89,[1]IOT!$A:$I,9,0)</f>
        <v>#N/A</v>
      </c>
      <c r="AK89" s="78" t="e">
        <f>VLOOKUP(K89,[1]IOT!$A:$J,10,0)</f>
        <v>#N/A</v>
      </c>
      <c r="AL89" s="78" t="e">
        <f>VLOOKUP(K89,[1]IOT!$A:$K,11,0)</f>
        <v>#N/A</v>
      </c>
      <c r="AM89" s="78"/>
      <c r="AN89" s="78"/>
      <c r="AO89" s="79">
        <f t="shared" si="22"/>
        <v>0</v>
      </c>
      <c r="AP89" s="80">
        <f t="shared" si="23"/>
        <v>0</v>
      </c>
      <c r="AQ89" s="77"/>
      <c r="AR89" s="6" t="str">
        <f t="shared" si="24"/>
        <v/>
      </c>
    </row>
    <row r="90" spans="1:44" s="6" customFormat="1" ht="47.25" customHeight="1" x14ac:dyDescent="0.35">
      <c r="A90" s="71"/>
      <c r="B90" s="68"/>
      <c r="C90" s="25"/>
      <c r="D90" s="25"/>
      <c r="E90" s="67" t="str">
        <f t="shared" si="20"/>
        <v/>
      </c>
      <c r="F90" s="62"/>
      <c r="G90" s="14"/>
      <c r="H90" s="65"/>
      <c r="I90" s="70"/>
      <c r="J90" s="14"/>
      <c r="K90" s="69"/>
      <c r="L90" s="15"/>
      <c r="M90" s="16"/>
      <c r="N90" s="17"/>
      <c r="O90" s="72"/>
      <c r="P90" s="18"/>
      <c r="Q90" s="60"/>
      <c r="R90" s="19"/>
      <c r="S90" s="18"/>
      <c r="T90" s="75"/>
      <c r="U90" s="20"/>
      <c r="V90" s="21"/>
      <c r="W90" s="22"/>
      <c r="Y90" s="78" t="e">
        <f>VLOOKUP(V90,[1]IOT!$A:$B,2,0)</f>
        <v>#N/A</v>
      </c>
      <c r="Z90" s="78">
        <f>IF(ISNA(VLOOKUP(K90,[2]Sheet1!$A:$B,2,0)),0,(VLOOKUP(K90,[2]Sheet1!$A:$B,2,0)))</f>
        <v>0</v>
      </c>
      <c r="AA90" s="78">
        <f t="shared" si="21"/>
        <v>0</v>
      </c>
      <c r="AB90" s="78" t="e">
        <f>VLOOKUP(K90,[1]IOT!$A:$E,5,0)</f>
        <v>#N/A</v>
      </c>
      <c r="AC90" s="78"/>
      <c r="AD90" s="78" t="e">
        <f>VLOOKUP(K90,[1]IOT!$A:$F,6,0)</f>
        <v>#N/A</v>
      </c>
      <c r="AE90" s="78"/>
      <c r="AF90" s="78"/>
      <c r="AG90" s="78"/>
      <c r="AH90" s="78" t="e">
        <f>VLOOKUP(K90,[1]IOT!$A:$G,7,0)</f>
        <v>#N/A</v>
      </c>
      <c r="AI90" s="78" t="e">
        <f>VLOOKUP(K90,[1]IOT!$A:$H,8,0)</f>
        <v>#N/A</v>
      </c>
      <c r="AJ90" s="78" t="e">
        <f>VLOOKUP(K90,[1]IOT!$A:$I,9,0)</f>
        <v>#N/A</v>
      </c>
      <c r="AK90" s="78" t="e">
        <f>VLOOKUP(K90,[1]IOT!$A:$J,10,0)</f>
        <v>#N/A</v>
      </c>
      <c r="AL90" s="78" t="e">
        <f>VLOOKUP(K90,[1]IOT!$A:$K,11,0)</f>
        <v>#N/A</v>
      </c>
      <c r="AM90" s="78"/>
      <c r="AN90" s="78"/>
      <c r="AO90" s="79">
        <f t="shared" si="22"/>
        <v>0</v>
      </c>
      <c r="AP90" s="80">
        <f t="shared" si="23"/>
        <v>0</v>
      </c>
      <c r="AQ90" s="77"/>
      <c r="AR90" s="6" t="str">
        <f t="shared" si="24"/>
        <v/>
      </c>
    </row>
    <row r="91" spans="1:44" s="6" customFormat="1" ht="47.25" customHeight="1" x14ac:dyDescent="0.35">
      <c r="A91" s="71"/>
      <c r="B91" s="68"/>
      <c r="C91" s="25"/>
      <c r="D91" s="25"/>
      <c r="E91" s="67" t="str">
        <f t="shared" si="20"/>
        <v/>
      </c>
      <c r="F91" s="62"/>
      <c r="G91" s="14"/>
      <c r="H91" s="65"/>
      <c r="I91" s="70"/>
      <c r="J91" s="14"/>
      <c r="K91" s="69"/>
      <c r="L91" s="15"/>
      <c r="M91" s="16"/>
      <c r="N91" s="17"/>
      <c r="O91" s="72"/>
      <c r="P91" s="18"/>
      <c r="Q91" s="60"/>
      <c r="R91" s="19"/>
      <c r="S91" s="18"/>
      <c r="T91" s="75"/>
      <c r="U91" s="20"/>
      <c r="V91" s="21"/>
      <c r="W91" s="22"/>
      <c r="Y91" s="78" t="e">
        <f>VLOOKUP(V91,[1]IOT!$A:$B,2,0)</f>
        <v>#N/A</v>
      </c>
      <c r="Z91" s="78">
        <f>IF(ISNA(VLOOKUP(K91,[2]Sheet1!$A:$B,2,0)),0,(VLOOKUP(K91,[2]Sheet1!$A:$B,2,0)))</f>
        <v>0</v>
      </c>
      <c r="AA91" s="78">
        <f t="shared" si="21"/>
        <v>0</v>
      </c>
      <c r="AB91" s="78" t="e">
        <f>VLOOKUP(K91,[1]IOT!$A:$E,5,0)</f>
        <v>#N/A</v>
      </c>
      <c r="AC91" s="78"/>
      <c r="AD91" s="78" t="e">
        <f>VLOOKUP(K91,[1]IOT!$A:$F,6,0)</f>
        <v>#N/A</v>
      </c>
      <c r="AE91" s="78"/>
      <c r="AF91" s="78"/>
      <c r="AG91" s="78"/>
      <c r="AH91" s="78" t="e">
        <f>VLOOKUP(K91,[1]IOT!$A:$G,7,0)</f>
        <v>#N/A</v>
      </c>
      <c r="AI91" s="78" t="e">
        <f>VLOOKUP(K91,[1]IOT!$A:$H,8,0)</f>
        <v>#N/A</v>
      </c>
      <c r="AJ91" s="78" t="e">
        <f>VLOOKUP(K91,[1]IOT!$A:$I,9,0)</f>
        <v>#N/A</v>
      </c>
      <c r="AK91" s="78" t="e">
        <f>VLOOKUP(K91,[1]IOT!$A:$J,10,0)</f>
        <v>#N/A</v>
      </c>
      <c r="AL91" s="78" t="e">
        <f>VLOOKUP(K91,[1]IOT!$A:$K,11,0)</f>
        <v>#N/A</v>
      </c>
      <c r="AM91" s="78"/>
      <c r="AN91" s="78"/>
      <c r="AO91" s="79">
        <f t="shared" si="22"/>
        <v>0</v>
      </c>
      <c r="AP91" s="80">
        <f t="shared" si="23"/>
        <v>0</v>
      </c>
      <c r="AQ91" s="77"/>
      <c r="AR91" s="6" t="str">
        <f t="shared" si="24"/>
        <v/>
      </c>
    </row>
    <row r="92" spans="1:44" s="6" customFormat="1" ht="47.25" customHeight="1" x14ac:dyDescent="0.35">
      <c r="A92" s="71"/>
      <c r="B92" s="68"/>
      <c r="C92" s="25"/>
      <c r="D92" s="25"/>
      <c r="E92" s="67" t="str">
        <f t="shared" si="20"/>
        <v/>
      </c>
      <c r="F92" s="62"/>
      <c r="G92" s="14"/>
      <c r="H92" s="65"/>
      <c r="I92" s="70"/>
      <c r="J92" s="14"/>
      <c r="K92" s="69"/>
      <c r="L92" s="15"/>
      <c r="M92" s="16"/>
      <c r="N92" s="17"/>
      <c r="O92" s="72"/>
      <c r="P92" s="18"/>
      <c r="Q92" s="60"/>
      <c r="R92" s="19"/>
      <c r="S92" s="18"/>
      <c r="T92" s="75"/>
      <c r="U92" s="20"/>
      <c r="V92" s="21"/>
      <c r="W92" s="22"/>
      <c r="Y92" s="78" t="e">
        <f>VLOOKUP(V92,[1]IOT!$A:$B,2,0)</f>
        <v>#N/A</v>
      </c>
      <c r="Z92" s="78">
        <f>IF(ISNA(VLOOKUP(K92,[2]Sheet1!$A:$B,2,0)),0,(VLOOKUP(K92,[2]Sheet1!$A:$B,2,0)))</f>
        <v>0</v>
      </c>
      <c r="AA92" s="78">
        <f t="shared" si="21"/>
        <v>0</v>
      </c>
      <c r="AB92" s="78" t="e">
        <f>VLOOKUP(K92,[1]IOT!$A:$E,5,0)</f>
        <v>#N/A</v>
      </c>
      <c r="AC92" s="78"/>
      <c r="AD92" s="78" t="e">
        <f>VLOOKUP(K92,[1]IOT!$A:$F,6,0)</f>
        <v>#N/A</v>
      </c>
      <c r="AE92" s="78"/>
      <c r="AF92" s="78"/>
      <c r="AG92" s="78"/>
      <c r="AH92" s="78" t="e">
        <f>VLOOKUP(K92,[1]IOT!$A:$G,7,0)</f>
        <v>#N/A</v>
      </c>
      <c r="AI92" s="78" t="e">
        <f>VLOOKUP(K92,[1]IOT!$A:$H,8,0)</f>
        <v>#N/A</v>
      </c>
      <c r="AJ92" s="78" t="e">
        <f>VLOOKUP(K92,[1]IOT!$A:$I,9,0)</f>
        <v>#N/A</v>
      </c>
      <c r="AK92" s="78" t="e">
        <f>VLOOKUP(K92,[1]IOT!$A:$J,10,0)</f>
        <v>#N/A</v>
      </c>
      <c r="AL92" s="78" t="e">
        <f>VLOOKUP(K92,[1]IOT!$A:$K,11,0)</f>
        <v>#N/A</v>
      </c>
      <c r="AM92" s="78"/>
      <c r="AN92" s="78"/>
      <c r="AO92" s="79">
        <f t="shared" si="22"/>
        <v>0</v>
      </c>
      <c r="AP92" s="80">
        <f t="shared" si="23"/>
        <v>0</v>
      </c>
      <c r="AQ92" s="77"/>
      <c r="AR92" s="6" t="str">
        <f t="shared" si="24"/>
        <v/>
      </c>
    </row>
    <row r="93" spans="1:44" s="6" customFormat="1" ht="47.25" customHeight="1" x14ac:dyDescent="0.35">
      <c r="A93" s="71"/>
      <c r="B93" s="68"/>
      <c r="C93" s="25"/>
      <c r="D93" s="25"/>
      <c r="E93" s="67" t="str">
        <f t="shared" si="20"/>
        <v/>
      </c>
      <c r="F93" s="62"/>
      <c r="G93" s="14"/>
      <c r="H93" s="65"/>
      <c r="I93" s="70"/>
      <c r="J93" s="14"/>
      <c r="K93" s="69"/>
      <c r="L93" s="15"/>
      <c r="M93" s="16"/>
      <c r="N93" s="17"/>
      <c r="O93" s="72"/>
      <c r="P93" s="18"/>
      <c r="Q93" s="60"/>
      <c r="R93" s="19"/>
      <c r="S93" s="18"/>
      <c r="T93" s="75"/>
      <c r="U93" s="20"/>
      <c r="V93" s="21"/>
      <c r="W93" s="22"/>
      <c r="Y93" s="78" t="e">
        <f>VLOOKUP(V93,[1]IOT!$A:$B,2,0)</f>
        <v>#N/A</v>
      </c>
      <c r="Z93" s="78">
        <f>IF(ISNA(VLOOKUP(K93,[2]Sheet1!$A:$B,2,0)),0,(VLOOKUP(K93,[2]Sheet1!$A:$B,2,0)))</f>
        <v>0</v>
      </c>
      <c r="AA93" s="78">
        <f t="shared" si="21"/>
        <v>0</v>
      </c>
      <c r="AB93" s="78" t="e">
        <f>VLOOKUP(K93,[1]IOT!$A:$E,5,0)</f>
        <v>#N/A</v>
      </c>
      <c r="AC93" s="78"/>
      <c r="AD93" s="78" t="e">
        <f>VLOOKUP(K93,[1]IOT!$A:$F,6,0)</f>
        <v>#N/A</v>
      </c>
      <c r="AE93" s="78"/>
      <c r="AF93" s="78"/>
      <c r="AG93" s="78"/>
      <c r="AH93" s="78" t="e">
        <f>VLOOKUP(K93,[1]IOT!$A:$G,7,0)</f>
        <v>#N/A</v>
      </c>
      <c r="AI93" s="78" t="e">
        <f>VLOOKUP(K93,[1]IOT!$A:$H,8,0)</f>
        <v>#N/A</v>
      </c>
      <c r="AJ93" s="78" t="e">
        <f>VLOOKUP(K93,[1]IOT!$A:$I,9,0)</f>
        <v>#N/A</v>
      </c>
      <c r="AK93" s="78" t="e">
        <f>VLOOKUP(K93,[1]IOT!$A:$J,10,0)</f>
        <v>#N/A</v>
      </c>
      <c r="AL93" s="78" t="e">
        <f>VLOOKUP(K93,[1]IOT!$A:$K,11,0)</f>
        <v>#N/A</v>
      </c>
      <c r="AM93" s="78"/>
      <c r="AN93" s="78"/>
      <c r="AO93" s="79">
        <f t="shared" si="22"/>
        <v>0</v>
      </c>
      <c r="AP93" s="80">
        <f t="shared" si="23"/>
        <v>0</v>
      </c>
      <c r="AQ93" s="77"/>
      <c r="AR93" s="6" t="str">
        <f t="shared" si="24"/>
        <v/>
      </c>
    </row>
    <row r="94" spans="1:44" s="6" customFormat="1" ht="47.25" customHeight="1" x14ac:dyDescent="0.35">
      <c r="A94" s="71"/>
      <c r="B94" s="68"/>
      <c r="C94" s="25"/>
      <c r="D94" s="25"/>
      <c r="E94" s="67" t="str">
        <f t="shared" si="20"/>
        <v/>
      </c>
      <c r="F94" s="62"/>
      <c r="G94" s="14"/>
      <c r="H94" s="65"/>
      <c r="I94" s="70"/>
      <c r="J94" s="14"/>
      <c r="K94" s="69"/>
      <c r="L94" s="15"/>
      <c r="M94" s="16"/>
      <c r="N94" s="17"/>
      <c r="O94" s="72"/>
      <c r="P94" s="18"/>
      <c r="Q94" s="60"/>
      <c r="R94" s="19"/>
      <c r="S94" s="18"/>
      <c r="T94" s="75"/>
      <c r="U94" s="20"/>
      <c r="V94" s="21"/>
      <c r="W94" s="22"/>
      <c r="Y94" s="78" t="e">
        <f>VLOOKUP(V94,[1]IOT!$A:$B,2,0)</f>
        <v>#N/A</v>
      </c>
      <c r="Z94" s="78">
        <f>IF(ISNA(VLOOKUP(K94,[2]Sheet1!$A:$B,2,0)),0,(VLOOKUP(K94,[2]Sheet1!$A:$B,2,0)))</f>
        <v>0</v>
      </c>
      <c r="AA94" s="78">
        <f t="shared" si="21"/>
        <v>0</v>
      </c>
      <c r="AB94" s="78" t="e">
        <f>VLOOKUP(K94,[1]IOT!$A:$E,5,0)</f>
        <v>#N/A</v>
      </c>
      <c r="AC94" s="78"/>
      <c r="AD94" s="78" t="e">
        <f>VLOOKUP(K94,[1]IOT!$A:$F,6,0)</f>
        <v>#N/A</v>
      </c>
      <c r="AE94" s="78"/>
      <c r="AF94" s="78"/>
      <c r="AG94" s="78"/>
      <c r="AH94" s="78" t="e">
        <f>VLOOKUP(K94,[1]IOT!$A:$G,7,0)</f>
        <v>#N/A</v>
      </c>
      <c r="AI94" s="78" t="e">
        <f>VLOOKUP(K94,[1]IOT!$A:$H,8,0)</f>
        <v>#N/A</v>
      </c>
      <c r="AJ94" s="78" t="e">
        <f>VLOOKUP(K94,[1]IOT!$A:$I,9,0)</f>
        <v>#N/A</v>
      </c>
      <c r="AK94" s="78" t="e">
        <f>VLOOKUP(K94,[1]IOT!$A:$J,10,0)</f>
        <v>#N/A</v>
      </c>
      <c r="AL94" s="78" t="e">
        <f>VLOOKUP(K94,[1]IOT!$A:$K,11,0)</f>
        <v>#N/A</v>
      </c>
      <c r="AM94" s="78"/>
      <c r="AN94" s="78"/>
      <c r="AO94" s="79">
        <f t="shared" si="22"/>
        <v>0</v>
      </c>
      <c r="AP94" s="80">
        <f t="shared" si="23"/>
        <v>0</v>
      </c>
      <c r="AQ94" s="77"/>
      <c r="AR94" s="6" t="str">
        <f t="shared" si="24"/>
        <v/>
      </c>
    </row>
    <row r="95" spans="1:44" s="6" customFormat="1" ht="47.25" customHeight="1" x14ac:dyDescent="0.35">
      <c r="A95" s="71"/>
      <c r="B95" s="68"/>
      <c r="C95" s="25"/>
      <c r="D95" s="25"/>
      <c r="E95" s="67" t="str">
        <f t="shared" si="20"/>
        <v/>
      </c>
      <c r="F95" s="62"/>
      <c r="G95" s="14"/>
      <c r="H95" s="65"/>
      <c r="I95" s="70"/>
      <c r="J95" s="14"/>
      <c r="K95" s="69"/>
      <c r="L95" s="15"/>
      <c r="M95" s="16"/>
      <c r="N95" s="17"/>
      <c r="O95" s="72"/>
      <c r="P95" s="18"/>
      <c r="Q95" s="60"/>
      <c r="R95" s="19"/>
      <c r="S95" s="18"/>
      <c r="T95" s="75"/>
      <c r="U95" s="20"/>
      <c r="V95" s="21"/>
      <c r="W95" s="22"/>
      <c r="Y95" s="78" t="e">
        <f>VLOOKUP(V95,[1]IOT!$A:$B,2,0)</f>
        <v>#N/A</v>
      </c>
      <c r="Z95" s="78">
        <f>IF(ISNA(VLOOKUP(K95,[2]Sheet1!$A:$B,2,0)),0,(VLOOKUP(K95,[2]Sheet1!$A:$B,2,0)))</f>
        <v>0</v>
      </c>
      <c r="AA95" s="78">
        <f t="shared" si="21"/>
        <v>0</v>
      </c>
      <c r="AB95" s="78" t="e">
        <f>VLOOKUP(K95,[1]IOT!$A:$E,5,0)</f>
        <v>#N/A</v>
      </c>
      <c r="AC95" s="78"/>
      <c r="AD95" s="78" t="e">
        <f>VLOOKUP(K95,[1]IOT!$A:$F,6,0)</f>
        <v>#N/A</v>
      </c>
      <c r="AE95" s="78"/>
      <c r="AF95" s="78"/>
      <c r="AG95" s="78"/>
      <c r="AH95" s="78" t="e">
        <f>VLOOKUP(K95,[1]IOT!$A:$G,7,0)</f>
        <v>#N/A</v>
      </c>
      <c r="AI95" s="78" t="e">
        <f>VLOOKUP(K95,[1]IOT!$A:$H,8,0)</f>
        <v>#N/A</v>
      </c>
      <c r="AJ95" s="78" t="e">
        <f>VLOOKUP(K95,[1]IOT!$A:$I,9,0)</f>
        <v>#N/A</v>
      </c>
      <c r="AK95" s="78" t="e">
        <f>VLOOKUP(K95,[1]IOT!$A:$J,10,0)</f>
        <v>#N/A</v>
      </c>
      <c r="AL95" s="78" t="e">
        <f>VLOOKUP(K95,[1]IOT!$A:$K,11,0)</f>
        <v>#N/A</v>
      </c>
      <c r="AM95" s="78"/>
      <c r="AN95" s="78"/>
      <c r="AO95" s="79">
        <f t="shared" si="22"/>
        <v>0</v>
      </c>
      <c r="AP95" s="80">
        <f t="shared" si="23"/>
        <v>0</v>
      </c>
      <c r="AQ95" s="77"/>
      <c r="AR95" s="6" t="str">
        <f t="shared" si="24"/>
        <v/>
      </c>
    </row>
    <row r="96" spans="1:44" s="6" customFormat="1" ht="47.25" customHeight="1" x14ac:dyDescent="0.35">
      <c r="A96" s="71"/>
      <c r="B96" s="68"/>
      <c r="C96" s="25"/>
      <c r="D96" s="25"/>
      <c r="E96" s="67" t="str">
        <f t="shared" si="20"/>
        <v/>
      </c>
      <c r="F96" s="62"/>
      <c r="G96" s="14"/>
      <c r="H96" s="65"/>
      <c r="I96" s="70"/>
      <c r="J96" s="14"/>
      <c r="K96" s="69"/>
      <c r="L96" s="15"/>
      <c r="M96" s="16"/>
      <c r="N96" s="17"/>
      <c r="O96" s="72"/>
      <c r="P96" s="18"/>
      <c r="Q96" s="60"/>
      <c r="R96" s="19"/>
      <c r="S96" s="18"/>
      <c r="T96" s="75"/>
      <c r="U96" s="20"/>
      <c r="V96" s="21"/>
      <c r="W96" s="22"/>
      <c r="Y96" s="78" t="e">
        <f>VLOOKUP(V96,[1]IOT!$A:$B,2,0)</f>
        <v>#N/A</v>
      </c>
      <c r="Z96" s="78">
        <f>IF(ISNA(VLOOKUP(K96,[2]Sheet1!$A:$B,2,0)),0,(VLOOKUP(K96,[2]Sheet1!$A:$B,2,0)))</f>
        <v>0</v>
      </c>
      <c r="AA96" s="78">
        <f t="shared" ref="AA96:AA159" si="25">IF(ISNA(VLOOKUP(Y96,$Y$1:$Z$2,2,0)),0,(VLOOKUP(Y96,$Y$1:$Z$2,2,0)))</f>
        <v>0</v>
      </c>
      <c r="AB96" s="78" t="e">
        <f>VLOOKUP(K96,[1]IOT!$A:$E,5,0)</f>
        <v>#N/A</v>
      </c>
      <c r="AC96" s="78"/>
      <c r="AD96" s="78" t="e">
        <f>VLOOKUP(K96,[1]IOT!$A:$F,6,0)</f>
        <v>#N/A</v>
      </c>
      <c r="AE96" s="78"/>
      <c r="AF96" s="78"/>
      <c r="AG96" s="78"/>
      <c r="AH96" s="78" t="e">
        <f>VLOOKUP(K96,[1]IOT!$A:$G,7,0)</f>
        <v>#N/A</v>
      </c>
      <c r="AI96" s="78" t="e">
        <f>VLOOKUP(K96,[1]IOT!$A:$H,8,0)</f>
        <v>#N/A</v>
      </c>
      <c r="AJ96" s="78" t="e">
        <f>VLOOKUP(K96,[1]IOT!$A:$I,9,0)</f>
        <v>#N/A</v>
      </c>
      <c r="AK96" s="78" t="e">
        <f>VLOOKUP(K96,[1]IOT!$A:$J,10,0)</f>
        <v>#N/A</v>
      </c>
      <c r="AL96" s="78" t="e">
        <f>VLOOKUP(K96,[1]IOT!$A:$K,11,0)</f>
        <v>#N/A</v>
      </c>
      <c r="AM96" s="78"/>
      <c r="AN96" s="78"/>
      <c r="AO96" s="79">
        <f t="shared" ref="AO96:AO159" si="26">C96</f>
        <v>0</v>
      </c>
      <c r="AP96" s="80">
        <f t="shared" ref="AP96:AP159" si="27">M96</f>
        <v>0</v>
      </c>
      <c r="AQ96" s="77"/>
      <c r="AR96" s="6" t="str">
        <f t="shared" ref="AR96:AR159" si="28">B96&amp;K96</f>
        <v/>
      </c>
    </row>
    <row r="97" spans="1:44" s="6" customFormat="1" ht="47.25" customHeight="1" x14ac:dyDescent="0.35">
      <c r="A97" s="71"/>
      <c r="B97" s="68"/>
      <c r="C97" s="25"/>
      <c r="D97" s="25"/>
      <c r="E97" s="67" t="str">
        <f t="shared" si="20"/>
        <v/>
      </c>
      <c r="F97" s="62"/>
      <c r="G97" s="14"/>
      <c r="H97" s="65"/>
      <c r="I97" s="70"/>
      <c r="J97" s="14"/>
      <c r="K97" s="69"/>
      <c r="L97" s="15"/>
      <c r="M97" s="16"/>
      <c r="N97" s="17"/>
      <c r="O97" s="72"/>
      <c r="P97" s="18"/>
      <c r="Q97" s="60"/>
      <c r="R97" s="19"/>
      <c r="S97" s="18"/>
      <c r="T97" s="75"/>
      <c r="U97" s="20"/>
      <c r="V97" s="21"/>
      <c r="W97" s="22"/>
      <c r="Y97" s="78" t="e">
        <f>VLOOKUP(V97,[1]IOT!$A:$B,2,0)</f>
        <v>#N/A</v>
      </c>
      <c r="Z97" s="78">
        <f>IF(ISNA(VLOOKUP(K97,[2]Sheet1!$A:$B,2,0)),0,(VLOOKUP(K97,[2]Sheet1!$A:$B,2,0)))</f>
        <v>0</v>
      </c>
      <c r="AA97" s="78">
        <f t="shared" si="25"/>
        <v>0</v>
      </c>
      <c r="AB97" s="78" t="e">
        <f>VLOOKUP(K97,[1]IOT!$A:$E,5,0)</f>
        <v>#N/A</v>
      </c>
      <c r="AC97" s="78"/>
      <c r="AD97" s="78" t="e">
        <f>VLOOKUP(K97,[1]IOT!$A:$F,6,0)</f>
        <v>#N/A</v>
      </c>
      <c r="AE97" s="78"/>
      <c r="AF97" s="78"/>
      <c r="AG97" s="78"/>
      <c r="AH97" s="78" t="e">
        <f>VLOOKUP(K97,[1]IOT!$A:$G,7,0)</f>
        <v>#N/A</v>
      </c>
      <c r="AI97" s="78" t="e">
        <f>VLOOKUP(K97,[1]IOT!$A:$H,8,0)</f>
        <v>#N/A</v>
      </c>
      <c r="AJ97" s="78" t="e">
        <f>VLOOKUP(K97,[1]IOT!$A:$I,9,0)</f>
        <v>#N/A</v>
      </c>
      <c r="AK97" s="78" t="e">
        <f>VLOOKUP(K97,[1]IOT!$A:$J,10,0)</f>
        <v>#N/A</v>
      </c>
      <c r="AL97" s="78" t="e">
        <f>VLOOKUP(K97,[1]IOT!$A:$K,11,0)</f>
        <v>#N/A</v>
      </c>
      <c r="AM97" s="78"/>
      <c r="AN97" s="78"/>
      <c r="AO97" s="79">
        <f t="shared" si="26"/>
        <v>0</v>
      </c>
      <c r="AP97" s="80">
        <f t="shared" si="27"/>
        <v>0</v>
      </c>
      <c r="AQ97" s="77"/>
      <c r="AR97" s="6" t="str">
        <f t="shared" si="28"/>
        <v/>
      </c>
    </row>
    <row r="98" spans="1:44" s="6" customFormat="1" ht="47.25" customHeight="1" x14ac:dyDescent="0.35">
      <c r="A98" s="71"/>
      <c r="B98" s="68"/>
      <c r="C98" s="25"/>
      <c r="D98" s="25"/>
      <c r="E98" s="67" t="str">
        <f t="shared" si="20"/>
        <v/>
      </c>
      <c r="F98" s="62"/>
      <c r="G98" s="14"/>
      <c r="H98" s="65"/>
      <c r="I98" s="70"/>
      <c r="J98" s="14"/>
      <c r="K98" s="69"/>
      <c r="L98" s="15"/>
      <c r="M98" s="16"/>
      <c r="N98" s="17"/>
      <c r="O98" s="72"/>
      <c r="P98" s="18"/>
      <c r="Q98" s="60"/>
      <c r="R98" s="19"/>
      <c r="S98" s="18"/>
      <c r="T98" s="75"/>
      <c r="U98" s="20"/>
      <c r="V98" s="21"/>
      <c r="W98" s="22"/>
      <c r="Y98" s="78" t="e">
        <f>VLOOKUP(V98,[1]IOT!$A:$B,2,0)</f>
        <v>#N/A</v>
      </c>
      <c r="Z98" s="78">
        <f>IF(ISNA(VLOOKUP(K98,[2]Sheet1!$A:$B,2,0)),0,(VLOOKUP(K98,[2]Sheet1!$A:$B,2,0)))</f>
        <v>0</v>
      </c>
      <c r="AA98" s="78">
        <f t="shared" si="25"/>
        <v>0</v>
      </c>
      <c r="AB98" s="78" t="e">
        <f>VLOOKUP(K98,[1]IOT!$A:$E,5,0)</f>
        <v>#N/A</v>
      </c>
      <c r="AC98" s="78"/>
      <c r="AD98" s="78" t="e">
        <f>VLOOKUP(K98,[1]IOT!$A:$F,6,0)</f>
        <v>#N/A</v>
      </c>
      <c r="AE98" s="78"/>
      <c r="AF98" s="78"/>
      <c r="AG98" s="78"/>
      <c r="AH98" s="78" t="e">
        <f>VLOOKUP(K98,[1]IOT!$A:$G,7,0)</f>
        <v>#N/A</v>
      </c>
      <c r="AI98" s="78" t="e">
        <f>VLOOKUP(K98,[1]IOT!$A:$H,8,0)</f>
        <v>#N/A</v>
      </c>
      <c r="AJ98" s="78" t="e">
        <f>VLOOKUP(K98,[1]IOT!$A:$I,9,0)</f>
        <v>#N/A</v>
      </c>
      <c r="AK98" s="78" t="e">
        <f>VLOOKUP(K98,[1]IOT!$A:$J,10,0)</f>
        <v>#N/A</v>
      </c>
      <c r="AL98" s="78" t="e">
        <f>VLOOKUP(K98,[1]IOT!$A:$K,11,0)</f>
        <v>#N/A</v>
      </c>
      <c r="AM98" s="78"/>
      <c r="AN98" s="78"/>
      <c r="AO98" s="79">
        <f t="shared" si="26"/>
        <v>0</v>
      </c>
      <c r="AP98" s="80">
        <f t="shared" si="27"/>
        <v>0</v>
      </c>
      <c r="AQ98" s="77"/>
      <c r="AR98" s="6" t="str">
        <f t="shared" si="28"/>
        <v/>
      </c>
    </row>
    <row r="99" spans="1:44" s="6" customFormat="1" ht="47.25" customHeight="1" x14ac:dyDescent="0.35">
      <c r="A99" s="71"/>
      <c r="B99" s="68"/>
      <c r="C99" s="25"/>
      <c r="D99" s="25"/>
      <c r="E99" s="67" t="str">
        <f t="shared" si="20"/>
        <v/>
      </c>
      <c r="F99" s="62"/>
      <c r="G99" s="14"/>
      <c r="H99" s="65"/>
      <c r="I99" s="70"/>
      <c r="J99" s="14"/>
      <c r="K99" s="69"/>
      <c r="L99" s="15"/>
      <c r="M99" s="16"/>
      <c r="N99" s="17"/>
      <c r="O99" s="72"/>
      <c r="P99" s="18"/>
      <c r="Q99" s="60"/>
      <c r="R99" s="19"/>
      <c r="S99" s="18"/>
      <c r="T99" s="75"/>
      <c r="U99" s="20"/>
      <c r="V99" s="21"/>
      <c r="W99" s="22"/>
      <c r="Y99" s="78" t="e">
        <f>VLOOKUP(V99,[1]IOT!$A:$B,2,0)</f>
        <v>#N/A</v>
      </c>
      <c r="Z99" s="78">
        <f>IF(ISNA(VLOOKUP(K99,[2]Sheet1!$A:$B,2,0)),0,(VLOOKUP(K99,[2]Sheet1!$A:$B,2,0)))</f>
        <v>0</v>
      </c>
      <c r="AA99" s="78">
        <f t="shared" si="25"/>
        <v>0</v>
      </c>
      <c r="AB99" s="78" t="e">
        <f>VLOOKUP(K99,[1]IOT!$A:$E,5,0)</f>
        <v>#N/A</v>
      </c>
      <c r="AC99" s="78"/>
      <c r="AD99" s="78" t="e">
        <f>VLOOKUP(K99,[1]IOT!$A:$F,6,0)</f>
        <v>#N/A</v>
      </c>
      <c r="AE99" s="78"/>
      <c r="AF99" s="78"/>
      <c r="AG99" s="78"/>
      <c r="AH99" s="78" t="e">
        <f>VLOOKUP(K99,[1]IOT!$A:$G,7,0)</f>
        <v>#N/A</v>
      </c>
      <c r="AI99" s="78" t="e">
        <f>VLOOKUP(K99,[1]IOT!$A:$H,8,0)</f>
        <v>#N/A</v>
      </c>
      <c r="AJ99" s="78" t="e">
        <f>VLOOKUP(K99,[1]IOT!$A:$I,9,0)</f>
        <v>#N/A</v>
      </c>
      <c r="AK99" s="78" t="e">
        <f>VLOOKUP(K99,[1]IOT!$A:$J,10,0)</f>
        <v>#N/A</v>
      </c>
      <c r="AL99" s="78" t="e">
        <f>VLOOKUP(K99,[1]IOT!$A:$K,11,0)</f>
        <v>#N/A</v>
      </c>
      <c r="AM99" s="78"/>
      <c r="AN99" s="78"/>
      <c r="AO99" s="79">
        <f t="shared" si="26"/>
        <v>0</v>
      </c>
      <c r="AP99" s="80">
        <f t="shared" si="27"/>
        <v>0</v>
      </c>
      <c r="AQ99" s="77"/>
      <c r="AR99" s="6" t="str">
        <f t="shared" si="28"/>
        <v/>
      </c>
    </row>
    <row r="100" spans="1:44" s="6" customFormat="1" ht="47.25" customHeight="1" x14ac:dyDescent="0.35">
      <c r="A100" s="71"/>
      <c r="B100" s="68"/>
      <c r="C100" s="25"/>
      <c r="D100" s="25"/>
      <c r="E100" s="67" t="str">
        <f t="shared" si="20"/>
        <v/>
      </c>
      <c r="F100" s="62"/>
      <c r="G100" s="14"/>
      <c r="H100" s="65"/>
      <c r="I100" s="70"/>
      <c r="J100" s="14"/>
      <c r="K100" s="69"/>
      <c r="L100" s="15"/>
      <c r="M100" s="16"/>
      <c r="N100" s="17"/>
      <c r="O100" s="72"/>
      <c r="P100" s="18"/>
      <c r="Q100" s="60"/>
      <c r="R100" s="19"/>
      <c r="S100" s="18"/>
      <c r="T100" s="75"/>
      <c r="U100" s="20"/>
      <c r="V100" s="21"/>
      <c r="W100" s="22"/>
      <c r="Y100" s="78" t="e">
        <f>VLOOKUP(V100,[1]IOT!$A:$B,2,0)</f>
        <v>#N/A</v>
      </c>
      <c r="Z100" s="78">
        <f>IF(ISNA(VLOOKUP(K100,[2]Sheet1!$A:$B,2,0)),0,(VLOOKUP(K100,[2]Sheet1!$A:$B,2,0)))</f>
        <v>0</v>
      </c>
      <c r="AA100" s="78">
        <f t="shared" si="25"/>
        <v>0</v>
      </c>
      <c r="AB100" s="78" t="e">
        <f>VLOOKUP(K100,[1]IOT!$A:$E,5,0)</f>
        <v>#N/A</v>
      </c>
      <c r="AC100" s="78"/>
      <c r="AD100" s="78" t="e">
        <f>VLOOKUP(K100,[1]IOT!$A:$F,6,0)</f>
        <v>#N/A</v>
      </c>
      <c r="AE100" s="78"/>
      <c r="AF100" s="78"/>
      <c r="AG100" s="78"/>
      <c r="AH100" s="78" t="e">
        <f>VLOOKUP(K100,[1]IOT!$A:$G,7,0)</f>
        <v>#N/A</v>
      </c>
      <c r="AI100" s="78" t="e">
        <f>VLOOKUP(K100,[1]IOT!$A:$H,8,0)</f>
        <v>#N/A</v>
      </c>
      <c r="AJ100" s="78" t="e">
        <f>VLOOKUP(K100,[1]IOT!$A:$I,9,0)</f>
        <v>#N/A</v>
      </c>
      <c r="AK100" s="78" t="e">
        <f>VLOOKUP(K100,[1]IOT!$A:$J,10,0)</f>
        <v>#N/A</v>
      </c>
      <c r="AL100" s="78" t="e">
        <f>VLOOKUP(K100,[1]IOT!$A:$K,11,0)</f>
        <v>#N/A</v>
      </c>
      <c r="AM100" s="78"/>
      <c r="AN100" s="78"/>
      <c r="AO100" s="79">
        <f t="shared" si="26"/>
        <v>0</v>
      </c>
      <c r="AP100" s="80">
        <f t="shared" si="27"/>
        <v>0</v>
      </c>
      <c r="AQ100" s="77"/>
      <c r="AR100" s="6" t="str">
        <f t="shared" si="28"/>
        <v/>
      </c>
    </row>
    <row r="101" spans="1:44" s="6" customFormat="1" ht="47.25" customHeight="1" x14ac:dyDescent="0.35">
      <c r="A101" s="71"/>
      <c r="B101" s="68"/>
      <c r="C101" s="25"/>
      <c r="D101" s="25"/>
      <c r="E101" s="67" t="str">
        <f t="shared" si="20"/>
        <v/>
      </c>
      <c r="F101" s="62"/>
      <c r="G101" s="14"/>
      <c r="H101" s="65"/>
      <c r="I101" s="70"/>
      <c r="J101" s="14"/>
      <c r="K101" s="69"/>
      <c r="L101" s="15"/>
      <c r="M101" s="16"/>
      <c r="N101" s="17"/>
      <c r="O101" s="72"/>
      <c r="P101" s="18"/>
      <c r="Q101" s="60"/>
      <c r="R101" s="19"/>
      <c r="S101" s="18"/>
      <c r="T101" s="75"/>
      <c r="U101" s="20"/>
      <c r="V101" s="21"/>
      <c r="W101" s="22"/>
      <c r="Y101" s="78" t="e">
        <f>VLOOKUP(V101,[1]IOT!$A:$B,2,0)</f>
        <v>#N/A</v>
      </c>
      <c r="Z101" s="78">
        <f>IF(ISNA(VLOOKUP(K101,[2]Sheet1!$A:$B,2,0)),0,(VLOOKUP(K101,[2]Sheet1!$A:$B,2,0)))</f>
        <v>0</v>
      </c>
      <c r="AA101" s="78">
        <f t="shared" si="25"/>
        <v>0</v>
      </c>
      <c r="AB101" s="78" t="e">
        <f>VLOOKUP(K101,[1]IOT!$A:$E,5,0)</f>
        <v>#N/A</v>
      </c>
      <c r="AC101" s="78"/>
      <c r="AD101" s="78" t="e">
        <f>VLOOKUP(K101,[1]IOT!$A:$F,6,0)</f>
        <v>#N/A</v>
      </c>
      <c r="AE101" s="78"/>
      <c r="AF101" s="78"/>
      <c r="AG101" s="78"/>
      <c r="AH101" s="78" t="e">
        <f>VLOOKUP(K101,[1]IOT!$A:$G,7,0)</f>
        <v>#N/A</v>
      </c>
      <c r="AI101" s="78" t="e">
        <f>VLOOKUP(K101,[1]IOT!$A:$H,8,0)</f>
        <v>#N/A</v>
      </c>
      <c r="AJ101" s="78" t="e">
        <f>VLOOKUP(K101,[1]IOT!$A:$I,9,0)</f>
        <v>#N/A</v>
      </c>
      <c r="AK101" s="78" t="e">
        <f>VLOOKUP(K101,[1]IOT!$A:$J,10,0)</f>
        <v>#N/A</v>
      </c>
      <c r="AL101" s="78" t="e">
        <f>VLOOKUP(K101,[1]IOT!$A:$K,11,0)</f>
        <v>#N/A</v>
      </c>
      <c r="AM101" s="78"/>
      <c r="AN101" s="78"/>
      <c r="AO101" s="79">
        <f t="shared" si="26"/>
        <v>0</v>
      </c>
      <c r="AP101" s="80">
        <f t="shared" si="27"/>
        <v>0</v>
      </c>
      <c r="AQ101" s="77"/>
      <c r="AR101" s="6" t="str">
        <f t="shared" si="28"/>
        <v/>
      </c>
    </row>
    <row r="102" spans="1:44" s="6" customFormat="1" ht="47.25" customHeight="1" x14ac:dyDescent="0.35">
      <c r="A102" s="71"/>
      <c r="B102" s="68"/>
      <c r="C102" s="25"/>
      <c r="D102" s="25"/>
      <c r="E102" s="67" t="str">
        <f t="shared" si="20"/>
        <v/>
      </c>
      <c r="F102" s="62"/>
      <c r="G102" s="14"/>
      <c r="H102" s="65"/>
      <c r="I102" s="70"/>
      <c r="J102" s="14"/>
      <c r="K102" s="69"/>
      <c r="L102" s="15"/>
      <c r="M102" s="16"/>
      <c r="N102" s="17"/>
      <c r="O102" s="72"/>
      <c r="P102" s="18"/>
      <c r="Q102" s="60"/>
      <c r="R102" s="19"/>
      <c r="S102" s="18"/>
      <c r="T102" s="75"/>
      <c r="U102" s="20"/>
      <c r="V102" s="21"/>
      <c r="W102" s="22"/>
      <c r="Y102" s="78" t="e">
        <f>VLOOKUP(V102,[1]IOT!$A:$B,2,0)</f>
        <v>#N/A</v>
      </c>
      <c r="Z102" s="78">
        <f>IF(ISNA(VLOOKUP(K102,[2]Sheet1!$A:$B,2,0)),0,(VLOOKUP(K102,[2]Sheet1!$A:$B,2,0)))</f>
        <v>0</v>
      </c>
      <c r="AA102" s="78">
        <f t="shared" si="25"/>
        <v>0</v>
      </c>
      <c r="AB102" s="78" t="e">
        <f>VLOOKUP(K102,[1]IOT!$A:$E,5,0)</f>
        <v>#N/A</v>
      </c>
      <c r="AC102" s="78"/>
      <c r="AD102" s="78" t="e">
        <f>VLOOKUP(K102,[1]IOT!$A:$F,6,0)</f>
        <v>#N/A</v>
      </c>
      <c r="AE102" s="78"/>
      <c r="AF102" s="78"/>
      <c r="AG102" s="78"/>
      <c r="AH102" s="78" t="e">
        <f>VLOOKUP(K102,[1]IOT!$A:$G,7,0)</f>
        <v>#N/A</v>
      </c>
      <c r="AI102" s="78" t="e">
        <f>VLOOKUP(K102,[1]IOT!$A:$H,8,0)</f>
        <v>#N/A</v>
      </c>
      <c r="AJ102" s="78" t="e">
        <f>VLOOKUP(K102,[1]IOT!$A:$I,9,0)</f>
        <v>#N/A</v>
      </c>
      <c r="AK102" s="78" t="e">
        <f>VLOOKUP(K102,[1]IOT!$A:$J,10,0)</f>
        <v>#N/A</v>
      </c>
      <c r="AL102" s="78" t="e">
        <f>VLOOKUP(K102,[1]IOT!$A:$K,11,0)</f>
        <v>#N/A</v>
      </c>
      <c r="AM102" s="78"/>
      <c r="AN102" s="78"/>
      <c r="AO102" s="79">
        <f t="shared" si="26"/>
        <v>0</v>
      </c>
      <c r="AP102" s="80">
        <f t="shared" si="27"/>
        <v>0</v>
      </c>
      <c r="AQ102" s="77"/>
      <c r="AR102" s="6" t="str">
        <f t="shared" si="28"/>
        <v/>
      </c>
    </row>
    <row r="103" spans="1:44" s="6" customFormat="1" ht="47.25" customHeight="1" x14ac:dyDescent="0.35">
      <c r="A103" s="71"/>
      <c r="B103" s="68"/>
      <c r="C103" s="25"/>
      <c r="D103" s="25"/>
      <c r="E103" s="67" t="str">
        <f t="shared" si="20"/>
        <v/>
      </c>
      <c r="F103" s="62"/>
      <c r="G103" s="14"/>
      <c r="H103" s="65"/>
      <c r="I103" s="70"/>
      <c r="J103" s="14"/>
      <c r="K103" s="69"/>
      <c r="L103" s="15"/>
      <c r="M103" s="16"/>
      <c r="N103" s="17"/>
      <c r="O103" s="72"/>
      <c r="P103" s="18"/>
      <c r="Q103" s="60"/>
      <c r="R103" s="19"/>
      <c r="S103" s="18"/>
      <c r="T103" s="75"/>
      <c r="U103" s="20"/>
      <c r="V103" s="21"/>
      <c r="W103" s="22"/>
      <c r="Y103" s="78" t="e">
        <f>VLOOKUP(V103,[1]IOT!$A:$B,2,0)</f>
        <v>#N/A</v>
      </c>
      <c r="Z103" s="78">
        <f>IF(ISNA(VLOOKUP(K103,[2]Sheet1!$A:$B,2,0)),0,(VLOOKUP(K103,[2]Sheet1!$A:$B,2,0)))</f>
        <v>0</v>
      </c>
      <c r="AA103" s="78">
        <f t="shared" si="25"/>
        <v>0</v>
      </c>
      <c r="AB103" s="78" t="e">
        <f>VLOOKUP(K103,[1]IOT!$A:$E,5,0)</f>
        <v>#N/A</v>
      </c>
      <c r="AC103" s="78"/>
      <c r="AD103" s="78" t="e">
        <f>VLOOKUP(K103,[1]IOT!$A:$F,6,0)</f>
        <v>#N/A</v>
      </c>
      <c r="AE103" s="78"/>
      <c r="AF103" s="78"/>
      <c r="AG103" s="78"/>
      <c r="AH103" s="78" t="e">
        <f>VLOOKUP(K103,[1]IOT!$A:$G,7,0)</f>
        <v>#N/A</v>
      </c>
      <c r="AI103" s="78" t="e">
        <f>VLOOKUP(K103,[1]IOT!$A:$H,8,0)</f>
        <v>#N/A</v>
      </c>
      <c r="AJ103" s="78" t="e">
        <f>VLOOKUP(K103,[1]IOT!$A:$I,9,0)</f>
        <v>#N/A</v>
      </c>
      <c r="AK103" s="78" t="e">
        <f>VLOOKUP(K103,[1]IOT!$A:$J,10,0)</f>
        <v>#N/A</v>
      </c>
      <c r="AL103" s="78" t="e">
        <f>VLOOKUP(K103,[1]IOT!$A:$K,11,0)</f>
        <v>#N/A</v>
      </c>
      <c r="AM103" s="78"/>
      <c r="AN103" s="78"/>
      <c r="AO103" s="79">
        <f t="shared" si="26"/>
        <v>0</v>
      </c>
      <c r="AP103" s="80">
        <f t="shared" si="27"/>
        <v>0</v>
      </c>
      <c r="AQ103" s="77"/>
      <c r="AR103" s="6" t="str">
        <f t="shared" si="28"/>
        <v/>
      </c>
    </row>
    <row r="104" spans="1:44" s="6" customFormat="1" ht="47.25" customHeight="1" x14ac:dyDescent="0.35">
      <c r="A104" s="71"/>
      <c r="B104" s="68"/>
      <c r="C104" s="25"/>
      <c r="D104" s="25"/>
      <c r="E104" s="67" t="str">
        <f t="shared" si="20"/>
        <v/>
      </c>
      <c r="F104" s="62"/>
      <c r="G104" s="14"/>
      <c r="H104" s="65"/>
      <c r="I104" s="70"/>
      <c r="J104" s="14"/>
      <c r="K104" s="69"/>
      <c r="L104" s="15"/>
      <c r="M104" s="16"/>
      <c r="N104" s="17"/>
      <c r="O104" s="72"/>
      <c r="P104" s="18"/>
      <c r="Q104" s="60"/>
      <c r="R104" s="19"/>
      <c r="S104" s="18"/>
      <c r="T104" s="75"/>
      <c r="U104" s="20"/>
      <c r="V104" s="21"/>
      <c r="W104" s="22"/>
      <c r="Y104" s="78" t="e">
        <f>VLOOKUP(V104,[1]IOT!$A:$B,2,0)</f>
        <v>#N/A</v>
      </c>
      <c r="Z104" s="78">
        <f>IF(ISNA(VLOOKUP(K104,[2]Sheet1!$A:$B,2,0)),0,(VLOOKUP(K104,[2]Sheet1!$A:$B,2,0)))</f>
        <v>0</v>
      </c>
      <c r="AA104" s="78">
        <f t="shared" si="25"/>
        <v>0</v>
      </c>
      <c r="AB104" s="78" t="e">
        <f>VLOOKUP(K104,[1]IOT!$A:$E,5,0)</f>
        <v>#N/A</v>
      </c>
      <c r="AC104" s="78"/>
      <c r="AD104" s="78" t="e">
        <f>VLOOKUP(K104,[1]IOT!$A:$F,6,0)</f>
        <v>#N/A</v>
      </c>
      <c r="AE104" s="78"/>
      <c r="AF104" s="78"/>
      <c r="AG104" s="78"/>
      <c r="AH104" s="78" t="e">
        <f>VLOOKUP(K104,[1]IOT!$A:$G,7,0)</f>
        <v>#N/A</v>
      </c>
      <c r="AI104" s="78" t="e">
        <f>VLOOKUP(K104,[1]IOT!$A:$H,8,0)</f>
        <v>#N/A</v>
      </c>
      <c r="AJ104" s="78" t="e">
        <f>VLOOKUP(K104,[1]IOT!$A:$I,9,0)</f>
        <v>#N/A</v>
      </c>
      <c r="AK104" s="78" t="e">
        <f>VLOOKUP(K104,[1]IOT!$A:$J,10,0)</f>
        <v>#N/A</v>
      </c>
      <c r="AL104" s="78" t="e">
        <f>VLOOKUP(K104,[1]IOT!$A:$K,11,0)</f>
        <v>#N/A</v>
      </c>
      <c r="AM104" s="78"/>
      <c r="AN104" s="78"/>
      <c r="AO104" s="79">
        <f t="shared" si="26"/>
        <v>0</v>
      </c>
      <c r="AP104" s="80">
        <f t="shared" si="27"/>
        <v>0</v>
      </c>
      <c r="AQ104" s="77"/>
      <c r="AR104" s="6" t="str">
        <f t="shared" si="28"/>
        <v/>
      </c>
    </row>
    <row r="105" spans="1:44" s="6" customFormat="1" ht="47.25" customHeight="1" x14ac:dyDescent="0.35">
      <c r="A105" s="71"/>
      <c r="B105" s="68"/>
      <c r="C105" s="25"/>
      <c r="D105" s="25"/>
      <c r="E105" s="67" t="str">
        <f t="shared" si="20"/>
        <v/>
      </c>
      <c r="F105" s="62"/>
      <c r="G105" s="14"/>
      <c r="H105" s="65"/>
      <c r="I105" s="70"/>
      <c r="J105" s="14"/>
      <c r="K105" s="69"/>
      <c r="L105" s="15"/>
      <c r="M105" s="16"/>
      <c r="N105" s="17"/>
      <c r="O105" s="72"/>
      <c r="P105" s="18"/>
      <c r="Q105" s="60"/>
      <c r="R105" s="19"/>
      <c r="S105" s="18"/>
      <c r="T105" s="75"/>
      <c r="U105" s="20"/>
      <c r="V105" s="21"/>
      <c r="W105" s="22"/>
      <c r="Y105" s="78" t="e">
        <f>VLOOKUP(V105,[1]IOT!$A:$B,2,0)</f>
        <v>#N/A</v>
      </c>
      <c r="Z105" s="78">
        <f>IF(ISNA(VLOOKUP(K105,[2]Sheet1!$A:$B,2,0)),0,(VLOOKUP(K105,[2]Sheet1!$A:$B,2,0)))</f>
        <v>0</v>
      </c>
      <c r="AA105" s="78">
        <f t="shared" si="25"/>
        <v>0</v>
      </c>
      <c r="AB105" s="78" t="e">
        <f>VLOOKUP(K105,[1]IOT!$A:$E,5,0)</f>
        <v>#N/A</v>
      </c>
      <c r="AC105" s="78"/>
      <c r="AD105" s="78" t="e">
        <f>VLOOKUP(K105,[1]IOT!$A:$F,6,0)</f>
        <v>#N/A</v>
      </c>
      <c r="AE105" s="78"/>
      <c r="AF105" s="78"/>
      <c r="AG105" s="78"/>
      <c r="AH105" s="78" t="e">
        <f>VLOOKUP(K105,[1]IOT!$A:$G,7,0)</f>
        <v>#N/A</v>
      </c>
      <c r="AI105" s="78" t="e">
        <f>VLOOKUP(K105,[1]IOT!$A:$H,8,0)</f>
        <v>#N/A</v>
      </c>
      <c r="AJ105" s="78" t="e">
        <f>VLOOKUP(K105,[1]IOT!$A:$I,9,0)</f>
        <v>#N/A</v>
      </c>
      <c r="AK105" s="78" t="e">
        <f>VLOOKUP(K105,[1]IOT!$A:$J,10,0)</f>
        <v>#N/A</v>
      </c>
      <c r="AL105" s="78" t="e">
        <f>VLOOKUP(K105,[1]IOT!$A:$K,11,0)</f>
        <v>#N/A</v>
      </c>
      <c r="AM105" s="78"/>
      <c r="AN105" s="78"/>
      <c r="AO105" s="79">
        <f t="shared" si="26"/>
        <v>0</v>
      </c>
      <c r="AP105" s="80">
        <f t="shared" si="27"/>
        <v>0</v>
      </c>
      <c r="AQ105" s="77"/>
      <c r="AR105" s="6" t="str">
        <f t="shared" si="28"/>
        <v/>
      </c>
    </row>
    <row r="106" spans="1:44" s="6" customFormat="1" ht="47.25" customHeight="1" x14ac:dyDescent="0.35">
      <c r="A106" s="71"/>
      <c r="B106" s="68"/>
      <c r="C106" s="25"/>
      <c r="D106" s="25"/>
      <c r="E106" s="67" t="str">
        <f t="shared" si="20"/>
        <v/>
      </c>
      <c r="F106" s="62"/>
      <c r="G106" s="14"/>
      <c r="H106" s="65"/>
      <c r="I106" s="70"/>
      <c r="J106" s="14"/>
      <c r="K106" s="69"/>
      <c r="L106" s="15"/>
      <c r="M106" s="16"/>
      <c r="N106" s="17"/>
      <c r="O106" s="72"/>
      <c r="P106" s="18"/>
      <c r="Q106" s="60"/>
      <c r="R106" s="19"/>
      <c r="S106" s="18"/>
      <c r="T106" s="75"/>
      <c r="U106" s="20"/>
      <c r="V106" s="21"/>
      <c r="W106" s="22"/>
      <c r="Y106" s="78" t="e">
        <f>VLOOKUP(V106,[1]IOT!$A:$B,2,0)</f>
        <v>#N/A</v>
      </c>
      <c r="Z106" s="78">
        <f>IF(ISNA(VLOOKUP(K106,[2]Sheet1!$A:$B,2,0)),0,(VLOOKUP(K106,[2]Sheet1!$A:$B,2,0)))</f>
        <v>0</v>
      </c>
      <c r="AA106" s="78">
        <f t="shared" si="25"/>
        <v>0</v>
      </c>
      <c r="AB106" s="78" t="e">
        <f>VLOOKUP(K106,[1]IOT!$A:$E,5,0)</f>
        <v>#N/A</v>
      </c>
      <c r="AC106" s="78"/>
      <c r="AD106" s="78" t="e">
        <f>VLOOKUP(K106,[1]IOT!$A:$F,6,0)</f>
        <v>#N/A</v>
      </c>
      <c r="AE106" s="78"/>
      <c r="AF106" s="78"/>
      <c r="AG106" s="78"/>
      <c r="AH106" s="78" t="e">
        <f>VLOOKUP(K106,[1]IOT!$A:$G,7,0)</f>
        <v>#N/A</v>
      </c>
      <c r="AI106" s="78" t="e">
        <f>VLOOKUP(K106,[1]IOT!$A:$H,8,0)</f>
        <v>#N/A</v>
      </c>
      <c r="AJ106" s="78" t="e">
        <f>VLOOKUP(K106,[1]IOT!$A:$I,9,0)</f>
        <v>#N/A</v>
      </c>
      <c r="AK106" s="78" t="e">
        <f>VLOOKUP(K106,[1]IOT!$A:$J,10,0)</f>
        <v>#N/A</v>
      </c>
      <c r="AL106" s="78" t="e">
        <f>VLOOKUP(K106,[1]IOT!$A:$K,11,0)</f>
        <v>#N/A</v>
      </c>
      <c r="AM106" s="78"/>
      <c r="AN106" s="78"/>
      <c r="AO106" s="79">
        <f t="shared" si="26"/>
        <v>0</v>
      </c>
      <c r="AP106" s="80">
        <f t="shared" si="27"/>
        <v>0</v>
      </c>
      <c r="AQ106" s="77"/>
      <c r="AR106" s="6" t="str">
        <f t="shared" si="28"/>
        <v/>
      </c>
    </row>
    <row r="107" spans="1:44" s="6" customFormat="1" ht="47.25" customHeight="1" x14ac:dyDescent="0.35">
      <c r="A107" s="71"/>
      <c r="B107" s="68"/>
      <c r="C107" s="25"/>
      <c r="D107" s="25"/>
      <c r="E107" s="67" t="str">
        <f t="shared" si="20"/>
        <v/>
      </c>
      <c r="F107" s="62"/>
      <c r="G107" s="14"/>
      <c r="H107" s="65"/>
      <c r="I107" s="70"/>
      <c r="J107" s="14"/>
      <c r="K107" s="69"/>
      <c r="L107" s="15"/>
      <c r="M107" s="16"/>
      <c r="N107" s="17"/>
      <c r="O107" s="72"/>
      <c r="P107" s="18"/>
      <c r="Q107" s="60"/>
      <c r="R107" s="19"/>
      <c r="S107" s="18"/>
      <c r="T107" s="75"/>
      <c r="U107" s="20"/>
      <c r="V107" s="21"/>
      <c r="W107" s="22"/>
      <c r="Y107" s="78" t="e">
        <f>VLOOKUP(V107,[1]IOT!$A:$B,2,0)</f>
        <v>#N/A</v>
      </c>
      <c r="Z107" s="78">
        <f>IF(ISNA(VLOOKUP(K107,[2]Sheet1!$A:$B,2,0)),0,(VLOOKUP(K107,[2]Sheet1!$A:$B,2,0)))</f>
        <v>0</v>
      </c>
      <c r="AA107" s="78">
        <f t="shared" si="25"/>
        <v>0</v>
      </c>
      <c r="AB107" s="78" t="e">
        <f>VLOOKUP(K107,[1]IOT!$A:$E,5,0)</f>
        <v>#N/A</v>
      </c>
      <c r="AC107" s="78"/>
      <c r="AD107" s="78" t="e">
        <f>VLOOKUP(K107,[1]IOT!$A:$F,6,0)</f>
        <v>#N/A</v>
      </c>
      <c r="AE107" s="78"/>
      <c r="AF107" s="78"/>
      <c r="AG107" s="78"/>
      <c r="AH107" s="78" t="e">
        <f>VLOOKUP(K107,[1]IOT!$A:$G,7,0)</f>
        <v>#N/A</v>
      </c>
      <c r="AI107" s="78" t="e">
        <f>VLOOKUP(K107,[1]IOT!$A:$H,8,0)</f>
        <v>#N/A</v>
      </c>
      <c r="AJ107" s="78" t="e">
        <f>VLOOKUP(K107,[1]IOT!$A:$I,9,0)</f>
        <v>#N/A</v>
      </c>
      <c r="AK107" s="78" t="e">
        <f>VLOOKUP(K107,[1]IOT!$A:$J,10,0)</f>
        <v>#N/A</v>
      </c>
      <c r="AL107" s="78" t="e">
        <f>VLOOKUP(K107,[1]IOT!$A:$K,11,0)</f>
        <v>#N/A</v>
      </c>
      <c r="AM107" s="78"/>
      <c r="AN107" s="78"/>
      <c r="AO107" s="79">
        <f t="shared" si="26"/>
        <v>0</v>
      </c>
      <c r="AP107" s="80">
        <f t="shared" si="27"/>
        <v>0</v>
      </c>
      <c r="AQ107" s="77"/>
      <c r="AR107" s="6" t="str">
        <f t="shared" si="28"/>
        <v/>
      </c>
    </row>
    <row r="108" spans="1:44" s="6" customFormat="1" ht="47.25" customHeight="1" x14ac:dyDescent="0.35">
      <c r="A108" s="71"/>
      <c r="B108" s="68"/>
      <c r="C108" s="25"/>
      <c r="D108" s="25"/>
      <c r="E108" s="67" t="str">
        <f t="shared" si="20"/>
        <v/>
      </c>
      <c r="F108" s="62"/>
      <c r="G108" s="14"/>
      <c r="H108" s="65"/>
      <c r="I108" s="70"/>
      <c r="J108" s="14"/>
      <c r="K108" s="69"/>
      <c r="L108" s="15"/>
      <c r="M108" s="16"/>
      <c r="N108" s="17"/>
      <c r="O108" s="72"/>
      <c r="P108" s="18"/>
      <c r="Q108" s="60"/>
      <c r="R108" s="19"/>
      <c r="S108" s="18"/>
      <c r="T108" s="75"/>
      <c r="U108" s="20"/>
      <c r="V108" s="21"/>
      <c r="W108" s="22"/>
      <c r="Y108" s="78" t="e">
        <f>VLOOKUP(V108,[1]IOT!$A:$B,2,0)</f>
        <v>#N/A</v>
      </c>
      <c r="Z108" s="78">
        <f>IF(ISNA(VLOOKUP(K108,[2]Sheet1!$A:$B,2,0)),0,(VLOOKUP(K108,[2]Sheet1!$A:$B,2,0)))</f>
        <v>0</v>
      </c>
      <c r="AA108" s="78">
        <f t="shared" si="25"/>
        <v>0</v>
      </c>
      <c r="AB108" s="78" t="e">
        <f>VLOOKUP(K108,[1]IOT!$A:$E,5,0)</f>
        <v>#N/A</v>
      </c>
      <c r="AC108" s="78"/>
      <c r="AD108" s="78" t="e">
        <f>VLOOKUP(K108,[1]IOT!$A:$F,6,0)</f>
        <v>#N/A</v>
      </c>
      <c r="AE108" s="78"/>
      <c r="AF108" s="78"/>
      <c r="AG108" s="78"/>
      <c r="AH108" s="78" t="e">
        <f>VLOOKUP(K108,[1]IOT!$A:$G,7,0)</f>
        <v>#N/A</v>
      </c>
      <c r="AI108" s="78" t="e">
        <f>VLOOKUP(K108,[1]IOT!$A:$H,8,0)</f>
        <v>#N/A</v>
      </c>
      <c r="AJ108" s="78" t="e">
        <f>VLOOKUP(K108,[1]IOT!$A:$I,9,0)</f>
        <v>#N/A</v>
      </c>
      <c r="AK108" s="78" t="e">
        <f>VLOOKUP(K108,[1]IOT!$A:$J,10,0)</f>
        <v>#N/A</v>
      </c>
      <c r="AL108" s="78" t="e">
        <f>VLOOKUP(K108,[1]IOT!$A:$K,11,0)</f>
        <v>#N/A</v>
      </c>
      <c r="AM108" s="78"/>
      <c r="AN108" s="78"/>
      <c r="AO108" s="79">
        <f t="shared" si="26"/>
        <v>0</v>
      </c>
      <c r="AP108" s="80">
        <f t="shared" si="27"/>
        <v>0</v>
      </c>
      <c r="AQ108" s="77"/>
      <c r="AR108" s="6" t="str">
        <f t="shared" si="28"/>
        <v/>
      </c>
    </row>
    <row r="109" spans="1:44" s="6" customFormat="1" ht="47.25" customHeight="1" x14ac:dyDescent="0.35">
      <c r="A109" s="71"/>
      <c r="B109" s="68"/>
      <c r="C109" s="25"/>
      <c r="D109" s="25"/>
      <c r="E109" s="67" t="str">
        <f t="shared" si="20"/>
        <v/>
      </c>
      <c r="F109" s="62"/>
      <c r="G109" s="14"/>
      <c r="H109" s="65"/>
      <c r="I109" s="70"/>
      <c r="J109" s="14"/>
      <c r="K109" s="69"/>
      <c r="L109" s="15"/>
      <c r="M109" s="16"/>
      <c r="N109" s="17"/>
      <c r="O109" s="72"/>
      <c r="P109" s="18"/>
      <c r="Q109" s="60"/>
      <c r="R109" s="19"/>
      <c r="S109" s="18"/>
      <c r="T109" s="75"/>
      <c r="U109" s="20"/>
      <c r="V109" s="21"/>
      <c r="W109" s="22"/>
      <c r="Y109" s="78" t="e">
        <f>VLOOKUP(V109,[1]IOT!$A:$B,2,0)</f>
        <v>#N/A</v>
      </c>
      <c r="Z109" s="78">
        <f>IF(ISNA(VLOOKUP(K109,[2]Sheet1!$A:$B,2,0)),0,(VLOOKUP(K109,[2]Sheet1!$A:$B,2,0)))</f>
        <v>0</v>
      </c>
      <c r="AA109" s="78">
        <f t="shared" si="25"/>
        <v>0</v>
      </c>
      <c r="AB109" s="78" t="e">
        <f>VLOOKUP(K109,[1]IOT!$A:$E,5,0)</f>
        <v>#N/A</v>
      </c>
      <c r="AC109" s="78"/>
      <c r="AD109" s="78" t="e">
        <f>VLOOKUP(K109,[1]IOT!$A:$F,6,0)</f>
        <v>#N/A</v>
      </c>
      <c r="AE109" s="78"/>
      <c r="AF109" s="78"/>
      <c r="AG109" s="78"/>
      <c r="AH109" s="78" t="e">
        <f>VLOOKUP(K109,[1]IOT!$A:$G,7,0)</f>
        <v>#N/A</v>
      </c>
      <c r="AI109" s="78" t="e">
        <f>VLOOKUP(K109,[1]IOT!$A:$H,8,0)</f>
        <v>#N/A</v>
      </c>
      <c r="AJ109" s="78" t="e">
        <f>VLOOKUP(K109,[1]IOT!$A:$I,9,0)</f>
        <v>#N/A</v>
      </c>
      <c r="AK109" s="78" t="e">
        <f>VLOOKUP(K109,[1]IOT!$A:$J,10,0)</f>
        <v>#N/A</v>
      </c>
      <c r="AL109" s="78" t="e">
        <f>VLOOKUP(K109,[1]IOT!$A:$K,11,0)</f>
        <v>#N/A</v>
      </c>
      <c r="AM109" s="78"/>
      <c r="AN109" s="78"/>
      <c r="AO109" s="79">
        <f t="shared" si="26"/>
        <v>0</v>
      </c>
      <c r="AP109" s="80">
        <f t="shared" si="27"/>
        <v>0</v>
      </c>
      <c r="AQ109" s="77"/>
      <c r="AR109" s="6" t="str">
        <f t="shared" si="28"/>
        <v/>
      </c>
    </row>
    <row r="110" spans="1:44" s="6" customFormat="1" ht="47.25" customHeight="1" x14ac:dyDescent="0.35">
      <c r="A110" s="71"/>
      <c r="B110" s="68"/>
      <c r="C110" s="25"/>
      <c r="D110" s="25"/>
      <c r="E110" s="67" t="str">
        <f t="shared" si="20"/>
        <v/>
      </c>
      <c r="F110" s="62"/>
      <c r="G110" s="14"/>
      <c r="H110" s="65"/>
      <c r="I110" s="70"/>
      <c r="J110" s="14"/>
      <c r="K110" s="69"/>
      <c r="L110" s="15"/>
      <c r="M110" s="16"/>
      <c r="N110" s="17"/>
      <c r="O110" s="72"/>
      <c r="P110" s="18"/>
      <c r="Q110" s="60"/>
      <c r="R110" s="19"/>
      <c r="S110" s="18"/>
      <c r="T110" s="75"/>
      <c r="U110" s="20"/>
      <c r="V110" s="21"/>
      <c r="W110" s="22"/>
      <c r="Y110" s="78" t="e">
        <f>VLOOKUP(V110,[1]IOT!$A:$B,2,0)</f>
        <v>#N/A</v>
      </c>
      <c r="Z110" s="78">
        <f>IF(ISNA(VLOOKUP(K110,[2]Sheet1!$A:$B,2,0)),0,(VLOOKUP(K110,[2]Sheet1!$A:$B,2,0)))</f>
        <v>0</v>
      </c>
      <c r="AA110" s="78">
        <f t="shared" si="25"/>
        <v>0</v>
      </c>
      <c r="AB110" s="78" t="e">
        <f>VLOOKUP(K110,[1]IOT!$A:$E,5,0)</f>
        <v>#N/A</v>
      </c>
      <c r="AC110" s="78"/>
      <c r="AD110" s="78" t="e">
        <f>VLOOKUP(K110,[1]IOT!$A:$F,6,0)</f>
        <v>#N/A</v>
      </c>
      <c r="AE110" s="78"/>
      <c r="AF110" s="78"/>
      <c r="AG110" s="78"/>
      <c r="AH110" s="78" t="e">
        <f>VLOOKUP(K110,[1]IOT!$A:$G,7,0)</f>
        <v>#N/A</v>
      </c>
      <c r="AI110" s="78" t="e">
        <f>VLOOKUP(K110,[1]IOT!$A:$H,8,0)</f>
        <v>#N/A</v>
      </c>
      <c r="AJ110" s="78" t="e">
        <f>VLOOKUP(K110,[1]IOT!$A:$I,9,0)</f>
        <v>#N/A</v>
      </c>
      <c r="AK110" s="78" t="e">
        <f>VLOOKUP(K110,[1]IOT!$A:$J,10,0)</f>
        <v>#N/A</v>
      </c>
      <c r="AL110" s="78" t="e">
        <f>VLOOKUP(K110,[1]IOT!$A:$K,11,0)</f>
        <v>#N/A</v>
      </c>
      <c r="AM110" s="78"/>
      <c r="AN110" s="78"/>
      <c r="AO110" s="79">
        <f t="shared" si="26"/>
        <v>0</v>
      </c>
      <c r="AP110" s="80">
        <f t="shared" si="27"/>
        <v>0</v>
      </c>
      <c r="AQ110" s="77"/>
      <c r="AR110" s="6" t="str">
        <f t="shared" si="28"/>
        <v/>
      </c>
    </row>
    <row r="111" spans="1:44" s="6" customFormat="1" ht="47.25" customHeight="1" x14ac:dyDescent="0.35">
      <c r="A111" s="71"/>
      <c r="B111" s="68"/>
      <c r="C111" s="25"/>
      <c r="D111" s="25"/>
      <c r="E111" s="67" t="str">
        <f t="shared" si="20"/>
        <v/>
      </c>
      <c r="F111" s="62"/>
      <c r="G111" s="14"/>
      <c r="H111" s="65"/>
      <c r="I111" s="70"/>
      <c r="J111" s="14"/>
      <c r="K111" s="69"/>
      <c r="L111" s="15"/>
      <c r="M111" s="16"/>
      <c r="N111" s="17"/>
      <c r="O111" s="72"/>
      <c r="P111" s="18"/>
      <c r="Q111" s="60"/>
      <c r="R111" s="19"/>
      <c r="S111" s="18"/>
      <c r="T111" s="75"/>
      <c r="U111" s="20"/>
      <c r="V111" s="21"/>
      <c r="W111" s="22"/>
      <c r="Y111" s="78" t="e">
        <f>VLOOKUP(V111,[1]IOT!$A:$B,2,0)</f>
        <v>#N/A</v>
      </c>
      <c r="Z111" s="78">
        <f>IF(ISNA(VLOOKUP(K111,[2]Sheet1!$A:$B,2,0)),0,(VLOOKUP(K111,[2]Sheet1!$A:$B,2,0)))</f>
        <v>0</v>
      </c>
      <c r="AA111" s="78">
        <f t="shared" si="25"/>
        <v>0</v>
      </c>
      <c r="AB111" s="78" t="e">
        <f>VLOOKUP(K111,[1]IOT!$A:$E,5,0)</f>
        <v>#N/A</v>
      </c>
      <c r="AC111" s="78"/>
      <c r="AD111" s="78" t="e">
        <f>VLOOKUP(K111,[1]IOT!$A:$F,6,0)</f>
        <v>#N/A</v>
      </c>
      <c r="AE111" s="78"/>
      <c r="AF111" s="78"/>
      <c r="AG111" s="78"/>
      <c r="AH111" s="78" t="e">
        <f>VLOOKUP(K111,[1]IOT!$A:$G,7,0)</f>
        <v>#N/A</v>
      </c>
      <c r="AI111" s="78" t="e">
        <f>VLOOKUP(K111,[1]IOT!$A:$H,8,0)</f>
        <v>#N/A</v>
      </c>
      <c r="AJ111" s="78" t="e">
        <f>VLOOKUP(K111,[1]IOT!$A:$I,9,0)</f>
        <v>#N/A</v>
      </c>
      <c r="AK111" s="78" t="e">
        <f>VLOOKUP(K111,[1]IOT!$A:$J,10,0)</f>
        <v>#N/A</v>
      </c>
      <c r="AL111" s="78" t="e">
        <f>VLOOKUP(K111,[1]IOT!$A:$K,11,0)</f>
        <v>#N/A</v>
      </c>
      <c r="AM111" s="78"/>
      <c r="AN111" s="78"/>
      <c r="AO111" s="79">
        <f t="shared" si="26"/>
        <v>0</v>
      </c>
      <c r="AP111" s="80">
        <f t="shared" si="27"/>
        <v>0</v>
      </c>
      <c r="AQ111" s="77"/>
      <c r="AR111" s="6" t="str">
        <f t="shared" si="28"/>
        <v/>
      </c>
    </row>
    <row r="112" spans="1:44" s="6" customFormat="1" ht="47.25" customHeight="1" x14ac:dyDescent="0.35">
      <c r="A112" s="71"/>
      <c r="B112" s="68"/>
      <c r="C112" s="25"/>
      <c r="D112" s="25"/>
      <c r="E112" s="67" t="str">
        <f t="shared" si="20"/>
        <v/>
      </c>
      <c r="F112" s="62"/>
      <c r="G112" s="14"/>
      <c r="H112" s="65"/>
      <c r="I112" s="70"/>
      <c r="J112" s="14"/>
      <c r="K112" s="69"/>
      <c r="L112" s="15"/>
      <c r="M112" s="16"/>
      <c r="N112" s="17"/>
      <c r="O112" s="72"/>
      <c r="P112" s="18"/>
      <c r="Q112" s="60"/>
      <c r="R112" s="19"/>
      <c r="S112" s="18"/>
      <c r="T112" s="75"/>
      <c r="U112" s="20"/>
      <c r="V112" s="21"/>
      <c r="W112" s="22"/>
      <c r="Y112" s="78" t="e">
        <f>VLOOKUP(V112,[1]IOT!$A:$B,2,0)</f>
        <v>#N/A</v>
      </c>
      <c r="Z112" s="78">
        <f>IF(ISNA(VLOOKUP(K112,[2]Sheet1!$A:$B,2,0)),0,(VLOOKUP(K112,[2]Sheet1!$A:$B,2,0)))</f>
        <v>0</v>
      </c>
      <c r="AA112" s="78">
        <f t="shared" si="25"/>
        <v>0</v>
      </c>
      <c r="AB112" s="78" t="e">
        <f>VLOOKUP(K112,[1]IOT!$A:$E,5,0)</f>
        <v>#N/A</v>
      </c>
      <c r="AC112" s="78"/>
      <c r="AD112" s="78" t="e">
        <f>VLOOKUP(K112,[1]IOT!$A:$F,6,0)</f>
        <v>#N/A</v>
      </c>
      <c r="AE112" s="78"/>
      <c r="AF112" s="78"/>
      <c r="AG112" s="78"/>
      <c r="AH112" s="78" t="e">
        <f>VLOOKUP(K112,[1]IOT!$A:$G,7,0)</f>
        <v>#N/A</v>
      </c>
      <c r="AI112" s="78" t="e">
        <f>VLOOKUP(K112,[1]IOT!$A:$H,8,0)</f>
        <v>#N/A</v>
      </c>
      <c r="AJ112" s="78" t="e">
        <f>VLOOKUP(K112,[1]IOT!$A:$I,9,0)</f>
        <v>#N/A</v>
      </c>
      <c r="AK112" s="78" t="e">
        <f>VLOOKUP(K112,[1]IOT!$A:$J,10,0)</f>
        <v>#N/A</v>
      </c>
      <c r="AL112" s="78" t="e">
        <f>VLOOKUP(K112,[1]IOT!$A:$K,11,0)</f>
        <v>#N/A</v>
      </c>
      <c r="AM112" s="78"/>
      <c r="AN112" s="78"/>
      <c r="AO112" s="79">
        <f t="shared" si="26"/>
        <v>0</v>
      </c>
      <c r="AP112" s="80">
        <f t="shared" si="27"/>
        <v>0</v>
      </c>
      <c r="AQ112" s="77"/>
      <c r="AR112" s="6" t="str">
        <f t="shared" si="28"/>
        <v/>
      </c>
    </row>
    <row r="113" spans="1:44" s="6" customFormat="1" ht="47.25" customHeight="1" x14ac:dyDescent="0.35">
      <c r="A113" s="71"/>
      <c r="B113" s="68"/>
      <c r="C113" s="25"/>
      <c r="D113" s="25"/>
      <c r="E113" s="67" t="str">
        <f t="shared" si="20"/>
        <v/>
      </c>
      <c r="F113" s="62"/>
      <c r="G113" s="14"/>
      <c r="H113" s="65"/>
      <c r="I113" s="70"/>
      <c r="J113" s="14"/>
      <c r="K113" s="69"/>
      <c r="L113" s="15"/>
      <c r="M113" s="16"/>
      <c r="N113" s="17"/>
      <c r="O113" s="72"/>
      <c r="P113" s="18"/>
      <c r="Q113" s="60"/>
      <c r="R113" s="19"/>
      <c r="S113" s="18"/>
      <c r="T113" s="75"/>
      <c r="U113" s="20"/>
      <c r="V113" s="21"/>
      <c r="W113" s="22"/>
      <c r="Y113" s="78" t="e">
        <f>VLOOKUP(V113,[1]IOT!$A:$B,2,0)</f>
        <v>#N/A</v>
      </c>
      <c r="Z113" s="78">
        <f>IF(ISNA(VLOOKUP(K113,[2]Sheet1!$A:$B,2,0)),0,(VLOOKUP(K113,[2]Sheet1!$A:$B,2,0)))</f>
        <v>0</v>
      </c>
      <c r="AA113" s="78">
        <f t="shared" si="25"/>
        <v>0</v>
      </c>
      <c r="AB113" s="78" t="e">
        <f>VLOOKUP(K113,[1]IOT!$A:$E,5,0)</f>
        <v>#N/A</v>
      </c>
      <c r="AC113" s="78"/>
      <c r="AD113" s="78" t="e">
        <f>VLOOKUP(K113,[1]IOT!$A:$F,6,0)</f>
        <v>#N/A</v>
      </c>
      <c r="AE113" s="78"/>
      <c r="AF113" s="78"/>
      <c r="AG113" s="78"/>
      <c r="AH113" s="78" t="e">
        <f>VLOOKUP(K113,[1]IOT!$A:$G,7,0)</f>
        <v>#N/A</v>
      </c>
      <c r="AI113" s="78" t="e">
        <f>VLOOKUP(K113,[1]IOT!$A:$H,8,0)</f>
        <v>#N/A</v>
      </c>
      <c r="AJ113" s="78" t="e">
        <f>VLOOKUP(K113,[1]IOT!$A:$I,9,0)</f>
        <v>#N/A</v>
      </c>
      <c r="AK113" s="78" t="e">
        <f>VLOOKUP(K113,[1]IOT!$A:$J,10,0)</f>
        <v>#N/A</v>
      </c>
      <c r="AL113" s="78" t="e">
        <f>VLOOKUP(K113,[1]IOT!$A:$K,11,0)</f>
        <v>#N/A</v>
      </c>
      <c r="AM113" s="78"/>
      <c r="AN113" s="78"/>
      <c r="AO113" s="79">
        <f t="shared" si="26"/>
        <v>0</v>
      </c>
      <c r="AP113" s="80">
        <f t="shared" si="27"/>
        <v>0</v>
      </c>
      <c r="AQ113" s="77"/>
      <c r="AR113" s="6" t="str">
        <f t="shared" si="28"/>
        <v/>
      </c>
    </row>
    <row r="114" spans="1:44" s="6" customFormat="1" ht="47.25" customHeight="1" x14ac:dyDescent="0.35">
      <c r="A114" s="71"/>
      <c r="B114" s="68"/>
      <c r="C114" s="25"/>
      <c r="D114" s="25"/>
      <c r="E114" s="67" t="str">
        <f t="shared" si="20"/>
        <v/>
      </c>
      <c r="F114" s="62"/>
      <c r="G114" s="14"/>
      <c r="H114" s="65"/>
      <c r="I114" s="70"/>
      <c r="J114" s="14"/>
      <c r="K114" s="69"/>
      <c r="L114" s="15"/>
      <c r="M114" s="16"/>
      <c r="N114" s="17"/>
      <c r="O114" s="72"/>
      <c r="P114" s="18"/>
      <c r="Q114" s="60"/>
      <c r="R114" s="19"/>
      <c r="S114" s="18"/>
      <c r="T114" s="75"/>
      <c r="U114" s="20"/>
      <c r="V114" s="21"/>
      <c r="W114" s="22"/>
      <c r="Y114" s="78" t="e">
        <f>VLOOKUP(V114,[1]IOT!$A:$B,2,0)</f>
        <v>#N/A</v>
      </c>
      <c r="Z114" s="78">
        <f>IF(ISNA(VLOOKUP(K114,[2]Sheet1!$A:$B,2,0)),0,(VLOOKUP(K114,[2]Sheet1!$A:$B,2,0)))</f>
        <v>0</v>
      </c>
      <c r="AA114" s="78">
        <f t="shared" si="25"/>
        <v>0</v>
      </c>
      <c r="AB114" s="78" t="e">
        <f>VLOOKUP(K114,[1]IOT!$A:$E,5,0)</f>
        <v>#N/A</v>
      </c>
      <c r="AC114" s="78"/>
      <c r="AD114" s="78" t="e">
        <f>VLOOKUP(K114,[1]IOT!$A:$F,6,0)</f>
        <v>#N/A</v>
      </c>
      <c r="AE114" s="78"/>
      <c r="AF114" s="78"/>
      <c r="AG114" s="78"/>
      <c r="AH114" s="78" t="e">
        <f>VLOOKUP(K114,[1]IOT!$A:$G,7,0)</f>
        <v>#N/A</v>
      </c>
      <c r="AI114" s="78" t="e">
        <f>VLOOKUP(K114,[1]IOT!$A:$H,8,0)</f>
        <v>#N/A</v>
      </c>
      <c r="AJ114" s="78" t="e">
        <f>VLOOKUP(K114,[1]IOT!$A:$I,9,0)</f>
        <v>#N/A</v>
      </c>
      <c r="AK114" s="78" t="e">
        <f>VLOOKUP(K114,[1]IOT!$A:$J,10,0)</f>
        <v>#N/A</v>
      </c>
      <c r="AL114" s="78" t="e">
        <f>VLOOKUP(K114,[1]IOT!$A:$K,11,0)</f>
        <v>#N/A</v>
      </c>
      <c r="AM114" s="78"/>
      <c r="AN114" s="78"/>
      <c r="AO114" s="79">
        <f t="shared" si="26"/>
        <v>0</v>
      </c>
      <c r="AP114" s="80">
        <f t="shared" si="27"/>
        <v>0</v>
      </c>
      <c r="AQ114" s="77"/>
      <c r="AR114" s="6" t="str">
        <f t="shared" si="28"/>
        <v/>
      </c>
    </row>
    <row r="115" spans="1:44" s="6" customFormat="1" ht="47.25" customHeight="1" x14ac:dyDescent="0.35">
      <c r="A115" s="71"/>
      <c r="B115" s="68"/>
      <c r="C115" s="25"/>
      <c r="D115" s="25"/>
      <c r="E115" s="67" t="str">
        <f t="shared" si="20"/>
        <v/>
      </c>
      <c r="F115" s="62"/>
      <c r="G115" s="14"/>
      <c r="H115" s="65"/>
      <c r="I115" s="70"/>
      <c r="J115" s="14"/>
      <c r="K115" s="69"/>
      <c r="L115" s="15"/>
      <c r="M115" s="16"/>
      <c r="N115" s="17"/>
      <c r="O115" s="72"/>
      <c r="P115" s="18"/>
      <c r="Q115" s="60"/>
      <c r="R115" s="19"/>
      <c r="S115" s="18"/>
      <c r="T115" s="75"/>
      <c r="U115" s="20"/>
      <c r="V115" s="21"/>
      <c r="W115" s="22"/>
      <c r="Y115" s="78" t="e">
        <f>VLOOKUP(V115,[1]IOT!$A:$B,2,0)</f>
        <v>#N/A</v>
      </c>
      <c r="Z115" s="78">
        <f>IF(ISNA(VLOOKUP(K115,[2]Sheet1!$A:$B,2,0)),0,(VLOOKUP(K115,[2]Sheet1!$A:$B,2,0)))</f>
        <v>0</v>
      </c>
      <c r="AA115" s="78">
        <f t="shared" si="25"/>
        <v>0</v>
      </c>
      <c r="AB115" s="78" t="e">
        <f>VLOOKUP(K115,[1]IOT!$A:$E,5,0)</f>
        <v>#N/A</v>
      </c>
      <c r="AC115" s="78"/>
      <c r="AD115" s="78" t="e">
        <f>VLOOKUP(K115,[1]IOT!$A:$F,6,0)</f>
        <v>#N/A</v>
      </c>
      <c r="AE115" s="78"/>
      <c r="AF115" s="78"/>
      <c r="AG115" s="78"/>
      <c r="AH115" s="78" t="e">
        <f>VLOOKUP(K115,[1]IOT!$A:$G,7,0)</f>
        <v>#N/A</v>
      </c>
      <c r="AI115" s="78" t="e">
        <f>VLOOKUP(K115,[1]IOT!$A:$H,8,0)</f>
        <v>#N/A</v>
      </c>
      <c r="AJ115" s="78" t="e">
        <f>VLOOKUP(K115,[1]IOT!$A:$I,9,0)</f>
        <v>#N/A</v>
      </c>
      <c r="AK115" s="78" t="e">
        <f>VLOOKUP(K115,[1]IOT!$A:$J,10,0)</f>
        <v>#N/A</v>
      </c>
      <c r="AL115" s="78" t="e">
        <f>VLOOKUP(K115,[1]IOT!$A:$K,11,0)</f>
        <v>#N/A</v>
      </c>
      <c r="AM115" s="78"/>
      <c r="AN115" s="78"/>
      <c r="AO115" s="79">
        <f t="shared" si="26"/>
        <v>0</v>
      </c>
      <c r="AP115" s="80">
        <f t="shared" si="27"/>
        <v>0</v>
      </c>
      <c r="AQ115" s="77"/>
      <c r="AR115" s="6" t="str">
        <f t="shared" si="28"/>
        <v/>
      </c>
    </row>
    <row r="116" spans="1:44" s="6" customFormat="1" ht="47.25" customHeight="1" x14ac:dyDescent="0.35">
      <c r="A116" s="71"/>
      <c r="B116" s="68"/>
      <c r="C116" s="25"/>
      <c r="D116" s="25"/>
      <c r="E116" s="67" t="str">
        <f t="shared" si="20"/>
        <v/>
      </c>
      <c r="F116" s="62"/>
      <c r="G116" s="14"/>
      <c r="H116" s="65"/>
      <c r="I116" s="70"/>
      <c r="J116" s="14"/>
      <c r="K116" s="69"/>
      <c r="L116" s="15"/>
      <c r="M116" s="16"/>
      <c r="N116" s="17"/>
      <c r="O116" s="72"/>
      <c r="P116" s="18"/>
      <c r="Q116" s="60"/>
      <c r="R116" s="19"/>
      <c r="S116" s="18"/>
      <c r="T116" s="75"/>
      <c r="U116" s="20"/>
      <c r="V116" s="21"/>
      <c r="W116" s="22"/>
      <c r="Y116" s="78" t="e">
        <f>VLOOKUP(V116,[1]IOT!$A:$B,2,0)</f>
        <v>#N/A</v>
      </c>
      <c r="Z116" s="78">
        <f>IF(ISNA(VLOOKUP(K116,[2]Sheet1!$A:$B,2,0)),0,(VLOOKUP(K116,[2]Sheet1!$A:$B,2,0)))</f>
        <v>0</v>
      </c>
      <c r="AA116" s="78">
        <f t="shared" si="25"/>
        <v>0</v>
      </c>
      <c r="AB116" s="78" t="e">
        <f>VLOOKUP(K116,[1]IOT!$A:$E,5,0)</f>
        <v>#N/A</v>
      </c>
      <c r="AC116" s="78"/>
      <c r="AD116" s="78" t="e">
        <f>VLOOKUP(K116,[1]IOT!$A:$F,6,0)</f>
        <v>#N/A</v>
      </c>
      <c r="AE116" s="78"/>
      <c r="AF116" s="78"/>
      <c r="AG116" s="78"/>
      <c r="AH116" s="78" t="e">
        <f>VLOOKUP(K116,[1]IOT!$A:$G,7,0)</f>
        <v>#N/A</v>
      </c>
      <c r="AI116" s="78" t="e">
        <f>VLOOKUP(K116,[1]IOT!$A:$H,8,0)</f>
        <v>#N/A</v>
      </c>
      <c r="AJ116" s="78" t="e">
        <f>VLOOKUP(K116,[1]IOT!$A:$I,9,0)</f>
        <v>#N/A</v>
      </c>
      <c r="AK116" s="78" t="e">
        <f>VLOOKUP(K116,[1]IOT!$A:$J,10,0)</f>
        <v>#N/A</v>
      </c>
      <c r="AL116" s="78" t="e">
        <f>VLOOKUP(K116,[1]IOT!$A:$K,11,0)</f>
        <v>#N/A</v>
      </c>
      <c r="AM116" s="78"/>
      <c r="AN116" s="78"/>
      <c r="AO116" s="79">
        <f t="shared" si="26"/>
        <v>0</v>
      </c>
      <c r="AP116" s="80">
        <f t="shared" si="27"/>
        <v>0</v>
      </c>
      <c r="AQ116" s="77"/>
      <c r="AR116" s="6" t="str">
        <f t="shared" si="28"/>
        <v/>
      </c>
    </row>
    <row r="117" spans="1:44" s="6" customFormat="1" ht="47.25" customHeight="1" x14ac:dyDescent="0.35">
      <c r="A117" s="71"/>
      <c r="B117" s="68"/>
      <c r="C117" s="25"/>
      <c r="D117" s="25"/>
      <c r="E117" s="67" t="str">
        <f t="shared" si="20"/>
        <v/>
      </c>
      <c r="F117" s="62"/>
      <c r="G117" s="14"/>
      <c r="H117" s="65"/>
      <c r="I117" s="70"/>
      <c r="J117" s="14"/>
      <c r="K117" s="69"/>
      <c r="L117" s="15"/>
      <c r="M117" s="16"/>
      <c r="N117" s="17"/>
      <c r="O117" s="72"/>
      <c r="P117" s="18"/>
      <c r="Q117" s="60"/>
      <c r="R117" s="19"/>
      <c r="S117" s="18"/>
      <c r="T117" s="75"/>
      <c r="U117" s="20"/>
      <c r="V117" s="21"/>
      <c r="W117" s="22"/>
      <c r="Y117" s="78" t="e">
        <f>VLOOKUP(V117,[1]IOT!$A:$B,2,0)</f>
        <v>#N/A</v>
      </c>
      <c r="Z117" s="78">
        <f>IF(ISNA(VLOOKUP(K117,[2]Sheet1!$A:$B,2,0)),0,(VLOOKUP(K117,[2]Sheet1!$A:$B,2,0)))</f>
        <v>0</v>
      </c>
      <c r="AA117" s="78">
        <f t="shared" si="25"/>
        <v>0</v>
      </c>
      <c r="AB117" s="78" t="e">
        <f>VLOOKUP(K117,[1]IOT!$A:$E,5,0)</f>
        <v>#N/A</v>
      </c>
      <c r="AC117" s="78"/>
      <c r="AD117" s="78" t="e">
        <f>VLOOKUP(K117,[1]IOT!$A:$F,6,0)</f>
        <v>#N/A</v>
      </c>
      <c r="AE117" s="78"/>
      <c r="AF117" s="78"/>
      <c r="AG117" s="78"/>
      <c r="AH117" s="78" t="e">
        <f>VLOOKUP(K117,[1]IOT!$A:$G,7,0)</f>
        <v>#N/A</v>
      </c>
      <c r="AI117" s="78" t="e">
        <f>VLOOKUP(K117,[1]IOT!$A:$H,8,0)</f>
        <v>#N/A</v>
      </c>
      <c r="AJ117" s="78" t="e">
        <f>VLOOKUP(K117,[1]IOT!$A:$I,9,0)</f>
        <v>#N/A</v>
      </c>
      <c r="AK117" s="78" t="e">
        <f>VLOOKUP(K117,[1]IOT!$A:$J,10,0)</f>
        <v>#N/A</v>
      </c>
      <c r="AL117" s="78" t="e">
        <f>VLOOKUP(K117,[1]IOT!$A:$K,11,0)</f>
        <v>#N/A</v>
      </c>
      <c r="AM117" s="78"/>
      <c r="AN117" s="78"/>
      <c r="AO117" s="79">
        <f t="shared" si="26"/>
        <v>0</v>
      </c>
      <c r="AP117" s="80">
        <f t="shared" si="27"/>
        <v>0</v>
      </c>
      <c r="AQ117" s="77"/>
      <c r="AR117" s="6" t="str">
        <f t="shared" si="28"/>
        <v/>
      </c>
    </row>
    <row r="118" spans="1:44" s="6" customFormat="1" ht="47.25" customHeight="1" x14ac:dyDescent="0.35">
      <c r="A118" s="71"/>
      <c r="B118" s="68"/>
      <c r="C118" s="25"/>
      <c r="D118" s="25"/>
      <c r="E118" s="67" t="str">
        <f t="shared" si="20"/>
        <v/>
      </c>
      <c r="F118" s="62"/>
      <c r="G118" s="14"/>
      <c r="H118" s="65"/>
      <c r="I118" s="70"/>
      <c r="J118" s="14"/>
      <c r="K118" s="69"/>
      <c r="L118" s="15"/>
      <c r="M118" s="16"/>
      <c r="N118" s="17"/>
      <c r="O118" s="72"/>
      <c r="P118" s="18"/>
      <c r="Q118" s="60"/>
      <c r="R118" s="19"/>
      <c r="S118" s="18"/>
      <c r="T118" s="75"/>
      <c r="U118" s="20"/>
      <c r="V118" s="21"/>
      <c r="W118" s="22"/>
      <c r="Y118" s="78" t="e">
        <f>VLOOKUP(V118,[1]IOT!$A:$B,2,0)</f>
        <v>#N/A</v>
      </c>
      <c r="Z118" s="78">
        <f>IF(ISNA(VLOOKUP(K118,[2]Sheet1!$A:$B,2,0)),0,(VLOOKUP(K118,[2]Sheet1!$A:$B,2,0)))</f>
        <v>0</v>
      </c>
      <c r="AA118" s="78">
        <f t="shared" si="25"/>
        <v>0</v>
      </c>
      <c r="AB118" s="78" t="e">
        <f>VLOOKUP(K118,[1]IOT!$A:$E,5,0)</f>
        <v>#N/A</v>
      </c>
      <c r="AC118" s="78"/>
      <c r="AD118" s="78" t="e">
        <f>VLOOKUP(K118,[1]IOT!$A:$F,6,0)</f>
        <v>#N/A</v>
      </c>
      <c r="AE118" s="78"/>
      <c r="AF118" s="78"/>
      <c r="AG118" s="78"/>
      <c r="AH118" s="78" t="e">
        <f>VLOOKUP(K118,[1]IOT!$A:$G,7,0)</f>
        <v>#N/A</v>
      </c>
      <c r="AI118" s="78" t="e">
        <f>VLOOKUP(K118,[1]IOT!$A:$H,8,0)</f>
        <v>#N/A</v>
      </c>
      <c r="AJ118" s="78" t="e">
        <f>VLOOKUP(K118,[1]IOT!$A:$I,9,0)</f>
        <v>#N/A</v>
      </c>
      <c r="AK118" s="78" t="e">
        <f>VLOOKUP(K118,[1]IOT!$A:$J,10,0)</f>
        <v>#N/A</v>
      </c>
      <c r="AL118" s="78" t="e">
        <f>VLOOKUP(K118,[1]IOT!$A:$K,11,0)</f>
        <v>#N/A</v>
      </c>
      <c r="AM118" s="78"/>
      <c r="AN118" s="78"/>
      <c r="AO118" s="79">
        <f t="shared" si="26"/>
        <v>0</v>
      </c>
      <c r="AP118" s="80">
        <f t="shared" si="27"/>
        <v>0</v>
      </c>
      <c r="AQ118" s="77"/>
      <c r="AR118" s="6" t="str">
        <f t="shared" si="28"/>
        <v/>
      </c>
    </row>
    <row r="119" spans="1:44" s="6" customFormat="1" ht="47.25" customHeight="1" x14ac:dyDescent="0.35">
      <c r="A119" s="71"/>
      <c r="B119" s="68"/>
      <c r="C119" s="25"/>
      <c r="D119" s="25"/>
      <c r="E119" s="67" t="str">
        <f t="shared" si="20"/>
        <v/>
      </c>
      <c r="F119" s="62"/>
      <c r="G119" s="14"/>
      <c r="H119" s="65"/>
      <c r="I119" s="70"/>
      <c r="J119" s="14"/>
      <c r="K119" s="69"/>
      <c r="L119" s="15"/>
      <c r="M119" s="16"/>
      <c r="N119" s="17"/>
      <c r="O119" s="72"/>
      <c r="P119" s="18"/>
      <c r="Q119" s="60"/>
      <c r="R119" s="19"/>
      <c r="S119" s="18"/>
      <c r="T119" s="75"/>
      <c r="U119" s="20"/>
      <c r="V119" s="21"/>
      <c r="W119" s="22"/>
      <c r="Y119" s="78" t="e">
        <f>VLOOKUP(V119,[1]IOT!$A:$B,2,0)</f>
        <v>#N/A</v>
      </c>
      <c r="Z119" s="78">
        <f>IF(ISNA(VLOOKUP(K119,[2]Sheet1!$A:$B,2,0)),0,(VLOOKUP(K119,[2]Sheet1!$A:$B,2,0)))</f>
        <v>0</v>
      </c>
      <c r="AA119" s="78">
        <f t="shared" si="25"/>
        <v>0</v>
      </c>
      <c r="AB119" s="78" t="e">
        <f>VLOOKUP(K119,[1]IOT!$A:$E,5,0)</f>
        <v>#N/A</v>
      </c>
      <c r="AC119" s="78"/>
      <c r="AD119" s="78" t="e">
        <f>VLOOKUP(K119,[1]IOT!$A:$F,6,0)</f>
        <v>#N/A</v>
      </c>
      <c r="AE119" s="78"/>
      <c r="AF119" s="78"/>
      <c r="AG119" s="78"/>
      <c r="AH119" s="78" t="e">
        <f>VLOOKUP(K119,[1]IOT!$A:$G,7,0)</f>
        <v>#N/A</v>
      </c>
      <c r="AI119" s="78" t="e">
        <f>VLOOKUP(K119,[1]IOT!$A:$H,8,0)</f>
        <v>#N/A</v>
      </c>
      <c r="AJ119" s="78" t="e">
        <f>VLOOKUP(K119,[1]IOT!$A:$I,9,0)</f>
        <v>#N/A</v>
      </c>
      <c r="AK119" s="78" t="e">
        <f>VLOOKUP(K119,[1]IOT!$A:$J,10,0)</f>
        <v>#N/A</v>
      </c>
      <c r="AL119" s="78" t="e">
        <f>VLOOKUP(K119,[1]IOT!$A:$K,11,0)</f>
        <v>#N/A</v>
      </c>
      <c r="AM119" s="78"/>
      <c r="AN119" s="78"/>
      <c r="AO119" s="79">
        <f t="shared" si="26"/>
        <v>0</v>
      </c>
      <c r="AP119" s="80">
        <f t="shared" si="27"/>
        <v>0</v>
      </c>
      <c r="AQ119" s="77"/>
      <c r="AR119" s="6" t="str">
        <f t="shared" si="28"/>
        <v/>
      </c>
    </row>
    <row r="120" spans="1:44" s="6" customFormat="1" ht="47.25" customHeight="1" x14ac:dyDescent="0.35">
      <c r="A120" s="71"/>
      <c r="B120" s="68"/>
      <c r="C120" s="25"/>
      <c r="D120" s="25"/>
      <c r="E120" s="67" t="str">
        <f t="shared" si="20"/>
        <v/>
      </c>
      <c r="F120" s="62"/>
      <c r="G120" s="14"/>
      <c r="H120" s="65"/>
      <c r="I120" s="70"/>
      <c r="J120" s="14"/>
      <c r="K120" s="69"/>
      <c r="L120" s="15"/>
      <c r="M120" s="16"/>
      <c r="N120" s="17"/>
      <c r="O120" s="72"/>
      <c r="P120" s="18"/>
      <c r="Q120" s="60"/>
      <c r="R120" s="19"/>
      <c r="S120" s="18"/>
      <c r="T120" s="75"/>
      <c r="U120" s="20"/>
      <c r="V120" s="21"/>
      <c r="W120" s="22"/>
      <c r="Y120" s="78" t="e">
        <f>VLOOKUP(V120,[1]IOT!$A:$B,2,0)</f>
        <v>#N/A</v>
      </c>
      <c r="Z120" s="78">
        <f>IF(ISNA(VLOOKUP(K120,[2]Sheet1!$A:$B,2,0)),0,(VLOOKUP(K120,[2]Sheet1!$A:$B,2,0)))</f>
        <v>0</v>
      </c>
      <c r="AA120" s="78">
        <f t="shared" si="25"/>
        <v>0</v>
      </c>
      <c r="AB120" s="78" t="e">
        <f>VLOOKUP(K120,[1]IOT!$A:$E,5,0)</f>
        <v>#N/A</v>
      </c>
      <c r="AC120" s="78"/>
      <c r="AD120" s="78" t="e">
        <f>VLOOKUP(K120,[1]IOT!$A:$F,6,0)</f>
        <v>#N/A</v>
      </c>
      <c r="AE120" s="78"/>
      <c r="AF120" s="78"/>
      <c r="AG120" s="78"/>
      <c r="AH120" s="78" t="e">
        <f>VLOOKUP(K120,[1]IOT!$A:$G,7,0)</f>
        <v>#N/A</v>
      </c>
      <c r="AI120" s="78" t="e">
        <f>VLOOKUP(K120,[1]IOT!$A:$H,8,0)</f>
        <v>#N/A</v>
      </c>
      <c r="AJ120" s="78" t="e">
        <f>VLOOKUP(K120,[1]IOT!$A:$I,9,0)</f>
        <v>#N/A</v>
      </c>
      <c r="AK120" s="78" t="e">
        <f>VLOOKUP(K120,[1]IOT!$A:$J,10,0)</f>
        <v>#N/A</v>
      </c>
      <c r="AL120" s="78" t="e">
        <f>VLOOKUP(K120,[1]IOT!$A:$K,11,0)</f>
        <v>#N/A</v>
      </c>
      <c r="AM120" s="78"/>
      <c r="AN120" s="78"/>
      <c r="AO120" s="79">
        <f t="shared" si="26"/>
        <v>0</v>
      </c>
      <c r="AP120" s="80">
        <f t="shared" si="27"/>
        <v>0</v>
      </c>
      <c r="AQ120" s="77"/>
      <c r="AR120" s="6" t="str">
        <f t="shared" si="28"/>
        <v/>
      </c>
    </row>
    <row r="121" spans="1:44" s="6" customFormat="1" ht="47.25" customHeight="1" x14ac:dyDescent="0.35">
      <c r="A121" s="71"/>
      <c r="B121" s="68"/>
      <c r="C121" s="25"/>
      <c r="D121" s="25"/>
      <c r="E121" s="67" t="str">
        <f t="shared" si="20"/>
        <v/>
      </c>
      <c r="F121" s="62"/>
      <c r="G121" s="14"/>
      <c r="H121" s="65"/>
      <c r="I121" s="70"/>
      <c r="J121" s="14"/>
      <c r="K121" s="69"/>
      <c r="L121" s="15"/>
      <c r="M121" s="16"/>
      <c r="N121" s="17"/>
      <c r="O121" s="72"/>
      <c r="P121" s="18"/>
      <c r="Q121" s="60"/>
      <c r="R121" s="19"/>
      <c r="S121" s="18"/>
      <c r="T121" s="75"/>
      <c r="U121" s="20"/>
      <c r="V121" s="21"/>
      <c r="W121" s="22"/>
      <c r="Y121" s="78" t="e">
        <f>VLOOKUP(V121,[1]IOT!$A:$B,2,0)</f>
        <v>#N/A</v>
      </c>
      <c r="Z121" s="78">
        <f>IF(ISNA(VLOOKUP(K121,[2]Sheet1!$A:$B,2,0)),0,(VLOOKUP(K121,[2]Sheet1!$A:$B,2,0)))</f>
        <v>0</v>
      </c>
      <c r="AA121" s="78">
        <f t="shared" si="25"/>
        <v>0</v>
      </c>
      <c r="AB121" s="78" t="e">
        <f>VLOOKUP(K121,[1]IOT!$A:$E,5,0)</f>
        <v>#N/A</v>
      </c>
      <c r="AC121" s="78"/>
      <c r="AD121" s="78" t="e">
        <f>VLOOKUP(K121,[1]IOT!$A:$F,6,0)</f>
        <v>#N/A</v>
      </c>
      <c r="AE121" s="78"/>
      <c r="AF121" s="78"/>
      <c r="AG121" s="78"/>
      <c r="AH121" s="78" t="e">
        <f>VLOOKUP(K121,[1]IOT!$A:$G,7,0)</f>
        <v>#N/A</v>
      </c>
      <c r="AI121" s="78" t="e">
        <f>VLOOKUP(K121,[1]IOT!$A:$H,8,0)</f>
        <v>#N/A</v>
      </c>
      <c r="AJ121" s="78" t="e">
        <f>VLOOKUP(K121,[1]IOT!$A:$I,9,0)</f>
        <v>#N/A</v>
      </c>
      <c r="AK121" s="78" t="e">
        <f>VLOOKUP(K121,[1]IOT!$A:$J,10,0)</f>
        <v>#N/A</v>
      </c>
      <c r="AL121" s="78" t="e">
        <f>VLOOKUP(K121,[1]IOT!$A:$K,11,0)</f>
        <v>#N/A</v>
      </c>
      <c r="AM121" s="78"/>
      <c r="AN121" s="78"/>
      <c r="AO121" s="79">
        <f t="shared" si="26"/>
        <v>0</v>
      </c>
      <c r="AP121" s="80">
        <f t="shared" si="27"/>
        <v>0</v>
      </c>
      <c r="AQ121" s="77"/>
      <c r="AR121" s="6" t="str">
        <f t="shared" si="28"/>
        <v/>
      </c>
    </row>
    <row r="122" spans="1:44" s="6" customFormat="1" ht="47.25" customHeight="1" x14ac:dyDescent="0.35">
      <c r="A122" s="71"/>
      <c r="B122" s="68"/>
      <c r="C122" s="25"/>
      <c r="D122" s="25"/>
      <c r="E122" s="67" t="str">
        <f t="shared" si="20"/>
        <v/>
      </c>
      <c r="F122" s="62"/>
      <c r="G122" s="14"/>
      <c r="H122" s="65"/>
      <c r="I122" s="70"/>
      <c r="J122" s="14"/>
      <c r="K122" s="69"/>
      <c r="L122" s="15"/>
      <c r="M122" s="16"/>
      <c r="N122" s="17"/>
      <c r="O122" s="72"/>
      <c r="P122" s="18"/>
      <c r="Q122" s="60"/>
      <c r="R122" s="19"/>
      <c r="S122" s="18"/>
      <c r="T122" s="75"/>
      <c r="U122" s="20"/>
      <c r="V122" s="21"/>
      <c r="W122" s="22"/>
      <c r="Y122" s="78" t="e">
        <f>VLOOKUP(V122,[1]IOT!$A:$B,2,0)</f>
        <v>#N/A</v>
      </c>
      <c r="Z122" s="78">
        <f>IF(ISNA(VLOOKUP(K122,[2]Sheet1!$A:$B,2,0)),0,(VLOOKUP(K122,[2]Sheet1!$A:$B,2,0)))</f>
        <v>0</v>
      </c>
      <c r="AA122" s="78">
        <f t="shared" si="25"/>
        <v>0</v>
      </c>
      <c r="AB122" s="78" t="e">
        <f>VLOOKUP(K122,[1]IOT!$A:$E,5,0)</f>
        <v>#N/A</v>
      </c>
      <c r="AC122" s="78"/>
      <c r="AD122" s="78" t="e">
        <f>VLOOKUP(K122,[1]IOT!$A:$F,6,0)</f>
        <v>#N/A</v>
      </c>
      <c r="AE122" s="78"/>
      <c r="AF122" s="78"/>
      <c r="AG122" s="78"/>
      <c r="AH122" s="78" t="e">
        <f>VLOOKUP(K122,[1]IOT!$A:$G,7,0)</f>
        <v>#N/A</v>
      </c>
      <c r="AI122" s="78" t="e">
        <f>VLOOKUP(K122,[1]IOT!$A:$H,8,0)</f>
        <v>#N/A</v>
      </c>
      <c r="AJ122" s="78" t="e">
        <f>VLOOKUP(K122,[1]IOT!$A:$I,9,0)</f>
        <v>#N/A</v>
      </c>
      <c r="AK122" s="78" t="e">
        <f>VLOOKUP(K122,[1]IOT!$A:$J,10,0)</f>
        <v>#N/A</v>
      </c>
      <c r="AL122" s="78" t="e">
        <f>VLOOKUP(K122,[1]IOT!$A:$K,11,0)</f>
        <v>#N/A</v>
      </c>
      <c r="AM122" s="78"/>
      <c r="AN122" s="78"/>
      <c r="AO122" s="79">
        <f t="shared" si="26"/>
        <v>0</v>
      </c>
      <c r="AP122" s="80">
        <f t="shared" si="27"/>
        <v>0</v>
      </c>
      <c r="AQ122" s="77"/>
      <c r="AR122" s="6" t="str">
        <f t="shared" si="28"/>
        <v/>
      </c>
    </row>
    <row r="123" spans="1:44" s="6" customFormat="1" ht="47.25" customHeight="1" x14ac:dyDescent="0.35">
      <c r="A123" s="71"/>
      <c r="B123" s="68"/>
      <c r="C123" s="25"/>
      <c r="D123" s="25"/>
      <c r="E123" s="67" t="str">
        <f t="shared" si="20"/>
        <v/>
      </c>
      <c r="F123" s="62"/>
      <c r="G123" s="14"/>
      <c r="H123" s="65"/>
      <c r="I123" s="70"/>
      <c r="J123" s="14"/>
      <c r="K123" s="69"/>
      <c r="L123" s="15"/>
      <c r="M123" s="16"/>
      <c r="N123" s="17"/>
      <c r="O123" s="72"/>
      <c r="P123" s="18"/>
      <c r="Q123" s="60"/>
      <c r="R123" s="19"/>
      <c r="S123" s="18"/>
      <c r="T123" s="75"/>
      <c r="U123" s="20"/>
      <c r="V123" s="21"/>
      <c r="W123" s="22"/>
      <c r="Y123" s="78" t="e">
        <f>VLOOKUP(V123,[1]IOT!$A:$B,2,0)</f>
        <v>#N/A</v>
      </c>
      <c r="Z123" s="78">
        <f>IF(ISNA(VLOOKUP(K123,[2]Sheet1!$A:$B,2,0)),0,(VLOOKUP(K123,[2]Sheet1!$A:$B,2,0)))</f>
        <v>0</v>
      </c>
      <c r="AA123" s="78">
        <f t="shared" si="25"/>
        <v>0</v>
      </c>
      <c r="AB123" s="78" t="e">
        <f>VLOOKUP(K123,[1]IOT!$A:$E,5,0)</f>
        <v>#N/A</v>
      </c>
      <c r="AC123" s="78"/>
      <c r="AD123" s="78" t="e">
        <f>VLOOKUP(K123,[1]IOT!$A:$F,6,0)</f>
        <v>#N/A</v>
      </c>
      <c r="AE123" s="78"/>
      <c r="AF123" s="78"/>
      <c r="AG123" s="78"/>
      <c r="AH123" s="78" t="e">
        <f>VLOOKUP(K123,[1]IOT!$A:$G,7,0)</f>
        <v>#N/A</v>
      </c>
      <c r="AI123" s="78" t="e">
        <f>VLOOKUP(K123,[1]IOT!$A:$H,8,0)</f>
        <v>#N/A</v>
      </c>
      <c r="AJ123" s="78" t="e">
        <f>VLOOKUP(K123,[1]IOT!$A:$I,9,0)</f>
        <v>#N/A</v>
      </c>
      <c r="AK123" s="78" t="e">
        <f>VLOOKUP(K123,[1]IOT!$A:$J,10,0)</f>
        <v>#N/A</v>
      </c>
      <c r="AL123" s="78" t="e">
        <f>VLOOKUP(K123,[1]IOT!$A:$K,11,0)</f>
        <v>#N/A</v>
      </c>
      <c r="AM123" s="78"/>
      <c r="AN123" s="78"/>
      <c r="AO123" s="79">
        <f t="shared" si="26"/>
        <v>0</v>
      </c>
      <c r="AP123" s="80">
        <f t="shared" si="27"/>
        <v>0</v>
      </c>
      <c r="AQ123" s="77"/>
      <c r="AR123" s="6" t="str">
        <f t="shared" si="28"/>
        <v/>
      </c>
    </row>
    <row r="124" spans="1:44" s="6" customFormat="1" ht="47.25" customHeight="1" x14ac:dyDescent="0.35">
      <c r="A124" s="71"/>
      <c r="B124" s="68"/>
      <c r="C124" s="25"/>
      <c r="D124" s="25"/>
      <c r="E124" s="67" t="str">
        <f t="shared" si="20"/>
        <v/>
      </c>
      <c r="F124" s="62"/>
      <c r="G124" s="14"/>
      <c r="H124" s="65"/>
      <c r="I124" s="70"/>
      <c r="J124" s="14"/>
      <c r="K124" s="69"/>
      <c r="L124" s="15"/>
      <c r="M124" s="16"/>
      <c r="N124" s="17"/>
      <c r="O124" s="72"/>
      <c r="P124" s="18"/>
      <c r="Q124" s="60"/>
      <c r="R124" s="19"/>
      <c r="S124" s="18"/>
      <c r="T124" s="75"/>
      <c r="U124" s="20"/>
      <c r="V124" s="21"/>
      <c r="W124" s="22"/>
      <c r="Y124" s="78" t="e">
        <f>VLOOKUP(V124,[1]IOT!$A:$B,2,0)</f>
        <v>#N/A</v>
      </c>
      <c r="Z124" s="78">
        <f>IF(ISNA(VLOOKUP(K124,[2]Sheet1!$A:$B,2,0)),0,(VLOOKUP(K124,[2]Sheet1!$A:$B,2,0)))</f>
        <v>0</v>
      </c>
      <c r="AA124" s="78">
        <f t="shared" si="25"/>
        <v>0</v>
      </c>
      <c r="AB124" s="78" t="e">
        <f>VLOOKUP(K124,[1]IOT!$A:$E,5,0)</f>
        <v>#N/A</v>
      </c>
      <c r="AC124" s="78"/>
      <c r="AD124" s="78" t="e">
        <f>VLOOKUP(K124,[1]IOT!$A:$F,6,0)</f>
        <v>#N/A</v>
      </c>
      <c r="AE124" s="78"/>
      <c r="AF124" s="78"/>
      <c r="AG124" s="78"/>
      <c r="AH124" s="78" t="e">
        <f>VLOOKUP(K124,[1]IOT!$A:$G,7,0)</f>
        <v>#N/A</v>
      </c>
      <c r="AI124" s="78" t="e">
        <f>VLOOKUP(K124,[1]IOT!$A:$H,8,0)</f>
        <v>#N/A</v>
      </c>
      <c r="AJ124" s="78" t="e">
        <f>VLOOKUP(K124,[1]IOT!$A:$I,9,0)</f>
        <v>#N/A</v>
      </c>
      <c r="AK124" s="78" t="e">
        <f>VLOOKUP(K124,[1]IOT!$A:$J,10,0)</f>
        <v>#N/A</v>
      </c>
      <c r="AL124" s="78" t="e">
        <f>VLOOKUP(K124,[1]IOT!$A:$K,11,0)</f>
        <v>#N/A</v>
      </c>
      <c r="AM124" s="78"/>
      <c r="AN124" s="78"/>
      <c r="AO124" s="79">
        <f t="shared" si="26"/>
        <v>0</v>
      </c>
      <c r="AP124" s="80">
        <f t="shared" si="27"/>
        <v>0</v>
      </c>
      <c r="AQ124" s="77"/>
      <c r="AR124" s="6" t="str">
        <f t="shared" si="28"/>
        <v/>
      </c>
    </row>
    <row r="125" spans="1:44" s="6" customFormat="1" ht="47.25" customHeight="1" x14ac:dyDescent="0.35">
      <c r="A125" s="71"/>
      <c r="B125" s="68"/>
      <c r="C125" s="25"/>
      <c r="D125" s="25"/>
      <c r="E125" s="67" t="str">
        <f t="shared" si="20"/>
        <v/>
      </c>
      <c r="F125" s="62"/>
      <c r="G125" s="14"/>
      <c r="H125" s="65"/>
      <c r="I125" s="70"/>
      <c r="J125" s="14"/>
      <c r="K125" s="69"/>
      <c r="L125" s="15"/>
      <c r="M125" s="16"/>
      <c r="N125" s="17"/>
      <c r="O125" s="72"/>
      <c r="P125" s="18"/>
      <c r="Q125" s="60"/>
      <c r="R125" s="19"/>
      <c r="S125" s="18"/>
      <c r="T125" s="75"/>
      <c r="U125" s="20"/>
      <c r="V125" s="21"/>
      <c r="W125" s="22"/>
      <c r="Y125" s="78" t="e">
        <f>VLOOKUP(V125,[1]IOT!$A:$B,2,0)</f>
        <v>#N/A</v>
      </c>
      <c r="Z125" s="78">
        <f>IF(ISNA(VLOOKUP(K125,[2]Sheet1!$A:$B,2,0)),0,(VLOOKUP(K125,[2]Sheet1!$A:$B,2,0)))</f>
        <v>0</v>
      </c>
      <c r="AA125" s="78">
        <f t="shared" si="25"/>
        <v>0</v>
      </c>
      <c r="AB125" s="78" t="e">
        <f>VLOOKUP(K125,[1]IOT!$A:$E,5,0)</f>
        <v>#N/A</v>
      </c>
      <c r="AC125" s="78"/>
      <c r="AD125" s="78" t="e">
        <f>VLOOKUP(K125,[1]IOT!$A:$F,6,0)</f>
        <v>#N/A</v>
      </c>
      <c r="AE125" s="78"/>
      <c r="AF125" s="78"/>
      <c r="AG125" s="78"/>
      <c r="AH125" s="78" t="e">
        <f>VLOOKUP(K125,[1]IOT!$A:$G,7,0)</f>
        <v>#N/A</v>
      </c>
      <c r="AI125" s="78" t="e">
        <f>VLOOKUP(K125,[1]IOT!$A:$H,8,0)</f>
        <v>#N/A</v>
      </c>
      <c r="AJ125" s="78" t="e">
        <f>VLOOKUP(K125,[1]IOT!$A:$I,9,0)</f>
        <v>#N/A</v>
      </c>
      <c r="AK125" s="78" t="e">
        <f>VLOOKUP(K125,[1]IOT!$A:$J,10,0)</f>
        <v>#N/A</v>
      </c>
      <c r="AL125" s="78" t="e">
        <f>VLOOKUP(K125,[1]IOT!$A:$K,11,0)</f>
        <v>#N/A</v>
      </c>
      <c r="AM125" s="78"/>
      <c r="AN125" s="78"/>
      <c r="AO125" s="79">
        <f t="shared" si="26"/>
        <v>0</v>
      </c>
      <c r="AP125" s="80">
        <f t="shared" si="27"/>
        <v>0</v>
      </c>
      <c r="AQ125" s="77"/>
      <c r="AR125" s="6" t="str">
        <f t="shared" si="28"/>
        <v/>
      </c>
    </row>
    <row r="126" spans="1:44" s="6" customFormat="1" ht="47.25" customHeight="1" x14ac:dyDescent="0.35">
      <c r="A126" s="71"/>
      <c r="B126" s="68"/>
      <c r="C126" s="25"/>
      <c r="D126" s="25"/>
      <c r="E126" s="67" t="str">
        <f t="shared" si="20"/>
        <v/>
      </c>
      <c r="F126" s="62"/>
      <c r="G126" s="14"/>
      <c r="H126" s="65"/>
      <c r="I126" s="70"/>
      <c r="J126" s="14"/>
      <c r="K126" s="69"/>
      <c r="L126" s="15"/>
      <c r="M126" s="16"/>
      <c r="N126" s="17"/>
      <c r="O126" s="72"/>
      <c r="P126" s="18"/>
      <c r="Q126" s="60"/>
      <c r="R126" s="19"/>
      <c r="S126" s="18"/>
      <c r="T126" s="75"/>
      <c r="U126" s="20"/>
      <c r="V126" s="21"/>
      <c r="W126" s="22"/>
      <c r="Y126" s="78" t="e">
        <f>VLOOKUP(V126,[1]IOT!$A:$B,2,0)</f>
        <v>#N/A</v>
      </c>
      <c r="Z126" s="78">
        <f>IF(ISNA(VLOOKUP(K126,[2]Sheet1!$A:$B,2,0)),0,(VLOOKUP(K126,[2]Sheet1!$A:$B,2,0)))</f>
        <v>0</v>
      </c>
      <c r="AA126" s="78">
        <f t="shared" si="25"/>
        <v>0</v>
      </c>
      <c r="AB126" s="78" t="e">
        <f>VLOOKUP(K126,[1]IOT!$A:$E,5,0)</f>
        <v>#N/A</v>
      </c>
      <c r="AC126" s="78"/>
      <c r="AD126" s="78" t="e">
        <f>VLOOKUP(K126,[1]IOT!$A:$F,6,0)</f>
        <v>#N/A</v>
      </c>
      <c r="AE126" s="78"/>
      <c r="AF126" s="78"/>
      <c r="AG126" s="78"/>
      <c r="AH126" s="78" t="e">
        <f>VLOOKUP(K126,[1]IOT!$A:$G,7,0)</f>
        <v>#N/A</v>
      </c>
      <c r="AI126" s="78" t="e">
        <f>VLOOKUP(K126,[1]IOT!$A:$H,8,0)</f>
        <v>#N/A</v>
      </c>
      <c r="AJ126" s="78" t="e">
        <f>VLOOKUP(K126,[1]IOT!$A:$I,9,0)</f>
        <v>#N/A</v>
      </c>
      <c r="AK126" s="78" t="e">
        <f>VLOOKUP(K126,[1]IOT!$A:$J,10,0)</f>
        <v>#N/A</v>
      </c>
      <c r="AL126" s="78" t="e">
        <f>VLOOKUP(K126,[1]IOT!$A:$K,11,0)</f>
        <v>#N/A</v>
      </c>
      <c r="AM126" s="78"/>
      <c r="AN126" s="78"/>
      <c r="AO126" s="79">
        <f t="shared" si="26"/>
        <v>0</v>
      </c>
      <c r="AP126" s="80">
        <f t="shared" si="27"/>
        <v>0</v>
      </c>
      <c r="AQ126" s="77"/>
      <c r="AR126" s="6" t="str">
        <f t="shared" si="28"/>
        <v/>
      </c>
    </row>
    <row r="127" spans="1:44" s="6" customFormat="1" ht="47.25" customHeight="1" x14ac:dyDescent="0.35">
      <c r="A127" s="71"/>
      <c r="B127" s="68"/>
      <c r="C127" s="25"/>
      <c r="D127" s="25"/>
      <c r="E127" s="67" t="str">
        <f t="shared" si="20"/>
        <v/>
      </c>
      <c r="F127" s="62"/>
      <c r="G127" s="14"/>
      <c r="H127" s="65"/>
      <c r="I127" s="70"/>
      <c r="J127" s="14"/>
      <c r="K127" s="69"/>
      <c r="L127" s="15"/>
      <c r="M127" s="16"/>
      <c r="N127" s="17"/>
      <c r="O127" s="72"/>
      <c r="P127" s="18"/>
      <c r="Q127" s="60"/>
      <c r="R127" s="19"/>
      <c r="S127" s="18"/>
      <c r="T127" s="75"/>
      <c r="U127" s="20"/>
      <c r="V127" s="21"/>
      <c r="W127" s="22"/>
      <c r="Y127" s="78" t="e">
        <f>VLOOKUP(V127,[1]IOT!$A:$B,2,0)</f>
        <v>#N/A</v>
      </c>
      <c r="Z127" s="78">
        <f>IF(ISNA(VLOOKUP(K127,[2]Sheet1!$A:$B,2,0)),0,(VLOOKUP(K127,[2]Sheet1!$A:$B,2,0)))</f>
        <v>0</v>
      </c>
      <c r="AA127" s="78">
        <f t="shared" si="25"/>
        <v>0</v>
      </c>
      <c r="AB127" s="78" t="e">
        <f>VLOOKUP(K127,[1]IOT!$A:$E,5,0)</f>
        <v>#N/A</v>
      </c>
      <c r="AC127" s="78"/>
      <c r="AD127" s="78" t="e">
        <f>VLOOKUP(K127,[1]IOT!$A:$F,6,0)</f>
        <v>#N/A</v>
      </c>
      <c r="AE127" s="78"/>
      <c r="AF127" s="78"/>
      <c r="AG127" s="78"/>
      <c r="AH127" s="78" t="e">
        <f>VLOOKUP(K127,[1]IOT!$A:$G,7,0)</f>
        <v>#N/A</v>
      </c>
      <c r="AI127" s="78" t="e">
        <f>VLOOKUP(K127,[1]IOT!$A:$H,8,0)</f>
        <v>#N/A</v>
      </c>
      <c r="AJ127" s="78" t="e">
        <f>VLOOKUP(K127,[1]IOT!$A:$I,9,0)</f>
        <v>#N/A</v>
      </c>
      <c r="AK127" s="78" t="e">
        <f>VLOOKUP(K127,[1]IOT!$A:$J,10,0)</f>
        <v>#N/A</v>
      </c>
      <c r="AL127" s="78" t="e">
        <f>VLOOKUP(K127,[1]IOT!$A:$K,11,0)</f>
        <v>#N/A</v>
      </c>
      <c r="AM127" s="78"/>
      <c r="AN127" s="78"/>
      <c r="AO127" s="79">
        <f t="shared" si="26"/>
        <v>0</v>
      </c>
      <c r="AP127" s="80">
        <f t="shared" si="27"/>
        <v>0</v>
      </c>
      <c r="AQ127" s="77"/>
      <c r="AR127" s="6" t="str">
        <f t="shared" si="28"/>
        <v/>
      </c>
    </row>
    <row r="128" spans="1:44" s="6" customFormat="1" ht="47.25" customHeight="1" x14ac:dyDescent="0.35">
      <c r="A128" s="71"/>
      <c r="B128" s="68"/>
      <c r="C128" s="25"/>
      <c r="D128" s="25"/>
      <c r="E128" s="67" t="str">
        <f t="shared" si="20"/>
        <v/>
      </c>
      <c r="F128" s="62"/>
      <c r="G128" s="14"/>
      <c r="H128" s="65"/>
      <c r="I128" s="70"/>
      <c r="J128" s="14"/>
      <c r="K128" s="69"/>
      <c r="L128" s="15"/>
      <c r="M128" s="16"/>
      <c r="N128" s="17"/>
      <c r="O128" s="72"/>
      <c r="P128" s="18"/>
      <c r="Q128" s="60"/>
      <c r="R128" s="19"/>
      <c r="S128" s="18"/>
      <c r="T128" s="75"/>
      <c r="U128" s="20"/>
      <c r="V128" s="21"/>
      <c r="W128" s="22"/>
      <c r="Y128" s="78" t="e">
        <f>VLOOKUP(V128,[1]IOT!$A:$B,2,0)</f>
        <v>#N/A</v>
      </c>
      <c r="Z128" s="78">
        <f>IF(ISNA(VLOOKUP(K128,[2]Sheet1!$A:$B,2,0)),0,(VLOOKUP(K128,[2]Sheet1!$A:$B,2,0)))</f>
        <v>0</v>
      </c>
      <c r="AA128" s="78">
        <f t="shared" si="25"/>
        <v>0</v>
      </c>
      <c r="AB128" s="78" t="e">
        <f>VLOOKUP(K128,[1]IOT!$A:$E,5,0)</f>
        <v>#N/A</v>
      </c>
      <c r="AC128" s="78"/>
      <c r="AD128" s="78" t="e">
        <f>VLOOKUP(K128,[1]IOT!$A:$F,6,0)</f>
        <v>#N/A</v>
      </c>
      <c r="AE128" s="78"/>
      <c r="AF128" s="78"/>
      <c r="AG128" s="78"/>
      <c r="AH128" s="78" t="e">
        <f>VLOOKUP(K128,[1]IOT!$A:$G,7,0)</f>
        <v>#N/A</v>
      </c>
      <c r="AI128" s="78" t="e">
        <f>VLOOKUP(K128,[1]IOT!$A:$H,8,0)</f>
        <v>#N/A</v>
      </c>
      <c r="AJ128" s="78" t="e">
        <f>VLOOKUP(K128,[1]IOT!$A:$I,9,0)</f>
        <v>#N/A</v>
      </c>
      <c r="AK128" s="78" t="e">
        <f>VLOOKUP(K128,[1]IOT!$A:$J,10,0)</f>
        <v>#N/A</v>
      </c>
      <c r="AL128" s="78" t="e">
        <f>VLOOKUP(K128,[1]IOT!$A:$K,11,0)</f>
        <v>#N/A</v>
      </c>
      <c r="AM128" s="78"/>
      <c r="AN128" s="78"/>
      <c r="AO128" s="79">
        <f t="shared" si="26"/>
        <v>0</v>
      </c>
      <c r="AP128" s="80">
        <f t="shared" si="27"/>
        <v>0</v>
      </c>
      <c r="AQ128" s="77"/>
      <c r="AR128" s="6" t="str">
        <f t="shared" si="28"/>
        <v/>
      </c>
    </row>
    <row r="129" spans="1:44" s="6" customFormat="1" ht="47.25" customHeight="1" x14ac:dyDescent="0.35">
      <c r="A129" s="71"/>
      <c r="B129" s="68"/>
      <c r="C129" s="25"/>
      <c r="D129" s="25"/>
      <c r="E129" s="67" t="str">
        <f t="shared" si="20"/>
        <v/>
      </c>
      <c r="F129" s="62"/>
      <c r="G129" s="14"/>
      <c r="H129" s="65"/>
      <c r="I129" s="70"/>
      <c r="J129" s="14"/>
      <c r="K129" s="69"/>
      <c r="L129" s="15"/>
      <c r="M129" s="16"/>
      <c r="N129" s="17"/>
      <c r="O129" s="72"/>
      <c r="P129" s="18"/>
      <c r="Q129" s="60"/>
      <c r="R129" s="19"/>
      <c r="S129" s="18"/>
      <c r="T129" s="75"/>
      <c r="U129" s="20"/>
      <c r="V129" s="21"/>
      <c r="W129" s="22"/>
      <c r="Y129" s="78" t="e">
        <f>VLOOKUP(V129,[1]IOT!$A:$B,2,0)</f>
        <v>#N/A</v>
      </c>
      <c r="Z129" s="78">
        <f>IF(ISNA(VLOOKUP(K129,[2]Sheet1!$A:$B,2,0)),0,(VLOOKUP(K129,[2]Sheet1!$A:$B,2,0)))</f>
        <v>0</v>
      </c>
      <c r="AA129" s="78">
        <f t="shared" si="25"/>
        <v>0</v>
      </c>
      <c r="AB129" s="78" t="e">
        <f>VLOOKUP(K129,[1]IOT!$A:$E,5,0)</f>
        <v>#N/A</v>
      </c>
      <c r="AC129" s="78"/>
      <c r="AD129" s="78" t="e">
        <f>VLOOKUP(K129,[1]IOT!$A:$F,6,0)</f>
        <v>#N/A</v>
      </c>
      <c r="AE129" s="78"/>
      <c r="AF129" s="78"/>
      <c r="AG129" s="78"/>
      <c r="AH129" s="78" t="e">
        <f>VLOOKUP(K129,[1]IOT!$A:$G,7,0)</f>
        <v>#N/A</v>
      </c>
      <c r="AI129" s="78" t="e">
        <f>VLOOKUP(K129,[1]IOT!$A:$H,8,0)</f>
        <v>#N/A</v>
      </c>
      <c r="AJ129" s="78" t="e">
        <f>VLOOKUP(K129,[1]IOT!$A:$I,9,0)</f>
        <v>#N/A</v>
      </c>
      <c r="AK129" s="78" t="e">
        <f>VLOOKUP(K129,[1]IOT!$A:$J,10,0)</f>
        <v>#N/A</v>
      </c>
      <c r="AL129" s="78" t="e">
        <f>VLOOKUP(K129,[1]IOT!$A:$K,11,0)</f>
        <v>#N/A</v>
      </c>
      <c r="AM129" s="78"/>
      <c r="AN129" s="78"/>
      <c r="AO129" s="79">
        <f t="shared" si="26"/>
        <v>0</v>
      </c>
      <c r="AP129" s="80">
        <f t="shared" si="27"/>
        <v>0</v>
      </c>
      <c r="AQ129" s="77"/>
      <c r="AR129" s="6" t="str">
        <f t="shared" si="28"/>
        <v/>
      </c>
    </row>
    <row r="130" spans="1:44" s="6" customFormat="1" ht="47.25" customHeight="1" x14ac:dyDescent="0.35">
      <c r="A130" s="71"/>
      <c r="B130" s="68"/>
      <c r="C130" s="25"/>
      <c r="D130" s="25"/>
      <c r="E130" s="67" t="str">
        <f t="shared" si="20"/>
        <v/>
      </c>
      <c r="F130" s="62"/>
      <c r="G130" s="14"/>
      <c r="H130" s="65"/>
      <c r="I130" s="70"/>
      <c r="J130" s="14"/>
      <c r="K130" s="69"/>
      <c r="L130" s="15"/>
      <c r="M130" s="16"/>
      <c r="N130" s="17"/>
      <c r="O130" s="72"/>
      <c r="P130" s="18"/>
      <c r="Q130" s="60"/>
      <c r="R130" s="19"/>
      <c r="S130" s="18"/>
      <c r="T130" s="75"/>
      <c r="U130" s="20"/>
      <c r="V130" s="21"/>
      <c r="W130" s="22"/>
      <c r="Y130" s="78" t="e">
        <f>VLOOKUP(V130,[1]IOT!$A:$B,2,0)</f>
        <v>#N/A</v>
      </c>
      <c r="Z130" s="78">
        <f>IF(ISNA(VLOOKUP(K130,[2]Sheet1!$A:$B,2,0)),0,(VLOOKUP(K130,[2]Sheet1!$A:$B,2,0)))</f>
        <v>0</v>
      </c>
      <c r="AA130" s="78">
        <f t="shared" si="25"/>
        <v>0</v>
      </c>
      <c r="AB130" s="78" t="e">
        <f>VLOOKUP(K130,[1]IOT!$A:$E,5,0)</f>
        <v>#N/A</v>
      </c>
      <c r="AC130" s="78"/>
      <c r="AD130" s="78" t="e">
        <f>VLOOKUP(K130,[1]IOT!$A:$F,6,0)</f>
        <v>#N/A</v>
      </c>
      <c r="AE130" s="78"/>
      <c r="AF130" s="78"/>
      <c r="AG130" s="78"/>
      <c r="AH130" s="78" t="e">
        <f>VLOOKUP(K130,[1]IOT!$A:$G,7,0)</f>
        <v>#N/A</v>
      </c>
      <c r="AI130" s="78" t="e">
        <f>VLOOKUP(K130,[1]IOT!$A:$H,8,0)</f>
        <v>#N/A</v>
      </c>
      <c r="AJ130" s="78" t="e">
        <f>VLOOKUP(K130,[1]IOT!$A:$I,9,0)</f>
        <v>#N/A</v>
      </c>
      <c r="AK130" s="78" t="e">
        <f>VLOOKUP(K130,[1]IOT!$A:$J,10,0)</f>
        <v>#N/A</v>
      </c>
      <c r="AL130" s="78" t="e">
        <f>VLOOKUP(K130,[1]IOT!$A:$K,11,0)</f>
        <v>#N/A</v>
      </c>
      <c r="AM130" s="78"/>
      <c r="AN130" s="78"/>
      <c r="AO130" s="79">
        <f t="shared" si="26"/>
        <v>0</v>
      </c>
      <c r="AP130" s="80">
        <f t="shared" si="27"/>
        <v>0</v>
      </c>
      <c r="AQ130" s="77"/>
      <c r="AR130" s="6" t="str">
        <f t="shared" si="28"/>
        <v/>
      </c>
    </row>
    <row r="131" spans="1:44" s="6" customFormat="1" ht="47.25" customHeight="1" x14ac:dyDescent="0.35">
      <c r="A131" s="71"/>
      <c r="B131" s="68"/>
      <c r="C131" s="25"/>
      <c r="D131" s="25"/>
      <c r="E131" s="67" t="str">
        <f t="shared" si="20"/>
        <v/>
      </c>
      <c r="F131" s="62"/>
      <c r="G131" s="14"/>
      <c r="H131" s="65"/>
      <c r="I131" s="70"/>
      <c r="J131" s="14"/>
      <c r="K131" s="69"/>
      <c r="L131" s="15"/>
      <c r="M131" s="16"/>
      <c r="N131" s="17"/>
      <c r="O131" s="72"/>
      <c r="P131" s="18"/>
      <c r="Q131" s="60"/>
      <c r="R131" s="19"/>
      <c r="S131" s="18"/>
      <c r="T131" s="75"/>
      <c r="U131" s="20"/>
      <c r="V131" s="21"/>
      <c r="W131" s="22"/>
      <c r="Y131" s="78" t="e">
        <f>VLOOKUP(V131,[1]IOT!$A:$B,2,0)</f>
        <v>#N/A</v>
      </c>
      <c r="Z131" s="78">
        <f>IF(ISNA(VLOOKUP(K131,[2]Sheet1!$A:$B,2,0)),0,(VLOOKUP(K131,[2]Sheet1!$A:$B,2,0)))</f>
        <v>0</v>
      </c>
      <c r="AA131" s="78">
        <f t="shared" si="25"/>
        <v>0</v>
      </c>
      <c r="AB131" s="78" t="e">
        <f>VLOOKUP(K131,[1]IOT!$A:$E,5,0)</f>
        <v>#N/A</v>
      </c>
      <c r="AC131" s="78"/>
      <c r="AD131" s="78" t="e">
        <f>VLOOKUP(K131,[1]IOT!$A:$F,6,0)</f>
        <v>#N/A</v>
      </c>
      <c r="AE131" s="78"/>
      <c r="AF131" s="78"/>
      <c r="AG131" s="78"/>
      <c r="AH131" s="78" t="e">
        <f>VLOOKUP(K131,[1]IOT!$A:$G,7,0)</f>
        <v>#N/A</v>
      </c>
      <c r="AI131" s="78" t="e">
        <f>VLOOKUP(K131,[1]IOT!$A:$H,8,0)</f>
        <v>#N/A</v>
      </c>
      <c r="AJ131" s="78" t="e">
        <f>VLOOKUP(K131,[1]IOT!$A:$I,9,0)</f>
        <v>#N/A</v>
      </c>
      <c r="AK131" s="78" t="e">
        <f>VLOOKUP(K131,[1]IOT!$A:$J,10,0)</f>
        <v>#N/A</v>
      </c>
      <c r="AL131" s="78" t="e">
        <f>VLOOKUP(K131,[1]IOT!$A:$K,11,0)</f>
        <v>#N/A</v>
      </c>
      <c r="AM131" s="78"/>
      <c r="AN131" s="78"/>
      <c r="AO131" s="79">
        <f t="shared" si="26"/>
        <v>0</v>
      </c>
      <c r="AP131" s="80">
        <f t="shared" si="27"/>
        <v>0</v>
      </c>
      <c r="AQ131" s="77"/>
      <c r="AR131" s="6" t="str">
        <f t="shared" si="28"/>
        <v/>
      </c>
    </row>
    <row r="132" spans="1:44" s="6" customFormat="1" ht="47.25" customHeight="1" x14ac:dyDescent="0.35">
      <c r="A132" s="71"/>
      <c r="B132" s="68"/>
      <c r="C132" s="25"/>
      <c r="D132" s="25"/>
      <c r="E132" s="67" t="str">
        <f t="shared" si="20"/>
        <v/>
      </c>
      <c r="F132" s="62"/>
      <c r="G132" s="14"/>
      <c r="H132" s="65"/>
      <c r="I132" s="70"/>
      <c r="J132" s="14"/>
      <c r="K132" s="69"/>
      <c r="L132" s="15"/>
      <c r="M132" s="16"/>
      <c r="N132" s="17"/>
      <c r="O132" s="72"/>
      <c r="P132" s="18"/>
      <c r="Q132" s="60"/>
      <c r="R132" s="19"/>
      <c r="S132" s="18"/>
      <c r="T132" s="75"/>
      <c r="U132" s="20"/>
      <c r="V132" s="21"/>
      <c r="W132" s="22"/>
      <c r="Y132" s="78" t="e">
        <f>VLOOKUP(V132,[1]IOT!$A:$B,2,0)</f>
        <v>#N/A</v>
      </c>
      <c r="Z132" s="78">
        <f>IF(ISNA(VLOOKUP(K132,[2]Sheet1!$A:$B,2,0)),0,(VLOOKUP(K132,[2]Sheet1!$A:$B,2,0)))</f>
        <v>0</v>
      </c>
      <c r="AA132" s="78">
        <f t="shared" si="25"/>
        <v>0</v>
      </c>
      <c r="AB132" s="78" t="e">
        <f>VLOOKUP(K132,[1]IOT!$A:$E,5,0)</f>
        <v>#N/A</v>
      </c>
      <c r="AC132" s="78"/>
      <c r="AD132" s="78" t="e">
        <f>VLOOKUP(K132,[1]IOT!$A:$F,6,0)</f>
        <v>#N/A</v>
      </c>
      <c r="AE132" s="78"/>
      <c r="AF132" s="78"/>
      <c r="AG132" s="78"/>
      <c r="AH132" s="78" t="e">
        <f>VLOOKUP(K132,[1]IOT!$A:$G,7,0)</f>
        <v>#N/A</v>
      </c>
      <c r="AI132" s="78" t="e">
        <f>VLOOKUP(K132,[1]IOT!$A:$H,8,0)</f>
        <v>#N/A</v>
      </c>
      <c r="AJ132" s="78" t="e">
        <f>VLOOKUP(K132,[1]IOT!$A:$I,9,0)</f>
        <v>#N/A</v>
      </c>
      <c r="AK132" s="78" t="e">
        <f>VLOOKUP(K132,[1]IOT!$A:$J,10,0)</f>
        <v>#N/A</v>
      </c>
      <c r="AL132" s="78" t="e">
        <f>VLOOKUP(K132,[1]IOT!$A:$K,11,0)</f>
        <v>#N/A</v>
      </c>
      <c r="AM132" s="78"/>
      <c r="AN132" s="78"/>
      <c r="AO132" s="79">
        <f t="shared" si="26"/>
        <v>0</v>
      </c>
      <c r="AP132" s="80">
        <f t="shared" si="27"/>
        <v>0</v>
      </c>
      <c r="AQ132" s="77"/>
      <c r="AR132" s="6" t="str">
        <f t="shared" si="28"/>
        <v/>
      </c>
    </row>
    <row r="133" spans="1:44" s="6" customFormat="1" ht="47.25" customHeight="1" x14ac:dyDescent="0.35">
      <c r="A133" s="71"/>
      <c r="B133" s="68"/>
      <c r="C133" s="25"/>
      <c r="D133" s="25"/>
      <c r="E133" s="67" t="str">
        <f t="shared" si="20"/>
        <v/>
      </c>
      <c r="F133" s="62"/>
      <c r="G133" s="14"/>
      <c r="H133" s="65"/>
      <c r="I133" s="70"/>
      <c r="J133" s="14"/>
      <c r="K133" s="69"/>
      <c r="L133" s="15"/>
      <c r="M133" s="16"/>
      <c r="N133" s="17"/>
      <c r="O133" s="72"/>
      <c r="P133" s="18"/>
      <c r="Q133" s="60"/>
      <c r="R133" s="19"/>
      <c r="S133" s="18"/>
      <c r="T133" s="75"/>
      <c r="U133" s="20"/>
      <c r="V133" s="21"/>
      <c r="W133" s="22"/>
      <c r="Y133" s="78" t="e">
        <f>VLOOKUP(V133,[1]IOT!$A:$B,2,0)</f>
        <v>#N/A</v>
      </c>
      <c r="Z133" s="78">
        <f>IF(ISNA(VLOOKUP(K133,[2]Sheet1!$A:$B,2,0)),0,(VLOOKUP(K133,[2]Sheet1!$A:$B,2,0)))</f>
        <v>0</v>
      </c>
      <c r="AA133" s="78">
        <f t="shared" si="25"/>
        <v>0</v>
      </c>
      <c r="AB133" s="78" t="e">
        <f>VLOOKUP(K133,[1]IOT!$A:$E,5,0)</f>
        <v>#N/A</v>
      </c>
      <c r="AC133" s="78"/>
      <c r="AD133" s="78" t="e">
        <f>VLOOKUP(K133,[1]IOT!$A:$F,6,0)</f>
        <v>#N/A</v>
      </c>
      <c r="AE133" s="78"/>
      <c r="AF133" s="78"/>
      <c r="AG133" s="78"/>
      <c r="AH133" s="78" t="e">
        <f>VLOOKUP(K133,[1]IOT!$A:$G,7,0)</f>
        <v>#N/A</v>
      </c>
      <c r="AI133" s="78" t="e">
        <f>VLOOKUP(K133,[1]IOT!$A:$H,8,0)</f>
        <v>#N/A</v>
      </c>
      <c r="AJ133" s="78" t="e">
        <f>VLOOKUP(K133,[1]IOT!$A:$I,9,0)</f>
        <v>#N/A</v>
      </c>
      <c r="AK133" s="78" t="e">
        <f>VLOOKUP(K133,[1]IOT!$A:$J,10,0)</f>
        <v>#N/A</v>
      </c>
      <c r="AL133" s="78" t="e">
        <f>VLOOKUP(K133,[1]IOT!$A:$K,11,0)</f>
        <v>#N/A</v>
      </c>
      <c r="AM133" s="78"/>
      <c r="AN133" s="78"/>
      <c r="AO133" s="79">
        <f t="shared" si="26"/>
        <v>0</v>
      </c>
      <c r="AP133" s="80">
        <f t="shared" si="27"/>
        <v>0</v>
      </c>
      <c r="AQ133" s="77"/>
      <c r="AR133" s="6" t="str">
        <f t="shared" si="28"/>
        <v/>
      </c>
    </row>
    <row r="134" spans="1:44" s="6" customFormat="1" ht="47.25" customHeight="1" x14ac:dyDescent="0.35">
      <c r="A134" s="71"/>
      <c r="B134" s="68"/>
      <c r="C134" s="25"/>
      <c r="D134" s="25"/>
      <c r="E134" s="67" t="str">
        <f t="shared" si="20"/>
        <v/>
      </c>
      <c r="F134" s="62"/>
      <c r="G134" s="14"/>
      <c r="H134" s="65"/>
      <c r="I134" s="70"/>
      <c r="J134" s="14"/>
      <c r="K134" s="69"/>
      <c r="L134" s="15"/>
      <c r="M134" s="16"/>
      <c r="N134" s="17"/>
      <c r="O134" s="72"/>
      <c r="P134" s="18"/>
      <c r="Q134" s="60"/>
      <c r="R134" s="19"/>
      <c r="S134" s="18"/>
      <c r="T134" s="75"/>
      <c r="U134" s="20"/>
      <c r="V134" s="21"/>
      <c r="W134" s="22"/>
      <c r="Y134" s="78" t="e">
        <f>VLOOKUP(V134,[1]IOT!$A:$B,2,0)</f>
        <v>#N/A</v>
      </c>
      <c r="Z134" s="78">
        <f>IF(ISNA(VLOOKUP(K134,[2]Sheet1!$A:$B,2,0)),0,(VLOOKUP(K134,[2]Sheet1!$A:$B,2,0)))</f>
        <v>0</v>
      </c>
      <c r="AA134" s="78">
        <f t="shared" si="25"/>
        <v>0</v>
      </c>
      <c r="AB134" s="78" t="e">
        <f>VLOOKUP(K134,[1]IOT!$A:$E,5,0)</f>
        <v>#N/A</v>
      </c>
      <c r="AC134" s="78"/>
      <c r="AD134" s="78" t="e">
        <f>VLOOKUP(K134,[1]IOT!$A:$F,6,0)</f>
        <v>#N/A</v>
      </c>
      <c r="AE134" s="78"/>
      <c r="AF134" s="78"/>
      <c r="AG134" s="78"/>
      <c r="AH134" s="78" t="e">
        <f>VLOOKUP(K134,[1]IOT!$A:$G,7,0)</f>
        <v>#N/A</v>
      </c>
      <c r="AI134" s="78" t="e">
        <f>VLOOKUP(K134,[1]IOT!$A:$H,8,0)</f>
        <v>#N/A</v>
      </c>
      <c r="AJ134" s="78" t="e">
        <f>VLOOKUP(K134,[1]IOT!$A:$I,9,0)</f>
        <v>#N/A</v>
      </c>
      <c r="AK134" s="78" t="e">
        <f>VLOOKUP(K134,[1]IOT!$A:$J,10,0)</f>
        <v>#N/A</v>
      </c>
      <c r="AL134" s="78" t="e">
        <f>VLOOKUP(K134,[1]IOT!$A:$K,11,0)</f>
        <v>#N/A</v>
      </c>
      <c r="AM134" s="78"/>
      <c r="AN134" s="78"/>
      <c r="AO134" s="79">
        <f t="shared" si="26"/>
        <v>0</v>
      </c>
      <c r="AP134" s="80">
        <f t="shared" si="27"/>
        <v>0</v>
      </c>
      <c r="AQ134" s="77"/>
      <c r="AR134" s="6" t="str">
        <f t="shared" si="28"/>
        <v/>
      </c>
    </row>
    <row r="135" spans="1:44" s="6" customFormat="1" ht="47.25" customHeight="1" x14ac:dyDescent="0.35">
      <c r="A135" s="71"/>
      <c r="B135" s="68"/>
      <c r="C135" s="25"/>
      <c r="D135" s="25"/>
      <c r="E135" s="67" t="str">
        <f t="shared" si="20"/>
        <v/>
      </c>
      <c r="F135" s="62"/>
      <c r="G135" s="14"/>
      <c r="H135" s="65"/>
      <c r="I135" s="70"/>
      <c r="J135" s="14"/>
      <c r="K135" s="69"/>
      <c r="L135" s="15"/>
      <c r="M135" s="16"/>
      <c r="N135" s="17"/>
      <c r="O135" s="72"/>
      <c r="P135" s="18"/>
      <c r="Q135" s="60"/>
      <c r="R135" s="19"/>
      <c r="S135" s="18"/>
      <c r="T135" s="75"/>
      <c r="U135" s="20"/>
      <c r="V135" s="21"/>
      <c r="W135" s="22"/>
      <c r="Y135" s="78" t="e">
        <f>VLOOKUP(V135,[1]IOT!$A:$B,2,0)</f>
        <v>#N/A</v>
      </c>
      <c r="Z135" s="78">
        <f>IF(ISNA(VLOOKUP(K135,[2]Sheet1!$A:$B,2,0)),0,(VLOOKUP(K135,[2]Sheet1!$A:$B,2,0)))</f>
        <v>0</v>
      </c>
      <c r="AA135" s="78">
        <f t="shared" si="25"/>
        <v>0</v>
      </c>
      <c r="AB135" s="78" t="e">
        <f>VLOOKUP(K135,[1]IOT!$A:$E,5,0)</f>
        <v>#N/A</v>
      </c>
      <c r="AC135" s="78"/>
      <c r="AD135" s="78" t="e">
        <f>VLOOKUP(K135,[1]IOT!$A:$F,6,0)</f>
        <v>#N/A</v>
      </c>
      <c r="AE135" s="78"/>
      <c r="AF135" s="78"/>
      <c r="AG135" s="78"/>
      <c r="AH135" s="78" t="e">
        <f>VLOOKUP(K135,[1]IOT!$A:$G,7,0)</f>
        <v>#N/A</v>
      </c>
      <c r="AI135" s="78" t="e">
        <f>VLOOKUP(K135,[1]IOT!$A:$H,8,0)</f>
        <v>#N/A</v>
      </c>
      <c r="AJ135" s="78" t="e">
        <f>VLOOKUP(K135,[1]IOT!$A:$I,9,0)</f>
        <v>#N/A</v>
      </c>
      <c r="AK135" s="78" t="e">
        <f>VLOOKUP(K135,[1]IOT!$A:$J,10,0)</f>
        <v>#N/A</v>
      </c>
      <c r="AL135" s="78" t="e">
        <f>VLOOKUP(K135,[1]IOT!$A:$K,11,0)</f>
        <v>#N/A</v>
      </c>
      <c r="AM135" s="78"/>
      <c r="AN135" s="78"/>
      <c r="AO135" s="79">
        <f t="shared" si="26"/>
        <v>0</v>
      </c>
      <c r="AP135" s="80">
        <f t="shared" si="27"/>
        <v>0</v>
      </c>
      <c r="AQ135" s="77"/>
      <c r="AR135" s="6" t="str">
        <f t="shared" si="28"/>
        <v/>
      </c>
    </row>
    <row r="136" spans="1:44" s="6" customFormat="1" ht="47.25" customHeight="1" x14ac:dyDescent="0.35">
      <c r="A136" s="71"/>
      <c r="B136" s="68"/>
      <c r="C136" s="25"/>
      <c r="D136" s="25"/>
      <c r="E136" s="67" t="str">
        <f t="shared" si="20"/>
        <v/>
      </c>
      <c r="F136" s="62"/>
      <c r="G136" s="14"/>
      <c r="H136" s="65"/>
      <c r="I136" s="70"/>
      <c r="J136" s="14"/>
      <c r="K136" s="69"/>
      <c r="L136" s="15"/>
      <c r="M136" s="16"/>
      <c r="N136" s="17"/>
      <c r="O136" s="72"/>
      <c r="P136" s="18"/>
      <c r="Q136" s="60"/>
      <c r="R136" s="19"/>
      <c r="S136" s="18"/>
      <c r="T136" s="75"/>
      <c r="U136" s="20"/>
      <c r="V136" s="21"/>
      <c r="W136" s="22"/>
      <c r="Y136" s="78" t="e">
        <f>VLOOKUP(V136,[1]IOT!$A:$B,2,0)</f>
        <v>#N/A</v>
      </c>
      <c r="Z136" s="78">
        <f>IF(ISNA(VLOOKUP(K136,[2]Sheet1!$A:$B,2,0)),0,(VLOOKUP(K136,[2]Sheet1!$A:$B,2,0)))</f>
        <v>0</v>
      </c>
      <c r="AA136" s="78">
        <f t="shared" si="25"/>
        <v>0</v>
      </c>
      <c r="AB136" s="78" t="e">
        <f>VLOOKUP(K136,[1]IOT!$A:$E,5,0)</f>
        <v>#N/A</v>
      </c>
      <c r="AC136" s="78"/>
      <c r="AD136" s="78" t="e">
        <f>VLOOKUP(K136,[1]IOT!$A:$F,6,0)</f>
        <v>#N/A</v>
      </c>
      <c r="AE136" s="78"/>
      <c r="AF136" s="78"/>
      <c r="AG136" s="78"/>
      <c r="AH136" s="78" t="e">
        <f>VLOOKUP(K136,[1]IOT!$A:$G,7,0)</f>
        <v>#N/A</v>
      </c>
      <c r="AI136" s="78" t="e">
        <f>VLOOKUP(K136,[1]IOT!$A:$H,8,0)</f>
        <v>#N/A</v>
      </c>
      <c r="AJ136" s="78" t="e">
        <f>VLOOKUP(K136,[1]IOT!$A:$I,9,0)</f>
        <v>#N/A</v>
      </c>
      <c r="AK136" s="78" t="e">
        <f>VLOOKUP(K136,[1]IOT!$A:$J,10,0)</f>
        <v>#N/A</v>
      </c>
      <c r="AL136" s="78" t="e">
        <f>VLOOKUP(K136,[1]IOT!$A:$K,11,0)</f>
        <v>#N/A</v>
      </c>
      <c r="AM136" s="78"/>
      <c r="AN136" s="78"/>
      <c r="AO136" s="79">
        <f t="shared" si="26"/>
        <v>0</v>
      </c>
      <c r="AP136" s="80">
        <f t="shared" si="27"/>
        <v>0</v>
      </c>
      <c r="AQ136" s="77"/>
      <c r="AR136" s="6" t="str">
        <f t="shared" si="28"/>
        <v/>
      </c>
    </row>
    <row r="137" spans="1:44" s="6" customFormat="1" ht="47.25" customHeight="1" x14ac:dyDescent="0.35">
      <c r="A137" s="71"/>
      <c r="B137" s="68"/>
      <c r="C137" s="25"/>
      <c r="D137" s="25"/>
      <c r="E137" s="67" t="str">
        <f t="shared" si="20"/>
        <v/>
      </c>
      <c r="F137" s="62"/>
      <c r="G137" s="14"/>
      <c r="H137" s="65"/>
      <c r="I137" s="70"/>
      <c r="J137" s="14"/>
      <c r="K137" s="69"/>
      <c r="L137" s="15"/>
      <c r="M137" s="16"/>
      <c r="N137" s="17"/>
      <c r="O137" s="72"/>
      <c r="P137" s="18"/>
      <c r="Q137" s="60"/>
      <c r="R137" s="19"/>
      <c r="S137" s="18"/>
      <c r="T137" s="75"/>
      <c r="U137" s="20"/>
      <c r="V137" s="21"/>
      <c r="W137" s="22"/>
      <c r="Y137" s="78" t="e">
        <f>VLOOKUP(V137,[1]IOT!$A:$B,2,0)</f>
        <v>#N/A</v>
      </c>
      <c r="Z137" s="78">
        <f>IF(ISNA(VLOOKUP(K137,[2]Sheet1!$A:$B,2,0)),0,(VLOOKUP(K137,[2]Sheet1!$A:$B,2,0)))</f>
        <v>0</v>
      </c>
      <c r="AA137" s="78">
        <f t="shared" si="25"/>
        <v>0</v>
      </c>
      <c r="AB137" s="78" t="e">
        <f>VLOOKUP(K137,[1]IOT!$A:$E,5,0)</f>
        <v>#N/A</v>
      </c>
      <c r="AC137" s="78"/>
      <c r="AD137" s="78" t="e">
        <f>VLOOKUP(K137,[1]IOT!$A:$F,6,0)</f>
        <v>#N/A</v>
      </c>
      <c r="AE137" s="78"/>
      <c r="AF137" s="78"/>
      <c r="AG137" s="78"/>
      <c r="AH137" s="78" t="e">
        <f>VLOOKUP(K137,[1]IOT!$A:$G,7,0)</f>
        <v>#N/A</v>
      </c>
      <c r="AI137" s="78" t="e">
        <f>VLOOKUP(K137,[1]IOT!$A:$H,8,0)</f>
        <v>#N/A</v>
      </c>
      <c r="AJ137" s="78" t="e">
        <f>VLOOKUP(K137,[1]IOT!$A:$I,9,0)</f>
        <v>#N/A</v>
      </c>
      <c r="AK137" s="78" t="e">
        <f>VLOOKUP(K137,[1]IOT!$A:$J,10,0)</f>
        <v>#N/A</v>
      </c>
      <c r="AL137" s="78" t="e">
        <f>VLOOKUP(K137,[1]IOT!$A:$K,11,0)</f>
        <v>#N/A</v>
      </c>
      <c r="AM137" s="78"/>
      <c r="AN137" s="78"/>
      <c r="AO137" s="79">
        <f t="shared" si="26"/>
        <v>0</v>
      </c>
      <c r="AP137" s="80">
        <f t="shared" si="27"/>
        <v>0</v>
      </c>
      <c r="AQ137" s="77"/>
      <c r="AR137" s="6" t="str">
        <f t="shared" si="28"/>
        <v/>
      </c>
    </row>
    <row r="138" spans="1:44" s="6" customFormat="1" ht="47.25" customHeight="1" x14ac:dyDescent="0.35">
      <c r="A138" s="71"/>
      <c r="B138" s="68"/>
      <c r="C138" s="25"/>
      <c r="D138" s="25"/>
      <c r="E138" s="67" t="str">
        <f t="shared" si="20"/>
        <v/>
      </c>
      <c r="F138" s="62"/>
      <c r="G138" s="14"/>
      <c r="H138" s="65"/>
      <c r="I138" s="70"/>
      <c r="J138" s="14"/>
      <c r="K138" s="69"/>
      <c r="L138" s="15"/>
      <c r="M138" s="16"/>
      <c r="N138" s="17"/>
      <c r="O138" s="72"/>
      <c r="P138" s="18"/>
      <c r="Q138" s="60"/>
      <c r="R138" s="19"/>
      <c r="S138" s="18"/>
      <c r="T138" s="75"/>
      <c r="U138" s="20"/>
      <c r="V138" s="21"/>
      <c r="W138" s="22"/>
      <c r="Y138" s="78" t="e">
        <f>VLOOKUP(V138,[1]IOT!$A:$B,2,0)</f>
        <v>#N/A</v>
      </c>
      <c r="Z138" s="78">
        <f>IF(ISNA(VLOOKUP(K138,[2]Sheet1!$A:$B,2,0)),0,(VLOOKUP(K138,[2]Sheet1!$A:$B,2,0)))</f>
        <v>0</v>
      </c>
      <c r="AA138" s="78">
        <f t="shared" si="25"/>
        <v>0</v>
      </c>
      <c r="AB138" s="78" t="e">
        <f>VLOOKUP(K138,[1]IOT!$A:$E,5,0)</f>
        <v>#N/A</v>
      </c>
      <c r="AC138" s="78"/>
      <c r="AD138" s="78" t="e">
        <f>VLOOKUP(K138,[1]IOT!$A:$F,6,0)</f>
        <v>#N/A</v>
      </c>
      <c r="AE138" s="78"/>
      <c r="AF138" s="78"/>
      <c r="AG138" s="78"/>
      <c r="AH138" s="78" t="e">
        <f>VLOOKUP(K138,[1]IOT!$A:$G,7,0)</f>
        <v>#N/A</v>
      </c>
      <c r="AI138" s="78" t="e">
        <f>VLOOKUP(K138,[1]IOT!$A:$H,8,0)</f>
        <v>#N/A</v>
      </c>
      <c r="AJ138" s="78" t="e">
        <f>VLOOKUP(K138,[1]IOT!$A:$I,9,0)</f>
        <v>#N/A</v>
      </c>
      <c r="AK138" s="78" t="e">
        <f>VLOOKUP(K138,[1]IOT!$A:$J,10,0)</f>
        <v>#N/A</v>
      </c>
      <c r="AL138" s="78" t="e">
        <f>VLOOKUP(K138,[1]IOT!$A:$K,11,0)</f>
        <v>#N/A</v>
      </c>
      <c r="AM138" s="78"/>
      <c r="AN138" s="78"/>
      <c r="AO138" s="79">
        <f t="shared" si="26"/>
        <v>0</v>
      </c>
      <c r="AP138" s="80">
        <f t="shared" si="27"/>
        <v>0</v>
      </c>
      <c r="AQ138" s="77"/>
      <c r="AR138" s="6" t="str">
        <f t="shared" si="28"/>
        <v/>
      </c>
    </row>
    <row r="139" spans="1:44" s="6" customFormat="1" ht="47.25" customHeight="1" x14ac:dyDescent="0.35">
      <c r="A139" s="71"/>
      <c r="B139" s="68"/>
      <c r="C139" s="25"/>
      <c r="D139" s="25"/>
      <c r="E139" s="67" t="str">
        <f t="shared" si="20"/>
        <v/>
      </c>
      <c r="F139" s="62"/>
      <c r="G139" s="14"/>
      <c r="H139" s="65"/>
      <c r="I139" s="70"/>
      <c r="J139" s="14"/>
      <c r="K139" s="69"/>
      <c r="L139" s="15"/>
      <c r="M139" s="16"/>
      <c r="N139" s="17"/>
      <c r="O139" s="72"/>
      <c r="P139" s="18"/>
      <c r="Q139" s="60"/>
      <c r="R139" s="19"/>
      <c r="S139" s="18"/>
      <c r="T139" s="75"/>
      <c r="U139" s="20"/>
      <c r="V139" s="21"/>
      <c r="W139" s="22"/>
      <c r="Y139" s="78" t="e">
        <f>VLOOKUP(V139,[1]IOT!$A:$B,2,0)</f>
        <v>#N/A</v>
      </c>
      <c r="Z139" s="78">
        <f>IF(ISNA(VLOOKUP(K139,[2]Sheet1!$A:$B,2,0)),0,(VLOOKUP(K139,[2]Sheet1!$A:$B,2,0)))</f>
        <v>0</v>
      </c>
      <c r="AA139" s="78">
        <f t="shared" si="25"/>
        <v>0</v>
      </c>
      <c r="AB139" s="78" t="e">
        <f>VLOOKUP(K139,[1]IOT!$A:$E,5,0)</f>
        <v>#N/A</v>
      </c>
      <c r="AC139" s="78"/>
      <c r="AD139" s="78" t="e">
        <f>VLOOKUP(K139,[1]IOT!$A:$F,6,0)</f>
        <v>#N/A</v>
      </c>
      <c r="AE139" s="78"/>
      <c r="AF139" s="78"/>
      <c r="AG139" s="78"/>
      <c r="AH139" s="78" t="e">
        <f>VLOOKUP(K139,[1]IOT!$A:$G,7,0)</f>
        <v>#N/A</v>
      </c>
      <c r="AI139" s="78" t="e">
        <f>VLOOKUP(K139,[1]IOT!$A:$H,8,0)</f>
        <v>#N/A</v>
      </c>
      <c r="AJ139" s="78" t="e">
        <f>VLOOKUP(K139,[1]IOT!$A:$I,9,0)</f>
        <v>#N/A</v>
      </c>
      <c r="AK139" s="78" t="e">
        <f>VLOOKUP(K139,[1]IOT!$A:$J,10,0)</f>
        <v>#N/A</v>
      </c>
      <c r="AL139" s="78" t="e">
        <f>VLOOKUP(K139,[1]IOT!$A:$K,11,0)</f>
        <v>#N/A</v>
      </c>
      <c r="AM139" s="78"/>
      <c r="AN139" s="78"/>
      <c r="AO139" s="79">
        <f t="shared" si="26"/>
        <v>0</v>
      </c>
      <c r="AP139" s="80">
        <f t="shared" si="27"/>
        <v>0</v>
      </c>
      <c r="AQ139" s="77"/>
      <c r="AR139" s="6" t="str">
        <f t="shared" si="28"/>
        <v/>
      </c>
    </row>
    <row r="140" spans="1:44" s="6" customFormat="1" ht="47.25" customHeight="1" x14ac:dyDescent="0.35">
      <c r="A140" s="71"/>
      <c r="B140" s="68"/>
      <c r="C140" s="25"/>
      <c r="D140" s="25"/>
      <c r="E140" s="67" t="str">
        <f t="shared" si="20"/>
        <v/>
      </c>
      <c r="F140" s="62"/>
      <c r="G140" s="14"/>
      <c r="H140" s="65"/>
      <c r="I140" s="70"/>
      <c r="J140" s="14"/>
      <c r="K140" s="69"/>
      <c r="L140" s="15"/>
      <c r="M140" s="16"/>
      <c r="N140" s="17"/>
      <c r="O140" s="72"/>
      <c r="P140" s="18"/>
      <c r="Q140" s="60"/>
      <c r="R140" s="19"/>
      <c r="S140" s="18"/>
      <c r="T140" s="75"/>
      <c r="U140" s="20"/>
      <c r="V140" s="21"/>
      <c r="W140" s="22"/>
      <c r="Y140" s="78" t="e">
        <f>VLOOKUP(V140,[1]IOT!$A:$B,2,0)</f>
        <v>#N/A</v>
      </c>
      <c r="Z140" s="78">
        <f>IF(ISNA(VLOOKUP(K140,[2]Sheet1!$A:$B,2,0)),0,(VLOOKUP(K140,[2]Sheet1!$A:$B,2,0)))</f>
        <v>0</v>
      </c>
      <c r="AA140" s="78">
        <f t="shared" si="25"/>
        <v>0</v>
      </c>
      <c r="AB140" s="78" t="e">
        <f>VLOOKUP(K140,[1]IOT!$A:$E,5,0)</f>
        <v>#N/A</v>
      </c>
      <c r="AC140" s="78"/>
      <c r="AD140" s="78" t="e">
        <f>VLOOKUP(K140,[1]IOT!$A:$F,6,0)</f>
        <v>#N/A</v>
      </c>
      <c r="AE140" s="78"/>
      <c r="AF140" s="78"/>
      <c r="AG140" s="78"/>
      <c r="AH140" s="78" t="e">
        <f>VLOOKUP(K140,[1]IOT!$A:$G,7,0)</f>
        <v>#N/A</v>
      </c>
      <c r="AI140" s="78" t="e">
        <f>VLOOKUP(K140,[1]IOT!$A:$H,8,0)</f>
        <v>#N/A</v>
      </c>
      <c r="AJ140" s="78" t="e">
        <f>VLOOKUP(K140,[1]IOT!$A:$I,9,0)</f>
        <v>#N/A</v>
      </c>
      <c r="AK140" s="78" t="e">
        <f>VLOOKUP(K140,[1]IOT!$A:$J,10,0)</f>
        <v>#N/A</v>
      </c>
      <c r="AL140" s="78" t="e">
        <f>VLOOKUP(K140,[1]IOT!$A:$K,11,0)</f>
        <v>#N/A</v>
      </c>
      <c r="AM140" s="78"/>
      <c r="AN140" s="78"/>
      <c r="AO140" s="79">
        <f t="shared" si="26"/>
        <v>0</v>
      </c>
      <c r="AP140" s="80">
        <f t="shared" si="27"/>
        <v>0</v>
      </c>
      <c r="AQ140" s="77"/>
      <c r="AR140" s="6" t="str">
        <f t="shared" si="28"/>
        <v/>
      </c>
    </row>
    <row r="141" spans="1:44" s="6" customFormat="1" ht="47.25" customHeight="1" x14ac:dyDescent="0.35">
      <c r="A141" s="71"/>
      <c r="B141" s="68"/>
      <c r="C141" s="25"/>
      <c r="D141" s="25"/>
      <c r="E141" s="67" t="str">
        <f t="shared" si="20"/>
        <v/>
      </c>
      <c r="F141" s="62"/>
      <c r="G141" s="14"/>
      <c r="H141" s="65"/>
      <c r="I141" s="70"/>
      <c r="J141" s="14"/>
      <c r="K141" s="69"/>
      <c r="L141" s="15"/>
      <c r="M141" s="16"/>
      <c r="N141" s="17"/>
      <c r="O141" s="72"/>
      <c r="P141" s="18"/>
      <c r="Q141" s="60"/>
      <c r="R141" s="19"/>
      <c r="S141" s="18"/>
      <c r="T141" s="75"/>
      <c r="U141" s="20"/>
      <c r="V141" s="21"/>
      <c r="W141" s="22"/>
      <c r="Y141" s="78" t="e">
        <f>VLOOKUP(V141,[1]IOT!$A:$B,2,0)</f>
        <v>#N/A</v>
      </c>
      <c r="Z141" s="78">
        <f>IF(ISNA(VLOOKUP(K141,[2]Sheet1!$A:$B,2,0)),0,(VLOOKUP(K141,[2]Sheet1!$A:$B,2,0)))</f>
        <v>0</v>
      </c>
      <c r="AA141" s="78">
        <f t="shared" si="25"/>
        <v>0</v>
      </c>
      <c r="AB141" s="78" t="e">
        <f>VLOOKUP(K141,[1]IOT!$A:$E,5,0)</f>
        <v>#N/A</v>
      </c>
      <c r="AC141" s="78"/>
      <c r="AD141" s="78" t="e">
        <f>VLOOKUP(K141,[1]IOT!$A:$F,6,0)</f>
        <v>#N/A</v>
      </c>
      <c r="AE141" s="78"/>
      <c r="AF141" s="78"/>
      <c r="AG141" s="78"/>
      <c r="AH141" s="78" t="e">
        <f>VLOOKUP(K141,[1]IOT!$A:$G,7,0)</f>
        <v>#N/A</v>
      </c>
      <c r="AI141" s="78" t="e">
        <f>VLOOKUP(K141,[1]IOT!$A:$H,8,0)</f>
        <v>#N/A</v>
      </c>
      <c r="AJ141" s="78" t="e">
        <f>VLOOKUP(K141,[1]IOT!$A:$I,9,0)</f>
        <v>#N/A</v>
      </c>
      <c r="AK141" s="78" t="e">
        <f>VLOOKUP(K141,[1]IOT!$A:$J,10,0)</f>
        <v>#N/A</v>
      </c>
      <c r="AL141" s="78" t="e">
        <f>VLOOKUP(K141,[1]IOT!$A:$K,11,0)</f>
        <v>#N/A</v>
      </c>
      <c r="AM141" s="78"/>
      <c r="AN141" s="78"/>
      <c r="AO141" s="79">
        <f t="shared" si="26"/>
        <v>0</v>
      </c>
      <c r="AP141" s="80">
        <f t="shared" si="27"/>
        <v>0</v>
      </c>
      <c r="AQ141" s="77"/>
      <c r="AR141" s="6" t="str">
        <f t="shared" si="28"/>
        <v/>
      </c>
    </row>
    <row r="142" spans="1:44" s="6" customFormat="1" ht="47.25" customHeight="1" x14ac:dyDescent="0.35">
      <c r="A142" s="71"/>
      <c r="B142" s="68"/>
      <c r="C142" s="25"/>
      <c r="D142" s="25"/>
      <c r="E142" s="67" t="str">
        <f t="shared" si="20"/>
        <v/>
      </c>
      <c r="F142" s="62"/>
      <c r="G142" s="14"/>
      <c r="H142" s="65"/>
      <c r="I142" s="70"/>
      <c r="J142" s="14"/>
      <c r="K142" s="69"/>
      <c r="L142" s="15"/>
      <c r="M142" s="16"/>
      <c r="N142" s="17"/>
      <c r="O142" s="72"/>
      <c r="P142" s="18"/>
      <c r="Q142" s="60"/>
      <c r="R142" s="19"/>
      <c r="S142" s="18"/>
      <c r="T142" s="75"/>
      <c r="U142" s="20"/>
      <c r="V142" s="21"/>
      <c r="W142" s="22"/>
      <c r="Y142" s="78" t="e">
        <f>VLOOKUP(V142,[1]IOT!$A:$B,2,0)</f>
        <v>#N/A</v>
      </c>
      <c r="Z142" s="78">
        <f>IF(ISNA(VLOOKUP(K142,[2]Sheet1!$A:$B,2,0)),0,(VLOOKUP(K142,[2]Sheet1!$A:$B,2,0)))</f>
        <v>0</v>
      </c>
      <c r="AA142" s="78">
        <f t="shared" si="25"/>
        <v>0</v>
      </c>
      <c r="AB142" s="78" t="e">
        <f>VLOOKUP(K142,[1]IOT!$A:$E,5,0)</f>
        <v>#N/A</v>
      </c>
      <c r="AC142" s="78"/>
      <c r="AD142" s="78" t="e">
        <f>VLOOKUP(K142,[1]IOT!$A:$F,6,0)</f>
        <v>#N/A</v>
      </c>
      <c r="AE142" s="78"/>
      <c r="AF142" s="78"/>
      <c r="AG142" s="78"/>
      <c r="AH142" s="78" t="e">
        <f>VLOOKUP(K142,[1]IOT!$A:$G,7,0)</f>
        <v>#N/A</v>
      </c>
      <c r="AI142" s="78" t="e">
        <f>VLOOKUP(K142,[1]IOT!$A:$H,8,0)</f>
        <v>#N/A</v>
      </c>
      <c r="AJ142" s="78" t="e">
        <f>VLOOKUP(K142,[1]IOT!$A:$I,9,0)</f>
        <v>#N/A</v>
      </c>
      <c r="AK142" s="78" t="e">
        <f>VLOOKUP(K142,[1]IOT!$A:$J,10,0)</f>
        <v>#N/A</v>
      </c>
      <c r="AL142" s="78" t="e">
        <f>VLOOKUP(K142,[1]IOT!$A:$K,11,0)</f>
        <v>#N/A</v>
      </c>
      <c r="AM142" s="78"/>
      <c r="AN142" s="78"/>
      <c r="AO142" s="79">
        <f t="shared" si="26"/>
        <v>0</v>
      </c>
      <c r="AP142" s="80">
        <f t="shared" si="27"/>
        <v>0</v>
      </c>
      <c r="AQ142" s="77"/>
      <c r="AR142" s="6" t="str">
        <f t="shared" si="28"/>
        <v/>
      </c>
    </row>
    <row r="143" spans="1:44" s="6" customFormat="1" ht="47.25" customHeight="1" x14ac:dyDescent="0.35">
      <c r="A143" s="71"/>
      <c r="B143" s="68"/>
      <c r="C143" s="25"/>
      <c r="D143" s="25"/>
      <c r="E143" s="67" t="str">
        <f t="shared" si="20"/>
        <v/>
      </c>
      <c r="F143" s="62"/>
      <c r="G143" s="14"/>
      <c r="H143" s="65"/>
      <c r="I143" s="70"/>
      <c r="J143" s="14"/>
      <c r="K143" s="69"/>
      <c r="L143" s="15"/>
      <c r="M143" s="16"/>
      <c r="N143" s="17"/>
      <c r="O143" s="72"/>
      <c r="P143" s="18"/>
      <c r="Q143" s="60"/>
      <c r="R143" s="19"/>
      <c r="S143" s="18"/>
      <c r="T143" s="75"/>
      <c r="U143" s="20"/>
      <c r="V143" s="21"/>
      <c r="W143" s="22"/>
      <c r="Y143" s="78" t="e">
        <f>VLOOKUP(V143,[1]IOT!$A:$B,2,0)</f>
        <v>#N/A</v>
      </c>
      <c r="Z143" s="78">
        <f>IF(ISNA(VLOOKUP(K143,[2]Sheet1!$A:$B,2,0)),0,(VLOOKUP(K143,[2]Sheet1!$A:$B,2,0)))</f>
        <v>0</v>
      </c>
      <c r="AA143" s="78">
        <f t="shared" si="25"/>
        <v>0</v>
      </c>
      <c r="AB143" s="78" t="e">
        <f>VLOOKUP(K143,[1]IOT!$A:$E,5,0)</f>
        <v>#N/A</v>
      </c>
      <c r="AC143" s="78"/>
      <c r="AD143" s="78" t="e">
        <f>VLOOKUP(K143,[1]IOT!$A:$F,6,0)</f>
        <v>#N/A</v>
      </c>
      <c r="AE143" s="78"/>
      <c r="AF143" s="78"/>
      <c r="AG143" s="78"/>
      <c r="AH143" s="78" t="e">
        <f>VLOOKUP(K143,[1]IOT!$A:$G,7,0)</f>
        <v>#N/A</v>
      </c>
      <c r="AI143" s="78" t="e">
        <f>VLOOKUP(K143,[1]IOT!$A:$H,8,0)</f>
        <v>#N/A</v>
      </c>
      <c r="AJ143" s="78" t="e">
        <f>VLOOKUP(K143,[1]IOT!$A:$I,9,0)</f>
        <v>#N/A</v>
      </c>
      <c r="AK143" s="78" t="e">
        <f>VLOOKUP(K143,[1]IOT!$A:$J,10,0)</f>
        <v>#N/A</v>
      </c>
      <c r="AL143" s="78" t="e">
        <f>VLOOKUP(K143,[1]IOT!$A:$K,11,0)</f>
        <v>#N/A</v>
      </c>
      <c r="AM143" s="78"/>
      <c r="AN143" s="78"/>
      <c r="AO143" s="79">
        <f t="shared" si="26"/>
        <v>0</v>
      </c>
      <c r="AP143" s="80">
        <f t="shared" si="27"/>
        <v>0</v>
      </c>
      <c r="AQ143" s="77"/>
      <c r="AR143" s="6" t="str">
        <f t="shared" si="28"/>
        <v/>
      </c>
    </row>
    <row r="144" spans="1:44" s="6" customFormat="1" ht="47.25" customHeight="1" x14ac:dyDescent="0.35">
      <c r="A144" s="71"/>
      <c r="B144" s="68"/>
      <c r="C144" s="25"/>
      <c r="D144" s="25"/>
      <c r="E144" s="67" t="str">
        <f t="shared" si="20"/>
        <v/>
      </c>
      <c r="F144" s="62"/>
      <c r="G144" s="14"/>
      <c r="H144" s="65"/>
      <c r="I144" s="70"/>
      <c r="J144" s="14"/>
      <c r="K144" s="69"/>
      <c r="L144" s="15"/>
      <c r="M144" s="16"/>
      <c r="N144" s="17"/>
      <c r="O144" s="72"/>
      <c r="P144" s="18"/>
      <c r="Q144" s="60"/>
      <c r="R144" s="19"/>
      <c r="S144" s="18"/>
      <c r="T144" s="75"/>
      <c r="U144" s="20"/>
      <c r="V144" s="21"/>
      <c r="W144" s="22"/>
      <c r="Y144" s="78" t="e">
        <f>VLOOKUP(V144,[1]IOT!$A:$B,2,0)</f>
        <v>#N/A</v>
      </c>
      <c r="Z144" s="78">
        <f>IF(ISNA(VLOOKUP(K144,[2]Sheet1!$A:$B,2,0)),0,(VLOOKUP(K144,[2]Sheet1!$A:$B,2,0)))</f>
        <v>0</v>
      </c>
      <c r="AA144" s="78">
        <f t="shared" si="25"/>
        <v>0</v>
      </c>
      <c r="AB144" s="78" t="e">
        <f>VLOOKUP(K144,[1]IOT!$A:$E,5,0)</f>
        <v>#N/A</v>
      </c>
      <c r="AC144" s="78"/>
      <c r="AD144" s="78" t="e">
        <f>VLOOKUP(K144,[1]IOT!$A:$F,6,0)</f>
        <v>#N/A</v>
      </c>
      <c r="AE144" s="78"/>
      <c r="AF144" s="78"/>
      <c r="AG144" s="78"/>
      <c r="AH144" s="78" t="e">
        <f>VLOOKUP(K144,[1]IOT!$A:$G,7,0)</f>
        <v>#N/A</v>
      </c>
      <c r="AI144" s="78" t="e">
        <f>VLOOKUP(K144,[1]IOT!$A:$H,8,0)</f>
        <v>#N/A</v>
      </c>
      <c r="AJ144" s="78" t="e">
        <f>VLOOKUP(K144,[1]IOT!$A:$I,9,0)</f>
        <v>#N/A</v>
      </c>
      <c r="AK144" s="78" t="e">
        <f>VLOOKUP(K144,[1]IOT!$A:$J,10,0)</f>
        <v>#N/A</v>
      </c>
      <c r="AL144" s="78" t="e">
        <f>VLOOKUP(K144,[1]IOT!$A:$K,11,0)</f>
        <v>#N/A</v>
      </c>
      <c r="AM144" s="78"/>
      <c r="AN144" s="78"/>
      <c r="AO144" s="79">
        <f t="shared" si="26"/>
        <v>0</v>
      </c>
      <c r="AP144" s="80">
        <f t="shared" si="27"/>
        <v>0</v>
      </c>
      <c r="AQ144" s="77"/>
      <c r="AR144" s="6" t="str">
        <f t="shared" si="28"/>
        <v/>
      </c>
    </row>
    <row r="145" spans="1:44" s="6" customFormat="1" ht="47.25" customHeight="1" x14ac:dyDescent="0.35">
      <c r="A145" s="71"/>
      <c r="B145" s="68"/>
      <c r="C145" s="25"/>
      <c r="D145" s="25"/>
      <c r="E145" s="67" t="str">
        <f t="shared" si="20"/>
        <v/>
      </c>
      <c r="F145" s="62"/>
      <c r="G145" s="14"/>
      <c r="H145" s="65"/>
      <c r="I145" s="70"/>
      <c r="J145" s="14"/>
      <c r="K145" s="69"/>
      <c r="L145" s="15"/>
      <c r="M145" s="16"/>
      <c r="N145" s="17"/>
      <c r="O145" s="72"/>
      <c r="P145" s="18"/>
      <c r="Q145" s="60"/>
      <c r="R145" s="19"/>
      <c r="S145" s="18"/>
      <c r="T145" s="75"/>
      <c r="U145" s="20"/>
      <c r="V145" s="21"/>
      <c r="W145" s="22"/>
      <c r="Y145" s="78" t="e">
        <f>VLOOKUP(V145,[1]IOT!$A:$B,2,0)</f>
        <v>#N/A</v>
      </c>
      <c r="Z145" s="78">
        <f>IF(ISNA(VLOOKUP(K145,[2]Sheet1!$A:$B,2,0)),0,(VLOOKUP(K145,[2]Sheet1!$A:$B,2,0)))</f>
        <v>0</v>
      </c>
      <c r="AA145" s="78">
        <f t="shared" si="25"/>
        <v>0</v>
      </c>
      <c r="AB145" s="78" t="e">
        <f>VLOOKUP(K145,[1]IOT!$A:$E,5,0)</f>
        <v>#N/A</v>
      </c>
      <c r="AC145" s="78"/>
      <c r="AD145" s="78" t="e">
        <f>VLOOKUP(K145,[1]IOT!$A:$F,6,0)</f>
        <v>#N/A</v>
      </c>
      <c r="AE145" s="78"/>
      <c r="AF145" s="78"/>
      <c r="AG145" s="78"/>
      <c r="AH145" s="78" t="e">
        <f>VLOOKUP(K145,[1]IOT!$A:$G,7,0)</f>
        <v>#N/A</v>
      </c>
      <c r="AI145" s="78" t="e">
        <f>VLOOKUP(K145,[1]IOT!$A:$H,8,0)</f>
        <v>#N/A</v>
      </c>
      <c r="AJ145" s="78" t="e">
        <f>VLOOKUP(K145,[1]IOT!$A:$I,9,0)</f>
        <v>#N/A</v>
      </c>
      <c r="AK145" s="78" t="e">
        <f>VLOOKUP(K145,[1]IOT!$A:$J,10,0)</f>
        <v>#N/A</v>
      </c>
      <c r="AL145" s="78" t="e">
        <f>VLOOKUP(K145,[1]IOT!$A:$K,11,0)</f>
        <v>#N/A</v>
      </c>
      <c r="AM145" s="78"/>
      <c r="AN145" s="78"/>
      <c r="AO145" s="79">
        <f t="shared" si="26"/>
        <v>0</v>
      </c>
      <c r="AP145" s="80">
        <f t="shared" si="27"/>
        <v>0</v>
      </c>
      <c r="AQ145" s="77"/>
      <c r="AR145" s="6" t="str">
        <f t="shared" si="28"/>
        <v/>
      </c>
    </row>
    <row r="146" spans="1:44" s="6" customFormat="1" ht="47.25" customHeight="1" x14ac:dyDescent="0.35">
      <c r="A146" s="71"/>
      <c r="B146" s="68"/>
      <c r="C146" s="25"/>
      <c r="D146" s="25"/>
      <c r="E146" s="67" t="str">
        <f t="shared" si="20"/>
        <v/>
      </c>
      <c r="F146" s="62"/>
      <c r="G146" s="14"/>
      <c r="H146" s="65"/>
      <c r="I146" s="70"/>
      <c r="J146" s="14"/>
      <c r="K146" s="69"/>
      <c r="L146" s="15"/>
      <c r="M146" s="16"/>
      <c r="N146" s="17"/>
      <c r="O146" s="72"/>
      <c r="P146" s="18"/>
      <c r="Q146" s="60"/>
      <c r="R146" s="19"/>
      <c r="S146" s="18"/>
      <c r="T146" s="75"/>
      <c r="U146" s="20"/>
      <c r="V146" s="21"/>
      <c r="W146" s="22"/>
      <c r="Y146" s="78" t="e">
        <f>VLOOKUP(V146,[1]IOT!$A:$B,2,0)</f>
        <v>#N/A</v>
      </c>
      <c r="Z146" s="78">
        <f>IF(ISNA(VLOOKUP(K146,[2]Sheet1!$A:$B,2,0)),0,(VLOOKUP(K146,[2]Sheet1!$A:$B,2,0)))</f>
        <v>0</v>
      </c>
      <c r="AA146" s="78">
        <f t="shared" si="25"/>
        <v>0</v>
      </c>
      <c r="AB146" s="78" t="e">
        <f>VLOOKUP(K146,[1]IOT!$A:$E,5,0)</f>
        <v>#N/A</v>
      </c>
      <c r="AC146" s="78"/>
      <c r="AD146" s="78" t="e">
        <f>VLOOKUP(K146,[1]IOT!$A:$F,6,0)</f>
        <v>#N/A</v>
      </c>
      <c r="AE146" s="78"/>
      <c r="AF146" s="78"/>
      <c r="AG146" s="78"/>
      <c r="AH146" s="78" t="e">
        <f>VLOOKUP(K146,[1]IOT!$A:$G,7,0)</f>
        <v>#N/A</v>
      </c>
      <c r="AI146" s="78" t="e">
        <f>VLOOKUP(K146,[1]IOT!$A:$H,8,0)</f>
        <v>#N/A</v>
      </c>
      <c r="AJ146" s="78" t="e">
        <f>VLOOKUP(K146,[1]IOT!$A:$I,9,0)</f>
        <v>#N/A</v>
      </c>
      <c r="AK146" s="78" t="e">
        <f>VLOOKUP(K146,[1]IOT!$A:$J,10,0)</f>
        <v>#N/A</v>
      </c>
      <c r="AL146" s="78" t="e">
        <f>VLOOKUP(K146,[1]IOT!$A:$K,11,0)</f>
        <v>#N/A</v>
      </c>
      <c r="AM146" s="78"/>
      <c r="AN146" s="78"/>
      <c r="AO146" s="79">
        <f t="shared" si="26"/>
        <v>0</v>
      </c>
      <c r="AP146" s="80">
        <f t="shared" si="27"/>
        <v>0</v>
      </c>
      <c r="AQ146" s="77"/>
      <c r="AR146" s="6" t="str">
        <f t="shared" si="28"/>
        <v/>
      </c>
    </row>
    <row r="147" spans="1:44" s="6" customFormat="1" ht="47.25" customHeight="1" x14ac:dyDescent="0.35">
      <c r="A147" s="71"/>
      <c r="B147" s="68"/>
      <c r="C147" s="25"/>
      <c r="D147" s="25"/>
      <c r="E147" s="67" t="str">
        <f t="shared" si="20"/>
        <v/>
      </c>
      <c r="F147" s="62"/>
      <c r="G147" s="14"/>
      <c r="H147" s="65"/>
      <c r="I147" s="70"/>
      <c r="J147" s="14"/>
      <c r="K147" s="69"/>
      <c r="L147" s="15"/>
      <c r="M147" s="16"/>
      <c r="N147" s="17"/>
      <c r="O147" s="72"/>
      <c r="P147" s="18"/>
      <c r="Q147" s="60"/>
      <c r="R147" s="19"/>
      <c r="S147" s="18"/>
      <c r="T147" s="75"/>
      <c r="U147" s="20"/>
      <c r="V147" s="21"/>
      <c r="W147" s="22"/>
      <c r="Y147" s="78" t="e">
        <f>VLOOKUP(V147,[1]IOT!$A:$B,2,0)</f>
        <v>#N/A</v>
      </c>
      <c r="Z147" s="78">
        <f>IF(ISNA(VLOOKUP(K147,[2]Sheet1!$A:$B,2,0)),0,(VLOOKUP(K147,[2]Sheet1!$A:$B,2,0)))</f>
        <v>0</v>
      </c>
      <c r="AA147" s="78">
        <f t="shared" si="25"/>
        <v>0</v>
      </c>
      <c r="AB147" s="78" t="e">
        <f>VLOOKUP(K147,[1]IOT!$A:$E,5,0)</f>
        <v>#N/A</v>
      </c>
      <c r="AC147" s="78"/>
      <c r="AD147" s="78" t="e">
        <f>VLOOKUP(K147,[1]IOT!$A:$F,6,0)</f>
        <v>#N/A</v>
      </c>
      <c r="AE147" s="78"/>
      <c r="AF147" s="78"/>
      <c r="AG147" s="78"/>
      <c r="AH147" s="78" t="e">
        <f>VLOOKUP(K147,[1]IOT!$A:$G,7,0)</f>
        <v>#N/A</v>
      </c>
      <c r="AI147" s="78" t="e">
        <f>VLOOKUP(K147,[1]IOT!$A:$H,8,0)</f>
        <v>#N/A</v>
      </c>
      <c r="AJ147" s="78" t="e">
        <f>VLOOKUP(K147,[1]IOT!$A:$I,9,0)</f>
        <v>#N/A</v>
      </c>
      <c r="AK147" s="78" t="e">
        <f>VLOOKUP(K147,[1]IOT!$A:$J,10,0)</f>
        <v>#N/A</v>
      </c>
      <c r="AL147" s="78" t="e">
        <f>VLOOKUP(K147,[1]IOT!$A:$K,11,0)</f>
        <v>#N/A</v>
      </c>
      <c r="AM147" s="78"/>
      <c r="AN147" s="78"/>
      <c r="AO147" s="79">
        <f t="shared" si="26"/>
        <v>0</v>
      </c>
      <c r="AP147" s="80">
        <f t="shared" si="27"/>
        <v>0</v>
      </c>
      <c r="AQ147" s="77"/>
      <c r="AR147" s="6" t="str">
        <f t="shared" si="28"/>
        <v/>
      </c>
    </row>
    <row r="148" spans="1:44" s="6" customFormat="1" ht="47.25" customHeight="1" x14ac:dyDescent="0.35">
      <c r="A148" s="71"/>
      <c r="B148" s="68"/>
      <c r="C148" s="25"/>
      <c r="D148" s="25"/>
      <c r="E148" s="67" t="str">
        <f t="shared" si="20"/>
        <v/>
      </c>
      <c r="F148" s="62"/>
      <c r="G148" s="14"/>
      <c r="H148" s="65"/>
      <c r="I148" s="70"/>
      <c r="J148" s="14"/>
      <c r="K148" s="69"/>
      <c r="L148" s="15"/>
      <c r="M148" s="16"/>
      <c r="N148" s="17"/>
      <c r="O148" s="72"/>
      <c r="P148" s="18"/>
      <c r="Q148" s="60"/>
      <c r="R148" s="19"/>
      <c r="S148" s="18"/>
      <c r="T148" s="75"/>
      <c r="U148" s="20"/>
      <c r="V148" s="21"/>
      <c r="W148" s="22"/>
      <c r="Y148" s="78" t="e">
        <f>VLOOKUP(V148,[1]IOT!$A:$B,2,0)</f>
        <v>#N/A</v>
      </c>
      <c r="Z148" s="78">
        <f>IF(ISNA(VLOOKUP(K148,[2]Sheet1!$A:$B,2,0)),0,(VLOOKUP(K148,[2]Sheet1!$A:$B,2,0)))</f>
        <v>0</v>
      </c>
      <c r="AA148" s="78">
        <f t="shared" si="25"/>
        <v>0</v>
      </c>
      <c r="AB148" s="78" t="e">
        <f>VLOOKUP(K148,[1]IOT!$A:$E,5,0)</f>
        <v>#N/A</v>
      </c>
      <c r="AC148" s="78"/>
      <c r="AD148" s="78" t="e">
        <f>VLOOKUP(K148,[1]IOT!$A:$F,6,0)</f>
        <v>#N/A</v>
      </c>
      <c r="AE148" s="78"/>
      <c r="AF148" s="78"/>
      <c r="AG148" s="78"/>
      <c r="AH148" s="78" t="e">
        <f>VLOOKUP(K148,[1]IOT!$A:$G,7,0)</f>
        <v>#N/A</v>
      </c>
      <c r="AI148" s="78" t="e">
        <f>VLOOKUP(K148,[1]IOT!$A:$H,8,0)</f>
        <v>#N/A</v>
      </c>
      <c r="AJ148" s="78" t="e">
        <f>VLOOKUP(K148,[1]IOT!$A:$I,9,0)</f>
        <v>#N/A</v>
      </c>
      <c r="AK148" s="78" t="e">
        <f>VLOOKUP(K148,[1]IOT!$A:$J,10,0)</f>
        <v>#N/A</v>
      </c>
      <c r="AL148" s="78" t="e">
        <f>VLOOKUP(K148,[1]IOT!$A:$K,11,0)</f>
        <v>#N/A</v>
      </c>
      <c r="AM148" s="78"/>
      <c r="AN148" s="78"/>
      <c r="AO148" s="79">
        <f t="shared" si="26"/>
        <v>0</v>
      </c>
      <c r="AP148" s="80">
        <f t="shared" si="27"/>
        <v>0</v>
      </c>
      <c r="AQ148" s="77"/>
      <c r="AR148" s="6" t="str">
        <f t="shared" si="28"/>
        <v/>
      </c>
    </row>
    <row r="149" spans="1:44" s="6" customFormat="1" ht="47.25" customHeight="1" x14ac:dyDescent="0.35">
      <c r="A149" s="71"/>
      <c r="B149" s="68"/>
      <c r="C149" s="25"/>
      <c r="D149" s="25"/>
      <c r="E149" s="67" t="str">
        <f t="shared" si="20"/>
        <v/>
      </c>
      <c r="F149" s="62"/>
      <c r="G149" s="14"/>
      <c r="H149" s="65"/>
      <c r="I149" s="70"/>
      <c r="J149" s="14"/>
      <c r="K149" s="69"/>
      <c r="L149" s="15"/>
      <c r="M149" s="16"/>
      <c r="N149" s="17"/>
      <c r="O149" s="72"/>
      <c r="P149" s="18"/>
      <c r="Q149" s="60"/>
      <c r="R149" s="19"/>
      <c r="S149" s="18"/>
      <c r="T149" s="75"/>
      <c r="U149" s="20"/>
      <c r="V149" s="21"/>
      <c r="W149" s="22"/>
      <c r="Y149" s="78" t="e">
        <f>VLOOKUP(V149,[1]IOT!$A:$B,2,0)</f>
        <v>#N/A</v>
      </c>
      <c r="Z149" s="78">
        <f>IF(ISNA(VLOOKUP(K149,[2]Sheet1!$A:$B,2,0)),0,(VLOOKUP(K149,[2]Sheet1!$A:$B,2,0)))</f>
        <v>0</v>
      </c>
      <c r="AA149" s="78">
        <f t="shared" si="25"/>
        <v>0</v>
      </c>
      <c r="AB149" s="78" t="e">
        <f>VLOOKUP(K149,[1]IOT!$A:$E,5,0)</f>
        <v>#N/A</v>
      </c>
      <c r="AC149" s="78"/>
      <c r="AD149" s="78" t="e">
        <f>VLOOKUP(K149,[1]IOT!$A:$F,6,0)</f>
        <v>#N/A</v>
      </c>
      <c r="AE149" s="78"/>
      <c r="AF149" s="78"/>
      <c r="AG149" s="78"/>
      <c r="AH149" s="78" t="e">
        <f>VLOOKUP(K149,[1]IOT!$A:$G,7,0)</f>
        <v>#N/A</v>
      </c>
      <c r="AI149" s="78" t="e">
        <f>VLOOKUP(K149,[1]IOT!$A:$H,8,0)</f>
        <v>#N/A</v>
      </c>
      <c r="AJ149" s="78" t="e">
        <f>VLOOKUP(K149,[1]IOT!$A:$I,9,0)</f>
        <v>#N/A</v>
      </c>
      <c r="AK149" s="78" t="e">
        <f>VLOOKUP(K149,[1]IOT!$A:$J,10,0)</f>
        <v>#N/A</v>
      </c>
      <c r="AL149" s="78" t="e">
        <f>VLOOKUP(K149,[1]IOT!$A:$K,11,0)</f>
        <v>#N/A</v>
      </c>
      <c r="AM149" s="78"/>
      <c r="AN149" s="78"/>
      <c r="AO149" s="79">
        <f t="shared" si="26"/>
        <v>0</v>
      </c>
      <c r="AP149" s="80">
        <f t="shared" si="27"/>
        <v>0</v>
      </c>
      <c r="AQ149" s="77"/>
      <c r="AR149" s="6" t="str">
        <f t="shared" si="28"/>
        <v/>
      </c>
    </row>
    <row r="150" spans="1:44" s="6" customFormat="1" ht="47.25" customHeight="1" x14ac:dyDescent="0.35">
      <c r="A150" s="71"/>
      <c r="B150" s="68"/>
      <c r="C150" s="25"/>
      <c r="D150" s="25"/>
      <c r="E150" s="67" t="str">
        <f t="shared" si="20"/>
        <v/>
      </c>
      <c r="F150" s="62"/>
      <c r="G150" s="14"/>
      <c r="H150" s="65"/>
      <c r="I150" s="70"/>
      <c r="J150" s="14"/>
      <c r="K150" s="69"/>
      <c r="L150" s="15"/>
      <c r="M150" s="16"/>
      <c r="N150" s="17"/>
      <c r="O150" s="72"/>
      <c r="P150" s="18"/>
      <c r="Q150" s="60"/>
      <c r="R150" s="19"/>
      <c r="S150" s="18"/>
      <c r="T150" s="75"/>
      <c r="U150" s="20"/>
      <c r="V150" s="21"/>
      <c r="W150" s="22"/>
      <c r="Y150" s="78" t="e">
        <f>VLOOKUP(V150,[1]IOT!$A:$B,2,0)</f>
        <v>#N/A</v>
      </c>
      <c r="Z150" s="78">
        <f>IF(ISNA(VLOOKUP(K150,[2]Sheet1!$A:$B,2,0)),0,(VLOOKUP(K150,[2]Sheet1!$A:$B,2,0)))</f>
        <v>0</v>
      </c>
      <c r="AA150" s="78">
        <f t="shared" si="25"/>
        <v>0</v>
      </c>
      <c r="AB150" s="78" t="e">
        <f>VLOOKUP(K150,[1]IOT!$A:$E,5,0)</f>
        <v>#N/A</v>
      </c>
      <c r="AC150" s="78"/>
      <c r="AD150" s="78" t="e">
        <f>VLOOKUP(K150,[1]IOT!$A:$F,6,0)</f>
        <v>#N/A</v>
      </c>
      <c r="AE150" s="78"/>
      <c r="AF150" s="78"/>
      <c r="AG150" s="78"/>
      <c r="AH150" s="78" t="e">
        <f>VLOOKUP(K150,[1]IOT!$A:$G,7,0)</f>
        <v>#N/A</v>
      </c>
      <c r="AI150" s="78" t="e">
        <f>VLOOKUP(K150,[1]IOT!$A:$H,8,0)</f>
        <v>#N/A</v>
      </c>
      <c r="AJ150" s="78" t="e">
        <f>VLOOKUP(K150,[1]IOT!$A:$I,9,0)</f>
        <v>#N/A</v>
      </c>
      <c r="AK150" s="78" t="e">
        <f>VLOOKUP(K150,[1]IOT!$A:$J,10,0)</f>
        <v>#N/A</v>
      </c>
      <c r="AL150" s="78" t="e">
        <f>VLOOKUP(K150,[1]IOT!$A:$K,11,0)</f>
        <v>#N/A</v>
      </c>
      <c r="AM150" s="78"/>
      <c r="AN150" s="78"/>
      <c r="AO150" s="79">
        <f t="shared" si="26"/>
        <v>0</v>
      </c>
      <c r="AP150" s="80">
        <f t="shared" si="27"/>
        <v>0</v>
      </c>
      <c r="AQ150" s="77"/>
      <c r="AR150" s="6" t="str">
        <f t="shared" si="28"/>
        <v/>
      </c>
    </row>
    <row r="151" spans="1:44" s="6" customFormat="1" ht="47.25" customHeight="1" x14ac:dyDescent="0.35">
      <c r="A151" s="71"/>
      <c r="B151" s="68"/>
      <c r="C151" s="25"/>
      <c r="D151" s="25"/>
      <c r="E151" s="67" t="str">
        <f t="shared" si="20"/>
        <v/>
      </c>
      <c r="F151" s="62"/>
      <c r="G151" s="14"/>
      <c r="H151" s="65"/>
      <c r="I151" s="70"/>
      <c r="J151" s="14"/>
      <c r="K151" s="69"/>
      <c r="L151" s="15"/>
      <c r="M151" s="16"/>
      <c r="N151" s="17"/>
      <c r="O151" s="72"/>
      <c r="P151" s="18"/>
      <c r="Q151" s="60"/>
      <c r="R151" s="19"/>
      <c r="S151" s="18"/>
      <c r="T151" s="75"/>
      <c r="U151" s="20"/>
      <c r="V151" s="21"/>
      <c r="W151" s="22"/>
      <c r="Y151" s="78" t="e">
        <f>VLOOKUP(V151,[1]IOT!$A:$B,2,0)</f>
        <v>#N/A</v>
      </c>
      <c r="Z151" s="78">
        <f>IF(ISNA(VLOOKUP(K151,[2]Sheet1!$A:$B,2,0)),0,(VLOOKUP(K151,[2]Sheet1!$A:$B,2,0)))</f>
        <v>0</v>
      </c>
      <c r="AA151" s="78">
        <f t="shared" si="25"/>
        <v>0</v>
      </c>
      <c r="AB151" s="78" t="e">
        <f>VLOOKUP(K151,[1]IOT!$A:$E,5,0)</f>
        <v>#N/A</v>
      </c>
      <c r="AC151" s="78"/>
      <c r="AD151" s="78" t="e">
        <f>VLOOKUP(K151,[1]IOT!$A:$F,6,0)</f>
        <v>#N/A</v>
      </c>
      <c r="AE151" s="78"/>
      <c r="AF151" s="78"/>
      <c r="AG151" s="78"/>
      <c r="AH151" s="78" t="e">
        <f>VLOOKUP(K151,[1]IOT!$A:$G,7,0)</f>
        <v>#N/A</v>
      </c>
      <c r="AI151" s="78" t="e">
        <f>VLOOKUP(K151,[1]IOT!$A:$H,8,0)</f>
        <v>#N/A</v>
      </c>
      <c r="AJ151" s="78" t="e">
        <f>VLOOKUP(K151,[1]IOT!$A:$I,9,0)</f>
        <v>#N/A</v>
      </c>
      <c r="AK151" s="78" t="e">
        <f>VLOOKUP(K151,[1]IOT!$A:$J,10,0)</f>
        <v>#N/A</v>
      </c>
      <c r="AL151" s="78" t="e">
        <f>VLOOKUP(K151,[1]IOT!$A:$K,11,0)</f>
        <v>#N/A</v>
      </c>
      <c r="AM151" s="78"/>
      <c r="AN151" s="78"/>
      <c r="AO151" s="79">
        <f t="shared" si="26"/>
        <v>0</v>
      </c>
      <c r="AP151" s="80">
        <f t="shared" si="27"/>
        <v>0</v>
      </c>
      <c r="AQ151" s="77"/>
      <c r="AR151" s="6" t="str">
        <f t="shared" si="28"/>
        <v/>
      </c>
    </row>
    <row r="152" spans="1:44" s="6" customFormat="1" ht="47.25" customHeight="1" x14ac:dyDescent="0.35">
      <c r="A152" s="71"/>
      <c r="B152" s="68"/>
      <c r="C152" s="25"/>
      <c r="D152" s="25"/>
      <c r="E152" s="67" t="str">
        <f t="shared" si="20"/>
        <v/>
      </c>
      <c r="F152" s="62"/>
      <c r="G152" s="14"/>
      <c r="H152" s="65"/>
      <c r="I152" s="70"/>
      <c r="J152" s="14"/>
      <c r="K152" s="69"/>
      <c r="L152" s="15"/>
      <c r="M152" s="16"/>
      <c r="N152" s="17"/>
      <c r="O152" s="72"/>
      <c r="P152" s="18"/>
      <c r="Q152" s="60"/>
      <c r="R152" s="19"/>
      <c r="S152" s="18"/>
      <c r="T152" s="75"/>
      <c r="U152" s="20"/>
      <c r="V152" s="21"/>
      <c r="W152" s="22"/>
      <c r="Y152" s="78" t="e">
        <f>VLOOKUP(V152,[1]IOT!$A:$B,2,0)</f>
        <v>#N/A</v>
      </c>
      <c r="Z152" s="78">
        <f>IF(ISNA(VLOOKUP(K152,[2]Sheet1!$A:$B,2,0)),0,(VLOOKUP(K152,[2]Sheet1!$A:$B,2,0)))</f>
        <v>0</v>
      </c>
      <c r="AA152" s="78">
        <f t="shared" si="25"/>
        <v>0</v>
      </c>
      <c r="AB152" s="78" t="e">
        <f>VLOOKUP(K152,[1]IOT!$A:$E,5,0)</f>
        <v>#N/A</v>
      </c>
      <c r="AC152" s="78"/>
      <c r="AD152" s="78" t="e">
        <f>VLOOKUP(K152,[1]IOT!$A:$F,6,0)</f>
        <v>#N/A</v>
      </c>
      <c r="AE152" s="78"/>
      <c r="AF152" s="78"/>
      <c r="AG152" s="78"/>
      <c r="AH152" s="78" t="e">
        <f>VLOOKUP(K152,[1]IOT!$A:$G,7,0)</f>
        <v>#N/A</v>
      </c>
      <c r="AI152" s="78" t="e">
        <f>VLOOKUP(K152,[1]IOT!$A:$H,8,0)</f>
        <v>#N/A</v>
      </c>
      <c r="AJ152" s="78" t="e">
        <f>VLOOKUP(K152,[1]IOT!$A:$I,9,0)</f>
        <v>#N/A</v>
      </c>
      <c r="AK152" s="78" t="e">
        <f>VLOOKUP(K152,[1]IOT!$A:$J,10,0)</f>
        <v>#N/A</v>
      </c>
      <c r="AL152" s="78" t="e">
        <f>VLOOKUP(K152,[1]IOT!$A:$K,11,0)</f>
        <v>#N/A</v>
      </c>
      <c r="AM152" s="78"/>
      <c r="AN152" s="78"/>
      <c r="AO152" s="79">
        <f t="shared" si="26"/>
        <v>0</v>
      </c>
      <c r="AP152" s="80">
        <f t="shared" si="27"/>
        <v>0</v>
      </c>
      <c r="AQ152" s="77"/>
      <c r="AR152" s="6" t="str">
        <f t="shared" si="28"/>
        <v/>
      </c>
    </row>
    <row r="153" spans="1:44" s="6" customFormat="1" ht="47.25" customHeight="1" x14ac:dyDescent="0.35">
      <c r="A153" s="71"/>
      <c r="B153" s="68"/>
      <c r="C153" s="25"/>
      <c r="D153" s="25"/>
      <c r="E153" s="67" t="str">
        <f t="shared" si="20"/>
        <v/>
      </c>
      <c r="F153" s="62"/>
      <c r="G153" s="14"/>
      <c r="H153" s="65"/>
      <c r="I153" s="70"/>
      <c r="J153" s="14"/>
      <c r="K153" s="69"/>
      <c r="L153" s="15"/>
      <c r="M153" s="16"/>
      <c r="N153" s="17"/>
      <c r="O153" s="72"/>
      <c r="P153" s="18"/>
      <c r="Q153" s="60"/>
      <c r="R153" s="19"/>
      <c r="S153" s="18"/>
      <c r="T153" s="75"/>
      <c r="U153" s="20"/>
      <c r="V153" s="21"/>
      <c r="W153" s="22"/>
      <c r="Y153" s="78" t="e">
        <f>VLOOKUP(V153,[1]IOT!$A:$B,2,0)</f>
        <v>#N/A</v>
      </c>
      <c r="Z153" s="78">
        <f>IF(ISNA(VLOOKUP(K153,[2]Sheet1!$A:$B,2,0)),0,(VLOOKUP(K153,[2]Sheet1!$A:$B,2,0)))</f>
        <v>0</v>
      </c>
      <c r="AA153" s="78">
        <f t="shared" si="25"/>
        <v>0</v>
      </c>
      <c r="AB153" s="78" t="e">
        <f>VLOOKUP(K153,[1]IOT!$A:$E,5,0)</f>
        <v>#N/A</v>
      </c>
      <c r="AC153" s="78"/>
      <c r="AD153" s="78" t="e">
        <f>VLOOKUP(K153,[1]IOT!$A:$F,6,0)</f>
        <v>#N/A</v>
      </c>
      <c r="AE153" s="78"/>
      <c r="AF153" s="78"/>
      <c r="AG153" s="78"/>
      <c r="AH153" s="78" t="e">
        <f>VLOOKUP(K153,[1]IOT!$A:$G,7,0)</f>
        <v>#N/A</v>
      </c>
      <c r="AI153" s="78" t="e">
        <f>VLOOKUP(K153,[1]IOT!$A:$H,8,0)</f>
        <v>#N/A</v>
      </c>
      <c r="AJ153" s="78" t="e">
        <f>VLOOKUP(K153,[1]IOT!$A:$I,9,0)</f>
        <v>#N/A</v>
      </c>
      <c r="AK153" s="78" t="e">
        <f>VLOOKUP(K153,[1]IOT!$A:$J,10,0)</f>
        <v>#N/A</v>
      </c>
      <c r="AL153" s="78" t="e">
        <f>VLOOKUP(K153,[1]IOT!$A:$K,11,0)</f>
        <v>#N/A</v>
      </c>
      <c r="AM153" s="78"/>
      <c r="AN153" s="78"/>
      <c r="AO153" s="79">
        <f t="shared" si="26"/>
        <v>0</v>
      </c>
      <c r="AP153" s="80">
        <f t="shared" si="27"/>
        <v>0</v>
      </c>
      <c r="AQ153" s="77"/>
      <c r="AR153" s="6" t="str">
        <f t="shared" si="28"/>
        <v/>
      </c>
    </row>
    <row r="154" spans="1:44" s="6" customFormat="1" ht="47.25" customHeight="1" x14ac:dyDescent="0.35">
      <c r="A154" s="71"/>
      <c r="B154" s="68"/>
      <c r="C154" s="25"/>
      <c r="D154" s="25"/>
      <c r="E154" s="67" t="str">
        <f t="shared" si="20"/>
        <v/>
      </c>
      <c r="F154" s="62"/>
      <c r="G154" s="14"/>
      <c r="H154" s="65"/>
      <c r="I154" s="70"/>
      <c r="J154" s="14"/>
      <c r="K154" s="69"/>
      <c r="L154" s="15"/>
      <c r="M154" s="16"/>
      <c r="N154" s="17"/>
      <c r="O154" s="72"/>
      <c r="P154" s="18"/>
      <c r="Q154" s="60"/>
      <c r="R154" s="19"/>
      <c r="S154" s="18"/>
      <c r="T154" s="75"/>
      <c r="U154" s="20"/>
      <c r="V154" s="21"/>
      <c r="W154" s="22"/>
      <c r="Y154" s="78" t="e">
        <f>VLOOKUP(V154,[1]IOT!$A:$B,2,0)</f>
        <v>#N/A</v>
      </c>
      <c r="Z154" s="78">
        <f>IF(ISNA(VLOOKUP(K154,[2]Sheet1!$A:$B,2,0)),0,(VLOOKUP(K154,[2]Sheet1!$A:$B,2,0)))</f>
        <v>0</v>
      </c>
      <c r="AA154" s="78">
        <f t="shared" si="25"/>
        <v>0</v>
      </c>
      <c r="AB154" s="78" t="e">
        <f>VLOOKUP(K154,[1]IOT!$A:$E,5,0)</f>
        <v>#N/A</v>
      </c>
      <c r="AC154" s="78"/>
      <c r="AD154" s="78" t="e">
        <f>VLOOKUP(K154,[1]IOT!$A:$F,6,0)</f>
        <v>#N/A</v>
      </c>
      <c r="AE154" s="78"/>
      <c r="AF154" s="78"/>
      <c r="AG154" s="78"/>
      <c r="AH154" s="78" t="e">
        <f>VLOOKUP(K154,[1]IOT!$A:$G,7,0)</f>
        <v>#N/A</v>
      </c>
      <c r="AI154" s="78" t="e">
        <f>VLOOKUP(K154,[1]IOT!$A:$H,8,0)</f>
        <v>#N/A</v>
      </c>
      <c r="AJ154" s="78" t="e">
        <f>VLOOKUP(K154,[1]IOT!$A:$I,9,0)</f>
        <v>#N/A</v>
      </c>
      <c r="AK154" s="78" t="e">
        <f>VLOOKUP(K154,[1]IOT!$A:$J,10,0)</f>
        <v>#N/A</v>
      </c>
      <c r="AL154" s="78" t="e">
        <f>VLOOKUP(K154,[1]IOT!$A:$K,11,0)</f>
        <v>#N/A</v>
      </c>
      <c r="AM154" s="78"/>
      <c r="AN154" s="78"/>
      <c r="AO154" s="79">
        <f t="shared" si="26"/>
        <v>0</v>
      </c>
      <c r="AP154" s="80">
        <f t="shared" si="27"/>
        <v>0</v>
      </c>
      <c r="AQ154" s="77"/>
      <c r="AR154" s="6" t="str">
        <f t="shared" si="28"/>
        <v/>
      </c>
    </row>
    <row r="155" spans="1:44" s="6" customFormat="1" ht="47.25" customHeight="1" x14ac:dyDescent="0.35">
      <c r="A155" s="71"/>
      <c r="B155" s="68"/>
      <c r="C155" s="25"/>
      <c r="D155" s="25"/>
      <c r="E155" s="67" t="str">
        <f t="shared" si="20"/>
        <v/>
      </c>
      <c r="F155" s="62"/>
      <c r="G155" s="14"/>
      <c r="H155" s="65"/>
      <c r="I155" s="70"/>
      <c r="J155" s="14"/>
      <c r="K155" s="69"/>
      <c r="L155" s="15"/>
      <c r="M155" s="16"/>
      <c r="N155" s="17"/>
      <c r="O155" s="72"/>
      <c r="P155" s="18"/>
      <c r="Q155" s="60"/>
      <c r="R155" s="19"/>
      <c r="S155" s="18"/>
      <c r="T155" s="75"/>
      <c r="U155" s="20"/>
      <c r="V155" s="21"/>
      <c r="W155" s="22"/>
      <c r="Y155" s="78" t="e">
        <f>VLOOKUP(V155,[1]IOT!$A:$B,2,0)</f>
        <v>#N/A</v>
      </c>
      <c r="Z155" s="78">
        <f>IF(ISNA(VLOOKUP(K155,[2]Sheet1!$A:$B,2,0)),0,(VLOOKUP(K155,[2]Sheet1!$A:$B,2,0)))</f>
        <v>0</v>
      </c>
      <c r="AA155" s="78">
        <f t="shared" si="25"/>
        <v>0</v>
      </c>
      <c r="AB155" s="78" t="e">
        <f>VLOOKUP(K155,[1]IOT!$A:$E,5,0)</f>
        <v>#N/A</v>
      </c>
      <c r="AC155" s="78"/>
      <c r="AD155" s="78" t="e">
        <f>VLOOKUP(K155,[1]IOT!$A:$F,6,0)</f>
        <v>#N/A</v>
      </c>
      <c r="AE155" s="78"/>
      <c r="AF155" s="78"/>
      <c r="AG155" s="78"/>
      <c r="AH155" s="78" t="e">
        <f>VLOOKUP(K155,[1]IOT!$A:$G,7,0)</f>
        <v>#N/A</v>
      </c>
      <c r="AI155" s="78" t="e">
        <f>VLOOKUP(K155,[1]IOT!$A:$H,8,0)</f>
        <v>#N/A</v>
      </c>
      <c r="AJ155" s="78" t="e">
        <f>VLOOKUP(K155,[1]IOT!$A:$I,9,0)</f>
        <v>#N/A</v>
      </c>
      <c r="AK155" s="78" t="e">
        <f>VLOOKUP(K155,[1]IOT!$A:$J,10,0)</f>
        <v>#N/A</v>
      </c>
      <c r="AL155" s="78" t="e">
        <f>VLOOKUP(K155,[1]IOT!$A:$K,11,0)</f>
        <v>#N/A</v>
      </c>
      <c r="AM155" s="78"/>
      <c r="AN155" s="78"/>
      <c r="AO155" s="79">
        <f t="shared" si="26"/>
        <v>0</v>
      </c>
      <c r="AP155" s="80">
        <f t="shared" si="27"/>
        <v>0</v>
      </c>
      <c r="AQ155" s="77"/>
      <c r="AR155" s="6" t="str">
        <f t="shared" si="28"/>
        <v/>
      </c>
    </row>
    <row r="156" spans="1:44" s="6" customFormat="1" ht="47.25" customHeight="1" x14ac:dyDescent="0.35">
      <c r="A156" s="71"/>
      <c r="B156" s="68"/>
      <c r="C156" s="25"/>
      <c r="D156" s="25"/>
      <c r="E156" s="67" t="str">
        <f t="shared" si="20"/>
        <v/>
      </c>
      <c r="F156" s="62"/>
      <c r="G156" s="14"/>
      <c r="H156" s="65"/>
      <c r="I156" s="70"/>
      <c r="J156" s="14"/>
      <c r="K156" s="69"/>
      <c r="L156" s="15"/>
      <c r="M156" s="16"/>
      <c r="N156" s="17"/>
      <c r="O156" s="72"/>
      <c r="P156" s="18"/>
      <c r="Q156" s="60"/>
      <c r="R156" s="19"/>
      <c r="S156" s="18"/>
      <c r="T156" s="75"/>
      <c r="U156" s="20"/>
      <c r="V156" s="21"/>
      <c r="W156" s="22"/>
      <c r="Y156" s="78" t="e">
        <f>VLOOKUP(V156,[1]IOT!$A:$B,2,0)</f>
        <v>#N/A</v>
      </c>
      <c r="Z156" s="78">
        <f>IF(ISNA(VLOOKUP(K156,[2]Sheet1!$A:$B,2,0)),0,(VLOOKUP(K156,[2]Sheet1!$A:$B,2,0)))</f>
        <v>0</v>
      </c>
      <c r="AA156" s="78">
        <f t="shared" si="25"/>
        <v>0</v>
      </c>
      <c r="AB156" s="78" t="e">
        <f>VLOOKUP(K156,[1]IOT!$A:$E,5,0)</f>
        <v>#N/A</v>
      </c>
      <c r="AC156" s="78"/>
      <c r="AD156" s="78" t="e">
        <f>VLOOKUP(K156,[1]IOT!$A:$F,6,0)</f>
        <v>#N/A</v>
      </c>
      <c r="AE156" s="78"/>
      <c r="AF156" s="78"/>
      <c r="AG156" s="78"/>
      <c r="AH156" s="78" t="e">
        <f>VLOOKUP(K156,[1]IOT!$A:$G,7,0)</f>
        <v>#N/A</v>
      </c>
      <c r="AI156" s="78" t="e">
        <f>VLOOKUP(K156,[1]IOT!$A:$H,8,0)</f>
        <v>#N/A</v>
      </c>
      <c r="AJ156" s="78" t="e">
        <f>VLOOKUP(K156,[1]IOT!$A:$I,9,0)</f>
        <v>#N/A</v>
      </c>
      <c r="AK156" s="78" t="e">
        <f>VLOOKUP(K156,[1]IOT!$A:$J,10,0)</f>
        <v>#N/A</v>
      </c>
      <c r="AL156" s="78" t="e">
        <f>VLOOKUP(K156,[1]IOT!$A:$K,11,0)</f>
        <v>#N/A</v>
      </c>
      <c r="AM156" s="78"/>
      <c r="AN156" s="78"/>
      <c r="AO156" s="79">
        <f t="shared" si="26"/>
        <v>0</v>
      </c>
      <c r="AP156" s="80">
        <f t="shared" si="27"/>
        <v>0</v>
      </c>
      <c r="AQ156" s="77"/>
      <c r="AR156" s="6" t="str">
        <f t="shared" si="28"/>
        <v/>
      </c>
    </row>
    <row r="157" spans="1:44" s="6" customFormat="1" ht="47.25" customHeight="1" x14ac:dyDescent="0.35">
      <c r="A157" s="71"/>
      <c r="B157" s="68"/>
      <c r="C157" s="25"/>
      <c r="D157" s="25"/>
      <c r="E157" s="67" t="str">
        <f t="shared" si="20"/>
        <v/>
      </c>
      <c r="F157" s="62"/>
      <c r="G157" s="14"/>
      <c r="H157" s="65"/>
      <c r="I157" s="70"/>
      <c r="J157" s="14"/>
      <c r="K157" s="69"/>
      <c r="L157" s="15"/>
      <c r="M157" s="16"/>
      <c r="N157" s="17"/>
      <c r="O157" s="72"/>
      <c r="P157" s="18"/>
      <c r="Q157" s="60"/>
      <c r="R157" s="19"/>
      <c r="S157" s="18"/>
      <c r="T157" s="75"/>
      <c r="U157" s="20"/>
      <c r="V157" s="21"/>
      <c r="W157" s="22"/>
      <c r="Y157" s="78" t="e">
        <f>VLOOKUP(V157,[1]IOT!$A:$B,2,0)</f>
        <v>#N/A</v>
      </c>
      <c r="Z157" s="78">
        <f>IF(ISNA(VLOOKUP(K157,[2]Sheet1!$A:$B,2,0)),0,(VLOOKUP(K157,[2]Sheet1!$A:$B,2,0)))</f>
        <v>0</v>
      </c>
      <c r="AA157" s="78">
        <f t="shared" si="25"/>
        <v>0</v>
      </c>
      <c r="AB157" s="78" t="e">
        <f>VLOOKUP(K157,[1]IOT!$A:$E,5,0)</f>
        <v>#N/A</v>
      </c>
      <c r="AC157" s="78"/>
      <c r="AD157" s="78" t="e">
        <f>VLOOKUP(K157,[1]IOT!$A:$F,6,0)</f>
        <v>#N/A</v>
      </c>
      <c r="AE157" s="78"/>
      <c r="AF157" s="78"/>
      <c r="AG157" s="78"/>
      <c r="AH157" s="78" t="e">
        <f>VLOOKUP(K157,[1]IOT!$A:$G,7,0)</f>
        <v>#N/A</v>
      </c>
      <c r="AI157" s="78" t="e">
        <f>VLOOKUP(K157,[1]IOT!$A:$H,8,0)</f>
        <v>#N/A</v>
      </c>
      <c r="AJ157" s="78" t="e">
        <f>VLOOKUP(K157,[1]IOT!$A:$I,9,0)</f>
        <v>#N/A</v>
      </c>
      <c r="AK157" s="78" t="e">
        <f>VLOOKUP(K157,[1]IOT!$A:$J,10,0)</f>
        <v>#N/A</v>
      </c>
      <c r="AL157" s="78" t="e">
        <f>VLOOKUP(K157,[1]IOT!$A:$K,11,0)</f>
        <v>#N/A</v>
      </c>
      <c r="AM157" s="78"/>
      <c r="AN157" s="78"/>
      <c r="AO157" s="79">
        <f t="shared" si="26"/>
        <v>0</v>
      </c>
      <c r="AP157" s="80">
        <f t="shared" si="27"/>
        <v>0</v>
      </c>
      <c r="AQ157" s="77"/>
      <c r="AR157" s="6" t="str">
        <f t="shared" si="28"/>
        <v/>
      </c>
    </row>
    <row r="158" spans="1:44" s="6" customFormat="1" ht="47.25" customHeight="1" x14ac:dyDescent="0.35">
      <c r="A158" s="71"/>
      <c r="B158" s="68"/>
      <c r="C158" s="25"/>
      <c r="D158" s="25"/>
      <c r="E158" s="67" t="str">
        <f t="shared" si="20"/>
        <v/>
      </c>
      <c r="F158" s="62"/>
      <c r="G158" s="14"/>
      <c r="H158" s="65"/>
      <c r="I158" s="70"/>
      <c r="J158" s="14"/>
      <c r="K158" s="69"/>
      <c r="L158" s="15"/>
      <c r="M158" s="16"/>
      <c r="N158" s="17"/>
      <c r="O158" s="72"/>
      <c r="P158" s="18"/>
      <c r="Q158" s="60"/>
      <c r="R158" s="19"/>
      <c r="S158" s="18"/>
      <c r="T158" s="75"/>
      <c r="U158" s="20"/>
      <c r="V158" s="21"/>
      <c r="W158" s="22"/>
      <c r="Y158" s="78" t="e">
        <f>VLOOKUP(V158,[1]IOT!$A:$B,2,0)</f>
        <v>#N/A</v>
      </c>
      <c r="Z158" s="78">
        <f>IF(ISNA(VLOOKUP(K158,[2]Sheet1!$A:$B,2,0)),0,(VLOOKUP(K158,[2]Sheet1!$A:$B,2,0)))</f>
        <v>0</v>
      </c>
      <c r="AA158" s="78">
        <f t="shared" si="25"/>
        <v>0</v>
      </c>
      <c r="AB158" s="78" t="e">
        <f>VLOOKUP(K158,[1]IOT!$A:$E,5,0)</f>
        <v>#N/A</v>
      </c>
      <c r="AC158" s="78"/>
      <c r="AD158" s="78" t="e">
        <f>VLOOKUP(K158,[1]IOT!$A:$F,6,0)</f>
        <v>#N/A</v>
      </c>
      <c r="AE158" s="78"/>
      <c r="AF158" s="78"/>
      <c r="AG158" s="78"/>
      <c r="AH158" s="78" t="e">
        <f>VLOOKUP(K158,[1]IOT!$A:$G,7,0)</f>
        <v>#N/A</v>
      </c>
      <c r="AI158" s="78" t="e">
        <f>VLOOKUP(K158,[1]IOT!$A:$H,8,0)</f>
        <v>#N/A</v>
      </c>
      <c r="AJ158" s="78" t="e">
        <f>VLOOKUP(K158,[1]IOT!$A:$I,9,0)</f>
        <v>#N/A</v>
      </c>
      <c r="AK158" s="78" t="e">
        <f>VLOOKUP(K158,[1]IOT!$A:$J,10,0)</f>
        <v>#N/A</v>
      </c>
      <c r="AL158" s="78" t="e">
        <f>VLOOKUP(K158,[1]IOT!$A:$K,11,0)</f>
        <v>#N/A</v>
      </c>
      <c r="AM158" s="78"/>
      <c r="AN158" s="78"/>
      <c r="AO158" s="79">
        <f t="shared" si="26"/>
        <v>0</v>
      </c>
      <c r="AP158" s="80">
        <f t="shared" si="27"/>
        <v>0</v>
      </c>
      <c r="AQ158" s="77"/>
      <c r="AR158" s="6" t="str">
        <f t="shared" si="28"/>
        <v/>
      </c>
    </row>
    <row r="159" spans="1:44" s="6" customFormat="1" ht="47.25" customHeight="1" x14ac:dyDescent="0.35">
      <c r="A159" s="71"/>
      <c r="B159" s="68"/>
      <c r="C159" s="25"/>
      <c r="D159" s="25"/>
      <c r="E159" s="67" t="str">
        <f t="shared" si="20"/>
        <v/>
      </c>
      <c r="F159" s="62"/>
      <c r="G159" s="14"/>
      <c r="H159" s="65"/>
      <c r="I159" s="70"/>
      <c r="J159" s="14"/>
      <c r="K159" s="69"/>
      <c r="L159" s="15"/>
      <c r="M159" s="16"/>
      <c r="N159" s="17"/>
      <c r="O159" s="72"/>
      <c r="P159" s="18"/>
      <c r="Q159" s="60"/>
      <c r="R159" s="19"/>
      <c r="S159" s="18"/>
      <c r="T159" s="75"/>
      <c r="U159" s="20"/>
      <c r="V159" s="21"/>
      <c r="W159" s="22"/>
      <c r="Y159" s="78" t="e">
        <f>VLOOKUP(V159,[1]IOT!$A:$B,2,0)</f>
        <v>#N/A</v>
      </c>
      <c r="Z159" s="78">
        <f>IF(ISNA(VLOOKUP(K159,[2]Sheet1!$A:$B,2,0)),0,(VLOOKUP(K159,[2]Sheet1!$A:$B,2,0)))</f>
        <v>0</v>
      </c>
      <c r="AA159" s="78">
        <f t="shared" si="25"/>
        <v>0</v>
      </c>
      <c r="AB159" s="78" t="e">
        <f>VLOOKUP(K159,[1]IOT!$A:$E,5,0)</f>
        <v>#N/A</v>
      </c>
      <c r="AC159" s="78"/>
      <c r="AD159" s="78" t="e">
        <f>VLOOKUP(K159,[1]IOT!$A:$F,6,0)</f>
        <v>#N/A</v>
      </c>
      <c r="AE159" s="78"/>
      <c r="AF159" s="78"/>
      <c r="AG159" s="78"/>
      <c r="AH159" s="78" t="e">
        <f>VLOOKUP(K159,[1]IOT!$A:$G,7,0)</f>
        <v>#N/A</v>
      </c>
      <c r="AI159" s="78" t="e">
        <f>VLOOKUP(K159,[1]IOT!$A:$H,8,0)</f>
        <v>#N/A</v>
      </c>
      <c r="AJ159" s="78" t="e">
        <f>VLOOKUP(K159,[1]IOT!$A:$I,9,0)</f>
        <v>#N/A</v>
      </c>
      <c r="AK159" s="78" t="e">
        <f>VLOOKUP(K159,[1]IOT!$A:$J,10,0)</f>
        <v>#N/A</v>
      </c>
      <c r="AL159" s="78" t="e">
        <f>VLOOKUP(K159,[1]IOT!$A:$K,11,0)</f>
        <v>#N/A</v>
      </c>
      <c r="AM159" s="78"/>
      <c r="AN159" s="78"/>
      <c r="AO159" s="79">
        <f t="shared" si="26"/>
        <v>0</v>
      </c>
      <c r="AP159" s="80">
        <f t="shared" si="27"/>
        <v>0</v>
      </c>
      <c r="AQ159" s="77"/>
      <c r="AR159" s="6" t="str">
        <f t="shared" si="28"/>
        <v/>
      </c>
    </row>
    <row r="160" spans="1:44" s="6" customFormat="1" ht="47.25" customHeight="1" x14ac:dyDescent="0.35">
      <c r="A160" s="71"/>
      <c r="B160" s="68"/>
      <c r="C160" s="25"/>
      <c r="D160" s="25"/>
      <c r="E160" s="67" t="str">
        <f t="shared" si="20"/>
        <v/>
      </c>
      <c r="F160" s="62"/>
      <c r="G160" s="14"/>
      <c r="H160" s="65"/>
      <c r="I160" s="70"/>
      <c r="J160" s="14"/>
      <c r="K160" s="69"/>
      <c r="L160" s="15"/>
      <c r="M160" s="16"/>
      <c r="N160" s="17"/>
      <c r="O160" s="72"/>
      <c r="P160" s="18"/>
      <c r="Q160" s="60"/>
      <c r="R160" s="19"/>
      <c r="S160" s="18"/>
      <c r="T160" s="75"/>
      <c r="U160" s="20"/>
      <c r="V160" s="21"/>
      <c r="W160" s="22"/>
      <c r="Y160" s="78" t="e">
        <f>VLOOKUP(V160,[1]IOT!$A:$B,2,0)</f>
        <v>#N/A</v>
      </c>
      <c r="Z160" s="78">
        <f>IF(ISNA(VLOOKUP(K160,[2]Sheet1!$A:$B,2,0)),0,(VLOOKUP(K160,[2]Sheet1!$A:$B,2,0)))</f>
        <v>0</v>
      </c>
      <c r="AA160" s="78">
        <f t="shared" ref="AA160:AA223" si="29">IF(ISNA(VLOOKUP(Y160,$Y$1:$Z$2,2,0)),0,(VLOOKUP(Y160,$Y$1:$Z$2,2,0)))</f>
        <v>0</v>
      </c>
      <c r="AB160" s="78" t="e">
        <f>VLOOKUP(K160,[1]IOT!$A:$E,5,0)</f>
        <v>#N/A</v>
      </c>
      <c r="AC160" s="78"/>
      <c r="AD160" s="78" t="e">
        <f>VLOOKUP(K160,[1]IOT!$A:$F,6,0)</f>
        <v>#N/A</v>
      </c>
      <c r="AE160" s="78"/>
      <c r="AF160" s="78"/>
      <c r="AG160" s="78"/>
      <c r="AH160" s="78" t="e">
        <f>VLOOKUP(K160,[1]IOT!$A:$G,7,0)</f>
        <v>#N/A</v>
      </c>
      <c r="AI160" s="78" t="e">
        <f>VLOOKUP(K160,[1]IOT!$A:$H,8,0)</f>
        <v>#N/A</v>
      </c>
      <c r="AJ160" s="78" t="e">
        <f>VLOOKUP(K160,[1]IOT!$A:$I,9,0)</f>
        <v>#N/A</v>
      </c>
      <c r="AK160" s="78" t="e">
        <f>VLOOKUP(K160,[1]IOT!$A:$J,10,0)</f>
        <v>#N/A</v>
      </c>
      <c r="AL160" s="78" t="e">
        <f>VLOOKUP(K160,[1]IOT!$A:$K,11,0)</f>
        <v>#N/A</v>
      </c>
      <c r="AM160" s="78"/>
      <c r="AN160" s="78"/>
      <c r="AO160" s="79">
        <f t="shared" ref="AO160:AO223" si="30">C160</f>
        <v>0</v>
      </c>
      <c r="AP160" s="80">
        <f t="shared" ref="AP160:AP223" si="31">M160</f>
        <v>0</v>
      </c>
      <c r="AQ160" s="77"/>
      <c r="AR160" s="6" t="str">
        <f t="shared" ref="AR160:AR223" si="32">B160&amp;K160</f>
        <v/>
      </c>
    </row>
    <row r="161" spans="1:44" s="6" customFormat="1" ht="47.25" customHeight="1" x14ac:dyDescent="0.35">
      <c r="A161" s="71"/>
      <c r="B161" s="68"/>
      <c r="C161" s="25"/>
      <c r="D161" s="25"/>
      <c r="E161" s="67" t="str">
        <f t="shared" si="20"/>
        <v/>
      </c>
      <c r="F161" s="62"/>
      <c r="G161" s="14"/>
      <c r="H161" s="65"/>
      <c r="I161" s="70"/>
      <c r="J161" s="14"/>
      <c r="K161" s="69"/>
      <c r="L161" s="15"/>
      <c r="M161" s="16"/>
      <c r="N161" s="17"/>
      <c r="O161" s="72"/>
      <c r="P161" s="18"/>
      <c r="Q161" s="60"/>
      <c r="R161" s="19"/>
      <c r="S161" s="18"/>
      <c r="T161" s="75"/>
      <c r="U161" s="20"/>
      <c r="V161" s="21"/>
      <c r="W161" s="22"/>
      <c r="Y161" s="78" t="e">
        <f>VLOOKUP(V161,[1]IOT!$A:$B,2,0)</f>
        <v>#N/A</v>
      </c>
      <c r="Z161" s="78">
        <f>IF(ISNA(VLOOKUP(K161,[2]Sheet1!$A:$B,2,0)),0,(VLOOKUP(K161,[2]Sheet1!$A:$B,2,0)))</f>
        <v>0</v>
      </c>
      <c r="AA161" s="78">
        <f t="shared" si="29"/>
        <v>0</v>
      </c>
      <c r="AB161" s="78" t="e">
        <f>VLOOKUP(K161,[1]IOT!$A:$E,5,0)</f>
        <v>#N/A</v>
      </c>
      <c r="AC161" s="78"/>
      <c r="AD161" s="78" t="e">
        <f>VLOOKUP(K161,[1]IOT!$A:$F,6,0)</f>
        <v>#N/A</v>
      </c>
      <c r="AE161" s="78"/>
      <c r="AF161" s="78"/>
      <c r="AG161" s="78"/>
      <c r="AH161" s="78" t="e">
        <f>VLOOKUP(K161,[1]IOT!$A:$G,7,0)</f>
        <v>#N/A</v>
      </c>
      <c r="AI161" s="78" t="e">
        <f>VLOOKUP(K161,[1]IOT!$A:$H,8,0)</f>
        <v>#N/A</v>
      </c>
      <c r="AJ161" s="78" t="e">
        <f>VLOOKUP(K161,[1]IOT!$A:$I,9,0)</f>
        <v>#N/A</v>
      </c>
      <c r="AK161" s="78" t="e">
        <f>VLOOKUP(K161,[1]IOT!$A:$J,10,0)</f>
        <v>#N/A</v>
      </c>
      <c r="AL161" s="78" t="e">
        <f>VLOOKUP(K161,[1]IOT!$A:$K,11,0)</f>
        <v>#N/A</v>
      </c>
      <c r="AM161" s="78"/>
      <c r="AN161" s="78"/>
      <c r="AO161" s="79">
        <f t="shared" si="30"/>
        <v>0</v>
      </c>
      <c r="AP161" s="80">
        <f t="shared" si="31"/>
        <v>0</v>
      </c>
      <c r="AQ161" s="77"/>
      <c r="AR161" s="6" t="str">
        <f t="shared" si="32"/>
        <v/>
      </c>
    </row>
    <row r="162" spans="1:44" s="6" customFormat="1" ht="47.25" customHeight="1" x14ac:dyDescent="0.35">
      <c r="A162" s="71"/>
      <c r="B162" s="68"/>
      <c r="C162" s="25"/>
      <c r="D162" s="25"/>
      <c r="E162" s="67" t="str">
        <f t="shared" si="20"/>
        <v/>
      </c>
      <c r="F162" s="62"/>
      <c r="G162" s="14"/>
      <c r="H162" s="65"/>
      <c r="I162" s="70"/>
      <c r="J162" s="14"/>
      <c r="K162" s="69"/>
      <c r="L162" s="15"/>
      <c r="M162" s="16"/>
      <c r="N162" s="17"/>
      <c r="O162" s="72"/>
      <c r="P162" s="18"/>
      <c r="Q162" s="60"/>
      <c r="R162" s="19"/>
      <c r="S162" s="18"/>
      <c r="T162" s="75"/>
      <c r="U162" s="20"/>
      <c r="V162" s="21"/>
      <c r="W162" s="22"/>
      <c r="Y162" s="78" t="e">
        <f>VLOOKUP(V162,[1]IOT!$A:$B,2,0)</f>
        <v>#N/A</v>
      </c>
      <c r="Z162" s="78">
        <f>IF(ISNA(VLOOKUP(K162,[2]Sheet1!$A:$B,2,0)),0,(VLOOKUP(K162,[2]Sheet1!$A:$B,2,0)))</f>
        <v>0</v>
      </c>
      <c r="AA162" s="78">
        <f t="shared" si="29"/>
        <v>0</v>
      </c>
      <c r="AB162" s="78" t="e">
        <f>VLOOKUP(K162,[1]IOT!$A:$E,5,0)</f>
        <v>#N/A</v>
      </c>
      <c r="AC162" s="78"/>
      <c r="AD162" s="78" t="e">
        <f>VLOOKUP(K162,[1]IOT!$A:$F,6,0)</f>
        <v>#N/A</v>
      </c>
      <c r="AE162" s="78"/>
      <c r="AF162" s="78"/>
      <c r="AG162" s="78"/>
      <c r="AH162" s="78" t="e">
        <f>VLOOKUP(K162,[1]IOT!$A:$G,7,0)</f>
        <v>#N/A</v>
      </c>
      <c r="AI162" s="78" t="e">
        <f>VLOOKUP(K162,[1]IOT!$A:$H,8,0)</f>
        <v>#N/A</v>
      </c>
      <c r="AJ162" s="78" t="e">
        <f>VLOOKUP(K162,[1]IOT!$A:$I,9,0)</f>
        <v>#N/A</v>
      </c>
      <c r="AK162" s="78" t="e">
        <f>VLOOKUP(K162,[1]IOT!$A:$J,10,0)</f>
        <v>#N/A</v>
      </c>
      <c r="AL162" s="78" t="e">
        <f>VLOOKUP(K162,[1]IOT!$A:$K,11,0)</f>
        <v>#N/A</v>
      </c>
      <c r="AM162" s="78"/>
      <c r="AN162" s="78"/>
      <c r="AO162" s="79">
        <f t="shared" si="30"/>
        <v>0</v>
      </c>
      <c r="AP162" s="80">
        <f t="shared" si="31"/>
        <v>0</v>
      </c>
      <c r="AQ162" s="77"/>
      <c r="AR162" s="6" t="str">
        <f t="shared" si="32"/>
        <v/>
      </c>
    </row>
    <row r="163" spans="1:44" s="6" customFormat="1" ht="47.25" customHeight="1" x14ac:dyDescent="0.35">
      <c r="A163" s="71"/>
      <c r="B163" s="68"/>
      <c r="C163" s="25"/>
      <c r="D163" s="25"/>
      <c r="E163" s="67" t="str">
        <f t="shared" si="20"/>
        <v/>
      </c>
      <c r="F163" s="62"/>
      <c r="G163" s="14"/>
      <c r="H163" s="65"/>
      <c r="I163" s="70"/>
      <c r="J163" s="14"/>
      <c r="K163" s="69"/>
      <c r="L163" s="15"/>
      <c r="M163" s="16"/>
      <c r="N163" s="17"/>
      <c r="O163" s="72"/>
      <c r="P163" s="18"/>
      <c r="Q163" s="60"/>
      <c r="R163" s="19"/>
      <c r="S163" s="18"/>
      <c r="T163" s="75"/>
      <c r="U163" s="20"/>
      <c r="V163" s="21"/>
      <c r="W163" s="22"/>
      <c r="Y163" s="78" t="e">
        <f>VLOOKUP(V163,[1]IOT!$A:$B,2,0)</f>
        <v>#N/A</v>
      </c>
      <c r="Z163" s="78">
        <f>IF(ISNA(VLOOKUP(K163,[2]Sheet1!$A:$B,2,0)),0,(VLOOKUP(K163,[2]Sheet1!$A:$B,2,0)))</f>
        <v>0</v>
      </c>
      <c r="AA163" s="78">
        <f t="shared" si="29"/>
        <v>0</v>
      </c>
      <c r="AB163" s="78" t="e">
        <f>VLOOKUP(K163,[1]IOT!$A:$E,5,0)</f>
        <v>#N/A</v>
      </c>
      <c r="AC163" s="78"/>
      <c r="AD163" s="78" t="e">
        <f>VLOOKUP(K163,[1]IOT!$A:$F,6,0)</f>
        <v>#N/A</v>
      </c>
      <c r="AE163" s="78"/>
      <c r="AF163" s="78"/>
      <c r="AG163" s="78"/>
      <c r="AH163" s="78" t="e">
        <f>VLOOKUP(K163,[1]IOT!$A:$G,7,0)</f>
        <v>#N/A</v>
      </c>
      <c r="AI163" s="78" t="e">
        <f>VLOOKUP(K163,[1]IOT!$A:$H,8,0)</f>
        <v>#N/A</v>
      </c>
      <c r="AJ163" s="78" t="e">
        <f>VLOOKUP(K163,[1]IOT!$A:$I,9,0)</f>
        <v>#N/A</v>
      </c>
      <c r="AK163" s="78" t="e">
        <f>VLOOKUP(K163,[1]IOT!$A:$J,10,0)</f>
        <v>#N/A</v>
      </c>
      <c r="AL163" s="78" t="e">
        <f>VLOOKUP(K163,[1]IOT!$A:$K,11,0)</f>
        <v>#N/A</v>
      </c>
      <c r="AM163" s="78"/>
      <c r="AN163" s="78"/>
      <c r="AO163" s="79">
        <f t="shared" si="30"/>
        <v>0</v>
      </c>
      <c r="AP163" s="80">
        <f t="shared" si="31"/>
        <v>0</v>
      </c>
      <c r="AQ163" s="77"/>
      <c r="AR163" s="6" t="str">
        <f t="shared" si="32"/>
        <v/>
      </c>
    </row>
    <row r="164" spans="1:44" s="6" customFormat="1" ht="47.25" customHeight="1" x14ac:dyDescent="0.35">
      <c r="A164" s="71"/>
      <c r="B164" s="68"/>
      <c r="C164" s="25"/>
      <c r="D164" s="25"/>
      <c r="E164" s="67" t="str">
        <f t="shared" si="20"/>
        <v/>
      </c>
      <c r="F164" s="62"/>
      <c r="G164" s="14"/>
      <c r="H164" s="65"/>
      <c r="I164" s="70"/>
      <c r="J164" s="14"/>
      <c r="K164" s="69"/>
      <c r="L164" s="15"/>
      <c r="M164" s="16"/>
      <c r="N164" s="17"/>
      <c r="O164" s="72"/>
      <c r="P164" s="18"/>
      <c r="Q164" s="60"/>
      <c r="R164" s="19"/>
      <c r="S164" s="18"/>
      <c r="T164" s="75"/>
      <c r="U164" s="20"/>
      <c r="V164" s="21"/>
      <c r="W164" s="22"/>
      <c r="Y164" s="78" t="e">
        <f>VLOOKUP(V164,[1]IOT!$A:$B,2,0)</f>
        <v>#N/A</v>
      </c>
      <c r="Z164" s="78">
        <f>IF(ISNA(VLOOKUP(K164,[2]Sheet1!$A:$B,2,0)),0,(VLOOKUP(K164,[2]Sheet1!$A:$B,2,0)))</f>
        <v>0</v>
      </c>
      <c r="AA164" s="78">
        <f t="shared" si="29"/>
        <v>0</v>
      </c>
      <c r="AB164" s="78" t="e">
        <f>VLOOKUP(K164,[1]IOT!$A:$E,5,0)</f>
        <v>#N/A</v>
      </c>
      <c r="AC164" s="78"/>
      <c r="AD164" s="78" t="e">
        <f>VLOOKUP(K164,[1]IOT!$A:$F,6,0)</f>
        <v>#N/A</v>
      </c>
      <c r="AE164" s="78"/>
      <c r="AF164" s="78"/>
      <c r="AG164" s="78"/>
      <c r="AH164" s="78" t="e">
        <f>VLOOKUP(K164,[1]IOT!$A:$G,7,0)</f>
        <v>#N/A</v>
      </c>
      <c r="AI164" s="78" t="e">
        <f>VLOOKUP(K164,[1]IOT!$A:$H,8,0)</f>
        <v>#N/A</v>
      </c>
      <c r="AJ164" s="78" t="e">
        <f>VLOOKUP(K164,[1]IOT!$A:$I,9,0)</f>
        <v>#N/A</v>
      </c>
      <c r="AK164" s="78" t="e">
        <f>VLOOKUP(K164,[1]IOT!$A:$J,10,0)</f>
        <v>#N/A</v>
      </c>
      <c r="AL164" s="78" t="e">
        <f>VLOOKUP(K164,[1]IOT!$A:$K,11,0)</f>
        <v>#N/A</v>
      </c>
      <c r="AM164" s="78"/>
      <c r="AN164" s="78"/>
      <c r="AO164" s="79">
        <f t="shared" si="30"/>
        <v>0</v>
      </c>
      <c r="AP164" s="80">
        <f t="shared" si="31"/>
        <v>0</v>
      </c>
      <c r="AQ164" s="77"/>
      <c r="AR164" s="6" t="str">
        <f t="shared" si="32"/>
        <v/>
      </c>
    </row>
    <row r="165" spans="1:44" s="6" customFormat="1" ht="47.25" customHeight="1" x14ac:dyDescent="0.35">
      <c r="A165" s="71"/>
      <c r="B165" s="68"/>
      <c r="C165" s="25"/>
      <c r="D165" s="25"/>
      <c r="E165" s="67" t="str">
        <f t="shared" si="20"/>
        <v/>
      </c>
      <c r="F165" s="62"/>
      <c r="G165" s="14"/>
      <c r="H165" s="65"/>
      <c r="I165" s="70"/>
      <c r="J165" s="14"/>
      <c r="K165" s="69"/>
      <c r="L165" s="15"/>
      <c r="M165" s="16"/>
      <c r="N165" s="17"/>
      <c r="O165" s="72"/>
      <c r="P165" s="18"/>
      <c r="Q165" s="60"/>
      <c r="R165" s="19"/>
      <c r="S165" s="18"/>
      <c r="T165" s="75"/>
      <c r="U165" s="20"/>
      <c r="V165" s="21"/>
      <c r="W165" s="22"/>
      <c r="Y165" s="78" t="e">
        <f>VLOOKUP(V165,[1]IOT!$A:$B,2,0)</f>
        <v>#N/A</v>
      </c>
      <c r="Z165" s="78">
        <f>IF(ISNA(VLOOKUP(K165,[2]Sheet1!$A:$B,2,0)),0,(VLOOKUP(K165,[2]Sheet1!$A:$B,2,0)))</f>
        <v>0</v>
      </c>
      <c r="AA165" s="78">
        <f t="shared" si="29"/>
        <v>0</v>
      </c>
      <c r="AB165" s="78" t="e">
        <f>VLOOKUP(K165,[1]IOT!$A:$E,5,0)</f>
        <v>#N/A</v>
      </c>
      <c r="AC165" s="78"/>
      <c r="AD165" s="78" t="e">
        <f>VLOOKUP(K165,[1]IOT!$A:$F,6,0)</f>
        <v>#N/A</v>
      </c>
      <c r="AE165" s="78"/>
      <c r="AF165" s="78"/>
      <c r="AG165" s="78"/>
      <c r="AH165" s="78" t="e">
        <f>VLOOKUP(K165,[1]IOT!$A:$G,7,0)</f>
        <v>#N/A</v>
      </c>
      <c r="AI165" s="78" t="e">
        <f>VLOOKUP(K165,[1]IOT!$A:$H,8,0)</f>
        <v>#N/A</v>
      </c>
      <c r="AJ165" s="78" t="e">
        <f>VLOOKUP(K165,[1]IOT!$A:$I,9,0)</f>
        <v>#N/A</v>
      </c>
      <c r="AK165" s="78" t="e">
        <f>VLOOKUP(K165,[1]IOT!$A:$J,10,0)</f>
        <v>#N/A</v>
      </c>
      <c r="AL165" s="78" t="e">
        <f>VLOOKUP(K165,[1]IOT!$A:$K,11,0)</f>
        <v>#N/A</v>
      </c>
      <c r="AM165" s="78"/>
      <c r="AN165" s="78"/>
      <c r="AO165" s="79">
        <f t="shared" si="30"/>
        <v>0</v>
      </c>
      <c r="AP165" s="80">
        <f t="shared" si="31"/>
        <v>0</v>
      </c>
      <c r="AQ165" s="77"/>
      <c r="AR165" s="6" t="str">
        <f t="shared" si="32"/>
        <v/>
      </c>
    </row>
    <row r="166" spans="1:44" s="6" customFormat="1" ht="47.25" customHeight="1" x14ac:dyDescent="0.35">
      <c r="A166" s="71"/>
      <c r="B166" s="68"/>
      <c r="C166" s="25"/>
      <c r="D166" s="25"/>
      <c r="E166" s="67" t="str">
        <f t="shared" si="20"/>
        <v/>
      </c>
      <c r="F166" s="62"/>
      <c r="G166" s="14"/>
      <c r="H166" s="65"/>
      <c r="I166" s="70"/>
      <c r="J166" s="14"/>
      <c r="K166" s="69"/>
      <c r="L166" s="15"/>
      <c r="M166" s="16"/>
      <c r="N166" s="17"/>
      <c r="O166" s="72"/>
      <c r="P166" s="18"/>
      <c r="Q166" s="60"/>
      <c r="R166" s="19"/>
      <c r="S166" s="18"/>
      <c r="T166" s="75"/>
      <c r="U166" s="20"/>
      <c r="V166" s="21"/>
      <c r="W166" s="22"/>
      <c r="Y166" s="78" t="e">
        <f>VLOOKUP(V166,[1]IOT!$A:$B,2,0)</f>
        <v>#N/A</v>
      </c>
      <c r="Z166" s="78">
        <f>IF(ISNA(VLOOKUP(K166,[2]Sheet1!$A:$B,2,0)),0,(VLOOKUP(K166,[2]Sheet1!$A:$B,2,0)))</f>
        <v>0</v>
      </c>
      <c r="AA166" s="78">
        <f t="shared" si="29"/>
        <v>0</v>
      </c>
      <c r="AB166" s="78" t="e">
        <f>VLOOKUP(K166,[1]IOT!$A:$E,5,0)</f>
        <v>#N/A</v>
      </c>
      <c r="AC166" s="78"/>
      <c r="AD166" s="78" t="e">
        <f>VLOOKUP(K166,[1]IOT!$A:$F,6,0)</f>
        <v>#N/A</v>
      </c>
      <c r="AE166" s="78"/>
      <c r="AF166" s="78"/>
      <c r="AG166" s="78"/>
      <c r="AH166" s="78" t="e">
        <f>VLOOKUP(K166,[1]IOT!$A:$G,7,0)</f>
        <v>#N/A</v>
      </c>
      <c r="AI166" s="78" t="e">
        <f>VLOOKUP(K166,[1]IOT!$A:$H,8,0)</f>
        <v>#N/A</v>
      </c>
      <c r="AJ166" s="78" t="e">
        <f>VLOOKUP(K166,[1]IOT!$A:$I,9,0)</f>
        <v>#N/A</v>
      </c>
      <c r="AK166" s="78" t="e">
        <f>VLOOKUP(K166,[1]IOT!$A:$J,10,0)</f>
        <v>#N/A</v>
      </c>
      <c r="AL166" s="78" t="e">
        <f>VLOOKUP(K166,[1]IOT!$A:$K,11,0)</f>
        <v>#N/A</v>
      </c>
      <c r="AM166" s="78"/>
      <c r="AN166" s="78"/>
      <c r="AO166" s="79">
        <f t="shared" si="30"/>
        <v>0</v>
      </c>
      <c r="AP166" s="80">
        <f t="shared" si="31"/>
        <v>0</v>
      </c>
      <c r="AQ166" s="77"/>
      <c r="AR166" s="6" t="str">
        <f t="shared" si="32"/>
        <v/>
      </c>
    </row>
    <row r="167" spans="1:44" s="6" customFormat="1" ht="47.25" customHeight="1" x14ac:dyDescent="0.35">
      <c r="A167" s="71"/>
      <c r="B167" s="68"/>
      <c r="C167" s="25"/>
      <c r="D167" s="25"/>
      <c r="E167" s="67" t="str">
        <f t="shared" si="20"/>
        <v/>
      </c>
      <c r="F167" s="62"/>
      <c r="G167" s="14"/>
      <c r="H167" s="65"/>
      <c r="I167" s="70"/>
      <c r="J167" s="14"/>
      <c r="K167" s="69"/>
      <c r="L167" s="15"/>
      <c r="M167" s="16"/>
      <c r="N167" s="17"/>
      <c r="O167" s="72"/>
      <c r="P167" s="18"/>
      <c r="Q167" s="60"/>
      <c r="R167" s="19"/>
      <c r="S167" s="18"/>
      <c r="T167" s="75"/>
      <c r="U167" s="20"/>
      <c r="V167" s="21"/>
      <c r="W167" s="22"/>
      <c r="Y167" s="78" t="e">
        <f>VLOOKUP(V167,[1]IOT!$A:$B,2,0)</f>
        <v>#N/A</v>
      </c>
      <c r="Z167" s="78">
        <f>IF(ISNA(VLOOKUP(K167,[2]Sheet1!$A:$B,2,0)),0,(VLOOKUP(K167,[2]Sheet1!$A:$B,2,0)))</f>
        <v>0</v>
      </c>
      <c r="AA167" s="78">
        <f t="shared" si="29"/>
        <v>0</v>
      </c>
      <c r="AB167" s="78" t="e">
        <f>VLOOKUP(K167,[1]IOT!$A:$E,5,0)</f>
        <v>#N/A</v>
      </c>
      <c r="AC167" s="78"/>
      <c r="AD167" s="78" t="e">
        <f>VLOOKUP(K167,[1]IOT!$A:$F,6,0)</f>
        <v>#N/A</v>
      </c>
      <c r="AE167" s="78"/>
      <c r="AF167" s="78"/>
      <c r="AG167" s="78"/>
      <c r="AH167" s="78" t="e">
        <f>VLOOKUP(K167,[1]IOT!$A:$G,7,0)</f>
        <v>#N/A</v>
      </c>
      <c r="AI167" s="78" t="e">
        <f>VLOOKUP(K167,[1]IOT!$A:$H,8,0)</f>
        <v>#N/A</v>
      </c>
      <c r="AJ167" s="78" t="e">
        <f>VLOOKUP(K167,[1]IOT!$A:$I,9,0)</f>
        <v>#N/A</v>
      </c>
      <c r="AK167" s="78" t="e">
        <f>VLOOKUP(K167,[1]IOT!$A:$J,10,0)</f>
        <v>#N/A</v>
      </c>
      <c r="AL167" s="78" t="e">
        <f>VLOOKUP(K167,[1]IOT!$A:$K,11,0)</f>
        <v>#N/A</v>
      </c>
      <c r="AM167" s="78"/>
      <c r="AN167" s="78"/>
      <c r="AO167" s="79">
        <f t="shared" si="30"/>
        <v>0</v>
      </c>
      <c r="AP167" s="80">
        <f t="shared" si="31"/>
        <v>0</v>
      </c>
      <c r="AQ167" s="77"/>
      <c r="AR167" s="6" t="str">
        <f t="shared" si="32"/>
        <v/>
      </c>
    </row>
    <row r="168" spans="1:44" s="6" customFormat="1" ht="47.25" customHeight="1" x14ac:dyDescent="0.35">
      <c r="A168" s="71"/>
      <c r="B168" s="68"/>
      <c r="C168" s="25"/>
      <c r="D168" s="25"/>
      <c r="E168" s="67" t="str">
        <f t="shared" si="20"/>
        <v/>
      </c>
      <c r="F168" s="62"/>
      <c r="G168" s="14"/>
      <c r="H168" s="65"/>
      <c r="I168" s="70"/>
      <c r="J168" s="14"/>
      <c r="K168" s="69"/>
      <c r="L168" s="15"/>
      <c r="M168" s="16"/>
      <c r="N168" s="17"/>
      <c r="O168" s="72"/>
      <c r="P168" s="18"/>
      <c r="Q168" s="60"/>
      <c r="R168" s="19"/>
      <c r="S168" s="18"/>
      <c r="T168" s="75"/>
      <c r="U168" s="20"/>
      <c r="V168" s="21"/>
      <c r="W168" s="22"/>
      <c r="Y168" s="78" t="e">
        <f>VLOOKUP(V168,[1]IOT!$A:$B,2,0)</f>
        <v>#N/A</v>
      </c>
      <c r="Z168" s="78">
        <f>IF(ISNA(VLOOKUP(K168,[2]Sheet1!$A:$B,2,0)),0,(VLOOKUP(K168,[2]Sheet1!$A:$B,2,0)))</f>
        <v>0</v>
      </c>
      <c r="AA168" s="78">
        <f t="shared" si="29"/>
        <v>0</v>
      </c>
      <c r="AB168" s="78" t="e">
        <f>VLOOKUP(K168,[1]IOT!$A:$E,5,0)</f>
        <v>#N/A</v>
      </c>
      <c r="AC168" s="78"/>
      <c r="AD168" s="78" t="e">
        <f>VLOOKUP(K168,[1]IOT!$A:$F,6,0)</f>
        <v>#N/A</v>
      </c>
      <c r="AE168" s="78"/>
      <c r="AF168" s="78"/>
      <c r="AG168" s="78"/>
      <c r="AH168" s="78" t="e">
        <f>VLOOKUP(K168,[1]IOT!$A:$G,7,0)</f>
        <v>#N/A</v>
      </c>
      <c r="AI168" s="78" t="e">
        <f>VLOOKUP(K168,[1]IOT!$A:$H,8,0)</f>
        <v>#N/A</v>
      </c>
      <c r="AJ168" s="78" t="e">
        <f>VLOOKUP(K168,[1]IOT!$A:$I,9,0)</f>
        <v>#N/A</v>
      </c>
      <c r="AK168" s="78" t="e">
        <f>VLOOKUP(K168,[1]IOT!$A:$J,10,0)</f>
        <v>#N/A</v>
      </c>
      <c r="AL168" s="78" t="e">
        <f>VLOOKUP(K168,[1]IOT!$A:$K,11,0)</f>
        <v>#N/A</v>
      </c>
      <c r="AM168" s="78"/>
      <c r="AN168" s="78"/>
      <c r="AO168" s="79">
        <f t="shared" si="30"/>
        <v>0</v>
      </c>
      <c r="AP168" s="80">
        <f t="shared" si="31"/>
        <v>0</v>
      </c>
      <c r="AQ168" s="77"/>
      <c r="AR168" s="6" t="str">
        <f t="shared" si="32"/>
        <v/>
      </c>
    </row>
    <row r="169" spans="1:44" s="6" customFormat="1" ht="47.25" customHeight="1" x14ac:dyDescent="0.35">
      <c r="A169" s="71"/>
      <c r="B169" s="68"/>
      <c r="C169" s="25"/>
      <c r="D169" s="25"/>
      <c r="E169" s="67" t="str">
        <f t="shared" si="20"/>
        <v/>
      </c>
      <c r="F169" s="62"/>
      <c r="G169" s="14"/>
      <c r="H169" s="65"/>
      <c r="I169" s="70"/>
      <c r="J169" s="14"/>
      <c r="K169" s="69"/>
      <c r="L169" s="15"/>
      <c r="M169" s="16"/>
      <c r="N169" s="17"/>
      <c r="O169" s="72"/>
      <c r="P169" s="18"/>
      <c r="Q169" s="60"/>
      <c r="R169" s="19"/>
      <c r="S169" s="18"/>
      <c r="T169" s="75"/>
      <c r="U169" s="20"/>
      <c r="V169" s="21"/>
      <c r="W169" s="22"/>
      <c r="Y169" s="78" t="e">
        <f>VLOOKUP(V169,[1]IOT!$A:$B,2,0)</f>
        <v>#N/A</v>
      </c>
      <c r="Z169" s="78">
        <f>IF(ISNA(VLOOKUP(K169,[2]Sheet1!$A:$B,2,0)),0,(VLOOKUP(K169,[2]Sheet1!$A:$B,2,0)))</f>
        <v>0</v>
      </c>
      <c r="AA169" s="78">
        <f t="shared" si="29"/>
        <v>0</v>
      </c>
      <c r="AB169" s="78" t="e">
        <f>VLOOKUP(K169,[1]IOT!$A:$E,5,0)</f>
        <v>#N/A</v>
      </c>
      <c r="AC169" s="78"/>
      <c r="AD169" s="78" t="e">
        <f>VLOOKUP(K169,[1]IOT!$A:$F,6,0)</f>
        <v>#N/A</v>
      </c>
      <c r="AE169" s="78"/>
      <c r="AF169" s="78"/>
      <c r="AG169" s="78"/>
      <c r="AH169" s="78" t="e">
        <f>VLOOKUP(K169,[1]IOT!$A:$G,7,0)</f>
        <v>#N/A</v>
      </c>
      <c r="AI169" s="78" t="e">
        <f>VLOOKUP(K169,[1]IOT!$A:$H,8,0)</f>
        <v>#N/A</v>
      </c>
      <c r="AJ169" s="78" t="e">
        <f>VLOOKUP(K169,[1]IOT!$A:$I,9,0)</f>
        <v>#N/A</v>
      </c>
      <c r="AK169" s="78" t="e">
        <f>VLOOKUP(K169,[1]IOT!$A:$J,10,0)</f>
        <v>#N/A</v>
      </c>
      <c r="AL169" s="78" t="e">
        <f>VLOOKUP(K169,[1]IOT!$A:$K,11,0)</f>
        <v>#N/A</v>
      </c>
      <c r="AM169" s="78"/>
      <c r="AN169" s="78"/>
      <c r="AO169" s="79">
        <f t="shared" si="30"/>
        <v>0</v>
      </c>
      <c r="AP169" s="80">
        <f t="shared" si="31"/>
        <v>0</v>
      </c>
      <c r="AQ169" s="77"/>
      <c r="AR169" s="6" t="str">
        <f t="shared" si="32"/>
        <v/>
      </c>
    </row>
    <row r="170" spans="1:44" s="6" customFormat="1" ht="47.25" customHeight="1" x14ac:dyDescent="0.35">
      <c r="A170" s="71"/>
      <c r="B170" s="68"/>
      <c r="C170" s="25"/>
      <c r="D170" s="25"/>
      <c r="E170" s="67" t="str">
        <f t="shared" si="20"/>
        <v/>
      </c>
      <c r="F170" s="62"/>
      <c r="G170" s="14"/>
      <c r="H170" s="65"/>
      <c r="I170" s="70"/>
      <c r="J170" s="14"/>
      <c r="K170" s="69"/>
      <c r="L170" s="15"/>
      <c r="M170" s="16"/>
      <c r="N170" s="17"/>
      <c r="O170" s="72"/>
      <c r="P170" s="18"/>
      <c r="Q170" s="60"/>
      <c r="R170" s="19"/>
      <c r="S170" s="18"/>
      <c r="T170" s="75"/>
      <c r="U170" s="20"/>
      <c r="V170" s="21"/>
      <c r="W170" s="22"/>
      <c r="Y170" s="78" t="e">
        <f>VLOOKUP(V170,[1]IOT!$A:$B,2,0)</f>
        <v>#N/A</v>
      </c>
      <c r="Z170" s="78">
        <f>IF(ISNA(VLOOKUP(K170,[2]Sheet1!$A:$B,2,0)),0,(VLOOKUP(K170,[2]Sheet1!$A:$B,2,0)))</f>
        <v>0</v>
      </c>
      <c r="AA170" s="78">
        <f t="shared" si="29"/>
        <v>0</v>
      </c>
      <c r="AB170" s="78" t="e">
        <f>VLOOKUP(K170,[1]IOT!$A:$E,5,0)</f>
        <v>#N/A</v>
      </c>
      <c r="AC170" s="78"/>
      <c r="AD170" s="78" t="e">
        <f>VLOOKUP(K170,[1]IOT!$A:$F,6,0)</f>
        <v>#N/A</v>
      </c>
      <c r="AE170" s="78"/>
      <c r="AF170" s="78"/>
      <c r="AG170" s="78"/>
      <c r="AH170" s="78" t="e">
        <f>VLOOKUP(K170,[1]IOT!$A:$G,7,0)</f>
        <v>#N/A</v>
      </c>
      <c r="AI170" s="78" t="e">
        <f>VLOOKUP(K170,[1]IOT!$A:$H,8,0)</f>
        <v>#N/A</v>
      </c>
      <c r="AJ170" s="78" t="e">
        <f>VLOOKUP(K170,[1]IOT!$A:$I,9,0)</f>
        <v>#N/A</v>
      </c>
      <c r="AK170" s="78" t="e">
        <f>VLOOKUP(K170,[1]IOT!$A:$J,10,0)</f>
        <v>#N/A</v>
      </c>
      <c r="AL170" s="78" t="e">
        <f>VLOOKUP(K170,[1]IOT!$A:$K,11,0)</f>
        <v>#N/A</v>
      </c>
      <c r="AM170" s="78"/>
      <c r="AN170" s="78"/>
      <c r="AO170" s="79">
        <f t="shared" si="30"/>
        <v>0</v>
      </c>
      <c r="AP170" s="80">
        <f t="shared" si="31"/>
        <v>0</v>
      </c>
      <c r="AQ170" s="77"/>
      <c r="AR170" s="6" t="str">
        <f t="shared" si="32"/>
        <v/>
      </c>
    </row>
    <row r="171" spans="1:44" s="6" customFormat="1" ht="47.25" customHeight="1" x14ac:dyDescent="0.35">
      <c r="A171" s="71"/>
      <c r="B171" s="68"/>
      <c r="C171" s="25"/>
      <c r="D171" s="25"/>
      <c r="E171" s="67" t="str">
        <f t="shared" si="20"/>
        <v/>
      </c>
      <c r="F171" s="62"/>
      <c r="G171" s="14"/>
      <c r="H171" s="65"/>
      <c r="I171" s="70"/>
      <c r="J171" s="14"/>
      <c r="K171" s="69"/>
      <c r="L171" s="15"/>
      <c r="M171" s="16"/>
      <c r="N171" s="17"/>
      <c r="O171" s="72"/>
      <c r="P171" s="18"/>
      <c r="Q171" s="60"/>
      <c r="R171" s="19"/>
      <c r="S171" s="18"/>
      <c r="T171" s="75"/>
      <c r="U171" s="20"/>
      <c r="V171" s="21"/>
      <c r="W171" s="22"/>
      <c r="Y171" s="78" t="e">
        <f>VLOOKUP(V171,[1]IOT!$A:$B,2,0)</f>
        <v>#N/A</v>
      </c>
      <c r="Z171" s="78">
        <f>IF(ISNA(VLOOKUP(K171,[2]Sheet1!$A:$B,2,0)),0,(VLOOKUP(K171,[2]Sheet1!$A:$B,2,0)))</f>
        <v>0</v>
      </c>
      <c r="AA171" s="78">
        <f t="shared" si="29"/>
        <v>0</v>
      </c>
      <c r="AB171" s="78" t="e">
        <f>VLOOKUP(K171,[1]IOT!$A:$E,5,0)</f>
        <v>#N/A</v>
      </c>
      <c r="AC171" s="78"/>
      <c r="AD171" s="78" t="e">
        <f>VLOOKUP(K171,[1]IOT!$A:$F,6,0)</f>
        <v>#N/A</v>
      </c>
      <c r="AE171" s="78"/>
      <c r="AF171" s="78"/>
      <c r="AG171" s="78"/>
      <c r="AH171" s="78" t="e">
        <f>VLOOKUP(K171,[1]IOT!$A:$G,7,0)</f>
        <v>#N/A</v>
      </c>
      <c r="AI171" s="78" t="e">
        <f>VLOOKUP(K171,[1]IOT!$A:$H,8,0)</f>
        <v>#N/A</v>
      </c>
      <c r="AJ171" s="78" t="e">
        <f>VLOOKUP(K171,[1]IOT!$A:$I,9,0)</f>
        <v>#N/A</v>
      </c>
      <c r="AK171" s="78" t="e">
        <f>VLOOKUP(K171,[1]IOT!$A:$J,10,0)</f>
        <v>#N/A</v>
      </c>
      <c r="AL171" s="78" t="e">
        <f>VLOOKUP(K171,[1]IOT!$A:$K,11,0)</f>
        <v>#N/A</v>
      </c>
      <c r="AM171" s="78"/>
      <c r="AN171" s="78"/>
      <c r="AO171" s="79">
        <f t="shared" si="30"/>
        <v>0</v>
      </c>
      <c r="AP171" s="80">
        <f t="shared" si="31"/>
        <v>0</v>
      </c>
      <c r="AQ171" s="77"/>
      <c r="AR171" s="6" t="str">
        <f t="shared" si="32"/>
        <v/>
      </c>
    </row>
    <row r="172" spans="1:44" s="6" customFormat="1" ht="47.25" customHeight="1" x14ac:dyDescent="0.35">
      <c r="A172" s="71"/>
      <c r="B172" s="68"/>
      <c r="C172" s="25"/>
      <c r="D172" s="25"/>
      <c r="E172" s="67" t="str">
        <f t="shared" si="20"/>
        <v/>
      </c>
      <c r="F172" s="62"/>
      <c r="G172" s="14"/>
      <c r="H172" s="65"/>
      <c r="I172" s="70"/>
      <c r="J172" s="14"/>
      <c r="K172" s="69"/>
      <c r="L172" s="15"/>
      <c r="M172" s="16"/>
      <c r="N172" s="17"/>
      <c r="O172" s="72"/>
      <c r="P172" s="18"/>
      <c r="Q172" s="60"/>
      <c r="R172" s="19"/>
      <c r="S172" s="18"/>
      <c r="T172" s="75"/>
      <c r="U172" s="20"/>
      <c r="V172" s="21"/>
      <c r="W172" s="22"/>
      <c r="Y172" s="78" t="e">
        <f>VLOOKUP(V172,[1]IOT!$A:$B,2,0)</f>
        <v>#N/A</v>
      </c>
      <c r="Z172" s="78">
        <f>IF(ISNA(VLOOKUP(K172,[2]Sheet1!$A:$B,2,0)),0,(VLOOKUP(K172,[2]Sheet1!$A:$B,2,0)))</f>
        <v>0</v>
      </c>
      <c r="AA172" s="78">
        <f t="shared" si="29"/>
        <v>0</v>
      </c>
      <c r="AB172" s="78" t="e">
        <f>VLOOKUP(K172,[1]IOT!$A:$E,5,0)</f>
        <v>#N/A</v>
      </c>
      <c r="AC172" s="78"/>
      <c r="AD172" s="78" t="e">
        <f>VLOOKUP(K172,[1]IOT!$A:$F,6,0)</f>
        <v>#N/A</v>
      </c>
      <c r="AE172" s="78"/>
      <c r="AF172" s="78"/>
      <c r="AG172" s="78"/>
      <c r="AH172" s="78" t="e">
        <f>VLOOKUP(K172,[1]IOT!$A:$G,7,0)</f>
        <v>#N/A</v>
      </c>
      <c r="AI172" s="78" t="e">
        <f>VLOOKUP(K172,[1]IOT!$A:$H,8,0)</f>
        <v>#N/A</v>
      </c>
      <c r="AJ172" s="78" t="e">
        <f>VLOOKUP(K172,[1]IOT!$A:$I,9,0)</f>
        <v>#N/A</v>
      </c>
      <c r="AK172" s="78" t="e">
        <f>VLOOKUP(K172,[1]IOT!$A:$J,10,0)</f>
        <v>#N/A</v>
      </c>
      <c r="AL172" s="78" t="e">
        <f>VLOOKUP(K172,[1]IOT!$A:$K,11,0)</f>
        <v>#N/A</v>
      </c>
      <c r="AM172" s="78"/>
      <c r="AN172" s="78"/>
      <c r="AO172" s="79">
        <f t="shared" si="30"/>
        <v>0</v>
      </c>
      <c r="AP172" s="80">
        <f t="shared" si="31"/>
        <v>0</v>
      </c>
      <c r="AQ172" s="77"/>
      <c r="AR172" s="6" t="str">
        <f t="shared" si="32"/>
        <v/>
      </c>
    </row>
    <row r="173" spans="1:44" s="6" customFormat="1" ht="47.25" customHeight="1" x14ac:dyDescent="0.35">
      <c r="A173" s="71"/>
      <c r="B173" s="68"/>
      <c r="C173" s="25"/>
      <c r="D173" s="25"/>
      <c r="E173" s="67" t="str">
        <f t="shared" si="20"/>
        <v/>
      </c>
      <c r="F173" s="62"/>
      <c r="G173" s="14"/>
      <c r="H173" s="65"/>
      <c r="I173" s="70"/>
      <c r="J173" s="14"/>
      <c r="K173" s="69"/>
      <c r="L173" s="15"/>
      <c r="M173" s="16"/>
      <c r="N173" s="17"/>
      <c r="O173" s="72"/>
      <c r="P173" s="18"/>
      <c r="Q173" s="60"/>
      <c r="R173" s="19"/>
      <c r="S173" s="18"/>
      <c r="T173" s="75"/>
      <c r="U173" s="20"/>
      <c r="V173" s="21"/>
      <c r="W173" s="22"/>
      <c r="Y173" s="78" t="e">
        <f>VLOOKUP(V173,[1]IOT!$A:$B,2,0)</f>
        <v>#N/A</v>
      </c>
      <c r="Z173" s="78">
        <f>IF(ISNA(VLOOKUP(K173,[2]Sheet1!$A:$B,2,0)),0,(VLOOKUP(K173,[2]Sheet1!$A:$B,2,0)))</f>
        <v>0</v>
      </c>
      <c r="AA173" s="78">
        <f t="shared" si="29"/>
        <v>0</v>
      </c>
      <c r="AB173" s="78" t="e">
        <f>VLOOKUP(K173,[1]IOT!$A:$E,5,0)</f>
        <v>#N/A</v>
      </c>
      <c r="AC173" s="78"/>
      <c r="AD173" s="78" t="e">
        <f>VLOOKUP(K173,[1]IOT!$A:$F,6,0)</f>
        <v>#N/A</v>
      </c>
      <c r="AE173" s="78"/>
      <c r="AF173" s="78"/>
      <c r="AG173" s="78"/>
      <c r="AH173" s="78" t="e">
        <f>VLOOKUP(K173,[1]IOT!$A:$G,7,0)</f>
        <v>#N/A</v>
      </c>
      <c r="AI173" s="78" t="e">
        <f>VLOOKUP(K173,[1]IOT!$A:$H,8,0)</f>
        <v>#N/A</v>
      </c>
      <c r="AJ173" s="78" t="e">
        <f>VLOOKUP(K173,[1]IOT!$A:$I,9,0)</f>
        <v>#N/A</v>
      </c>
      <c r="AK173" s="78" t="e">
        <f>VLOOKUP(K173,[1]IOT!$A:$J,10,0)</f>
        <v>#N/A</v>
      </c>
      <c r="AL173" s="78" t="e">
        <f>VLOOKUP(K173,[1]IOT!$A:$K,11,0)</f>
        <v>#N/A</v>
      </c>
      <c r="AM173" s="78"/>
      <c r="AN173" s="78"/>
      <c r="AO173" s="79">
        <f t="shared" si="30"/>
        <v>0</v>
      </c>
      <c r="AP173" s="80">
        <f t="shared" si="31"/>
        <v>0</v>
      </c>
      <c r="AQ173" s="77"/>
      <c r="AR173" s="6" t="str">
        <f t="shared" si="32"/>
        <v/>
      </c>
    </row>
    <row r="174" spans="1:44" s="6" customFormat="1" ht="47.25" customHeight="1" x14ac:dyDescent="0.35">
      <c r="A174" s="71"/>
      <c r="B174" s="68"/>
      <c r="C174" s="25"/>
      <c r="D174" s="25"/>
      <c r="E174" s="67" t="str">
        <f t="shared" si="20"/>
        <v/>
      </c>
      <c r="F174" s="62"/>
      <c r="G174" s="14"/>
      <c r="H174" s="65"/>
      <c r="I174" s="70"/>
      <c r="J174" s="14"/>
      <c r="K174" s="69"/>
      <c r="L174" s="15"/>
      <c r="M174" s="16"/>
      <c r="N174" s="17"/>
      <c r="O174" s="72"/>
      <c r="P174" s="18"/>
      <c r="Q174" s="60"/>
      <c r="R174" s="19"/>
      <c r="S174" s="18"/>
      <c r="T174" s="75"/>
      <c r="U174" s="20"/>
      <c r="V174" s="21"/>
      <c r="W174" s="22"/>
      <c r="Y174" s="78" t="e">
        <f>VLOOKUP(V174,[1]IOT!$A:$B,2,0)</f>
        <v>#N/A</v>
      </c>
      <c r="Z174" s="78">
        <f>IF(ISNA(VLOOKUP(K174,[2]Sheet1!$A:$B,2,0)),0,(VLOOKUP(K174,[2]Sheet1!$A:$B,2,0)))</f>
        <v>0</v>
      </c>
      <c r="AA174" s="78">
        <f t="shared" si="29"/>
        <v>0</v>
      </c>
      <c r="AB174" s="78" t="e">
        <f>VLOOKUP(K174,[1]IOT!$A:$E,5,0)</f>
        <v>#N/A</v>
      </c>
      <c r="AC174" s="78"/>
      <c r="AD174" s="78" t="e">
        <f>VLOOKUP(K174,[1]IOT!$A:$F,6,0)</f>
        <v>#N/A</v>
      </c>
      <c r="AE174" s="78"/>
      <c r="AF174" s="78"/>
      <c r="AG174" s="78"/>
      <c r="AH174" s="78" t="e">
        <f>VLOOKUP(K174,[1]IOT!$A:$G,7,0)</f>
        <v>#N/A</v>
      </c>
      <c r="AI174" s="78" t="e">
        <f>VLOOKUP(K174,[1]IOT!$A:$H,8,0)</f>
        <v>#N/A</v>
      </c>
      <c r="AJ174" s="78" t="e">
        <f>VLOOKUP(K174,[1]IOT!$A:$I,9,0)</f>
        <v>#N/A</v>
      </c>
      <c r="AK174" s="78" t="e">
        <f>VLOOKUP(K174,[1]IOT!$A:$J,10,0)</f>
        <v>#N/A</v>
      </c>
      <c r="AL174" s="78" t="e">
        <f>VLOOKUP(K174,[1]IOT!$A:$K,11,0)</f>
        <v>#N/A</v>
      </c>
      <c r="AM174" s="78"/>
      <c r="AN174" s="78"/>
      <c r="AO174" s="79">
        <f t="shared" si="30"/>
        <v>0</v>
      </c>
      <c r="AP174" s="80">
        <f t="shared" si="31"/>
        <v>0</v>
      </c>
      <c r="AQ174" s="77"/>
      <c r="AR174" s="6" t="str">
        <f t="shared" si="32"/>
        <v/>
      </c>
    </row>
    <row r="175" spans="1:44" s="6" customFormat="1" ht="47.25" customHeight="1" x14ac:dyDescent="0.35">
      <c r="A175" s="71"/>
      <c r="B175" s="68"/>
      <c r="C175" s="25"/>
      <c r="D175" s="25"/>
      <c r="E175" s="67" t="str">
        <f t="shared" si="20"/>
        <v/>
      </c>
      <c r="F175" s="62"/>
      <c r="G175" s="14"/>
      <c r="H175" s="65"/>
      <c r="I175" s="70"/>
      <c r="J175" s="14"/>
      <c r="K175" s="69"/>
      <c r="L175" s="15"/>
      <c r="M175" s="16"/>
      <c r="N175" s="17"/>
      <c r="O175" s="72"/>
      <c r="P175" s="18"/>
      <c r="Q175" s="60"/>
      <c r="R175" s="19"/>
      <c r="S175" s="18"/>
      <c r="T175" s="75"/>
      <c r="U175" s="20"/>
      <c r="V175" s="21"/>
      <c r="W175" s="22"/>
      <c r="Y175" s="78" t="e">
        <f>VLOOKUP(V175,[1]IOT!$A:$B,2,0)</f>
        <v>#N/A</v>
      </c>
      <c r="Z175" s="78">
        <f>IF(ISNA(VLOOKUP(K175,[2]Sheet1!$A:$B,2,0)),0,(VLOOKUP(K175,[2]Sheet1!$A:$B,2,0)))</f>
        <v>0</v>
      </c>
      <c r="AA175" s="78">
        <f t="shared" si="29"/>
        <v>0</v>
      </c>
      <c r="AB175" s="78" t="e">
        <f>VLOOKUP(K175,[1]IOT!$A:$E,5,0)</f>
        <v>#N/A</v>
      </c>
      <c r="AC175" s="78"/>
      <c r="AD175" s="78" t="e">
        <f>VLOOKUP(K175,[1]IOT!$A:$F,6,0)</f>
        <v>#N/A</v>
      </c>
      <c r="AE175" s="78"/>
      <c r="AF175" s="78"/>
      <c r="AG175" s="78"/>
      <c r="AH175" s="78" t="e">
        <f>VLOOKUP(K175,[1]IOT!$A:$G,7,0)</f>
        <v>#N/A</v>
      </c>
      <c r="AI175" s="78" t="e">
        <f>VLOOKUP(K175,[1]IOT!$A:$H,8,0)</f>
        <v>#N/A</v>
      </c>
      <c r="AJ175" s="78" t="e">
        <f>VLOOKUP(K175,[1]IOT!$A:$I,9,0)</f>
        <v>#N/A</v>
      </c>
      <c r="AK175" s="78" t="e">
        <f>VLOOKUP(K175,[1]IOT!$A:$J,10,0)</f>
        <v>#N/A</v>
      </c>
      <c r="AL175" s="78" t="e">
        <f>VLOOKUP(K175,[1]IOT!$A:$K,11,0)</f>
        <v>#N/A</v>
      </c>
      <c r="AM175" s="78"/>
      <c r="AN175" s="78"/>
      <c r="AO175" s="79">
        <f t="shared" si="30"/>
        <v>0</v>
      </c>
      <c r="AP175" s="80">
        <f t="shared" si="31"/>
        <v>0</v>
      </c>
      <c r="AQ175" s="77"/>
      <c r="AR175" s="6" t="str">
        <f t="shared" si="32"/>
        <v/>
      </c>
    </row>
    <row r="176" spans="1:44" s="6" customFormat="1" ht="47.25" customHeight="1" x14ac:dyDescent="0.35">
      <c r="A176" s="71"/>
      <c r="B176" s="68"/>
      <c r="C176" s="25"/>
      <c r="D176" s="25"/>
      <c r="E176" s="67" t="str">
        <f t="shared" si="20"/>
        <v/>
      </c>
      <c r="F176" s="62"/>
      <c r="G176" s="14"/>
      <c r="H176" s="65"/>
      <c r="I176" s="70"/>
      <c r="J176" s="14"/>
      <c r="K176" s="69"/>
      <c r="L176" s="15"/>
      <c r="M176" s="16"/>
      <c r="N176" s="17"/>
      <c r="O176" s="72"/>
      <c r="P176" s="18"/>
      <c r="Q176" s="60"/>
      <c r="R176" s="19"/>
      <c r="S176" s="18"/>
      <c r="T176" s="75"/>
      <c r="U176" s="20"/>
      <c r="V176" s="21"/>
      <c r="W176" s="22"/>
      <c r="Y176" s="78" t="e">
        <f>VLOOKUP(V176,[1]IOT!$A:$B,2,0)</f>
        <v>#N/A</v>
      </c>
      <c r="Z176" s="78">
        <f>IF(ISNA(VLOOKUP(K176,[2]Sheet1!$A:$B,2,0)),0,(VLOOKUP(K176,[2]Sheet1!$A:$B,2,0)))</f>
        <v>0</v>
      </c>
      <c r="AA176" s="78">
        <f t="shared" si="29"/>
        <v>0</v>
      </c>
      <c r="AB176" s="78" t="e">
        <f>VLOOKUP(K176,[1]IOT!$A:$E,5,0)</f>
        <v>#N/A</v>
      </c>
      <c r="AC176" s="78"/>
      <c r="AD176" s="78" t="e">
        <f>VLOOKUP(K176,[1]IOT!$A:$F,6,0)</f>
        <v>#N/A</v>
      </c>
      <c r="AE176" s="78"/>
      <c r="AF176" s="78"/>
      <c r="AG176" s="78"/>
      <c r="AH176" s="78" t="e">
        <f>VLOOKUP(K176,[1]IOT!$A:$G,7,0)</f>
        <v>#N/A</v>
      </c>
      <c r="AI176" s="78" t="e">
        <f>VLOOKUP(K176,[1]IOT!$A:$H,8,0)</f>
        <v>#N/A</v>
      </c>
      <c r="AJ176" s="78" t="e">
        <f>VLOOKUP(K176,[1]IOT!$A:$I,9,0)</f>
        <v>#N/A</v>
      </c>
      <c r="AK176" s="78" t="e">
        <f>VLOOKUP(K176,[1]IOT!$A:$J,10,0)</f>
        <v>#N/A</v>
      </c>
      <c r="AL176" s="78" t="e">
        <f>VLOOKUP(K176,[1]IOT!$A:$K,11,0)</f>
        <v>#N/A</v>
      </c>
      <c r="AM176" s="78"/>
      <c r="AN176" s="78"/>
      <c r="AO176" s="79">
        <f t="shared" si="30"/>
        <v>0</v>
      </c>
      <c r="AP176" s="80">
        <f t="shared" si="31"/>
        <v>0</v>
      </c>
      <c r="AQ176" s="77"/>
      <c r="AR176" s="6" t="str">
        <f t="shared" si="32"/>
        <v/>
      </c>
    </row>
    <row r="177" spans="1:44" s="6" customFormat="1" ht="47.25" customHeight="1" x14ac:dyDescent="0.35">
      <c r="A177" s="71"/>
      <c r="B177" s="68"/>
      <c r="C177" s="25"/>
      <c r="D177" s="25"/>
      <c r="E177" s="67" t="str">
        <f t="shared" si="20"/>
        <v/>
      </c>
      <c r="F177" s="62"/>
      <c r="G177" s="14"/>
      <c r="H177" s="65"/>
      <c r="I177" s="70"/>
      <c r="J177" s="14"/>
      <c r="K177" s="69"/>
      <c r="L177" s="15"/>
      <c r="M177" s="16"/>
      <c r="N177" s="17"/>
      <c r="O177" s="72"/>
      <c r="P177" s="18"/>
      <c r="Q177" s="60"/>
      <c r="R177" s="19"/>
      <c r="S177" s="18"/>
      <c r="T177" s="75"/>
      <c r="U177" s="20"/>
      <c r="V177" s="21"/>
      <c r="W177" s="22"/>
      <c r="Y177" s="78" t="e">
        <f>VLOOKUP(V177,[1]IOT!$A:$B,2,0)</f>
        <v>#N/A</v>
      </c>
      <c r="Z177" s="78">
        <f>IF(ISNA(VLOOKUP(K177,[2]Sheet1!$A:$B,2,0)),0,(VLOOKUP(K177,[2]Sheet1!$A:$B,2,0)))</f>
        <v>0</v>
      </c>
      <c r="AA177" s="78">
        <f t="shared" si="29"/>
        <v>0</v>
      </c>
      <c r="AB177" s="78" t="e">
        <f>VLOOKUP(K177,[1]IOT!$A:$E,5,0)</f>
        <v>#N/A</v>
      </c>
      <c r="AC177" s="78"/>
      <c r="AD177" s="78" t="e">
        <f>VLOOKUP(K177,[1]IOT!$A:$F,6,0)</f>
        <v>#N/A</v>
      </c>
      <c r="AE177" s="78"/>
      <c r="AF177" s="78"/>
      <c r="AG177" s="78"/>
      <c r="AH177" s="78" t="e">
        <f>VLOOKUP(K177,[1]IOT!$A:$G,7,0)</f>
        <v>#N/A</v>
      </c>
      <c r="AI177" s="78" t="e">
        <f>VLOOKUP(K177,[1]IOT!$A:$H,8,0)</f>
        <v>#N/A</v>
      </c>
      <c r="AJ177" s="78" t="e">
        <f>VLOOKUP(K177,[1]IOT!$A:$I,9,0)</f>
        <v>#N/A</v>
      </c>
      <c r="AK177" s="78" t="e">
        <f>VLOOKUP(K177,[1]IOT!$A:$J,10,0)</f>
        <v>#N/A</v>
      </c>
      <c r="AL177" s="78" t="e">
        <f>VLOOKUP(K177,[1]IOT!$A:$K,11,0)</f>
        <v>#N/A</v>
      </c>
      <c r="AM177" s="78"/>
      <c r="AN177" s="78"/>
      <c r="AO177" s="79">
        <f t="shared" si="30"/>
        <v>0</v>
      </c>
      <c r="AP177" s="80">
        <f t="shared" si="31"/>
        <v>0</v>
      </c>
      <c r="AQ177" s="77"/>
      <c r="AR177" s="6" t="str">
        <f t="shared" si="32"/>
        <v/>
      </c>
    </row>
    <row r="178" spans="1:44" s="6" customFormat="1" ht="47.25" customHeight="1" x14ac:dyDescent="0.35">
      <c r="A178" s="71"/>
      <c r="B178" s="68"/>
      <c r="C178" s="25"/>
      <c r="D178" s="25"/>
      <c r="E178" s="67" t="str">
        <f t="shared" si="20"/>
        <v/>
      </c>
      <c r="F178" s="62"/>
      <c r="G178" s="14"/>
      <c r="H178" s="65"/>
      <c r="I178" s="70"/>
      <c r="J178" s="14"/>
      <c r="K178" s="69"/>
      <c r="L178" s="15"/>
      <c r="M178" s="16"/>
      <c r="N178" s="17"/>
      <c r="O178" s="72"/>
      <c r="P178" s="18"/>
      <c r="Q178" s="60"/>
      <c r="R178" s="19"/>
      <c r="S178" s="18"/>
      <c r="T178" s="75"/>
      <c r="U178" s="20"/>
      <c r="V178" s="21"/>
      <c r="W178" s="22"/>
      <c r="Y178" s="78" t="e">
        <f>VLOOKUP(V178,[1]IOT!$A:$B,2,0)</f>
        <v>#N/A</v>
      </c>
      <c r="Z178" s="78">
        <f>IF(ISNA(VLOOKUP(K178,[2]Sheet1!$A:$B,2,0)),0,(VLOOKUP(K178,[2]Sheet1!$A:$B,2,0)))</f>
        <v>0</v>
      </c>
      <c r="AA178" s="78">
        <f t="shared" si="29"/>
        <v>0</v>
      </c>
      <c r="AB178" s="78" t="e">
        <f>VLOOKUP(K178,[1]IOT!$A:$E,5,0)</f>
        <v>#N/A</v>
      </c>
      <c r="AC178" s="78"/>
      <c r="AD178" s="78" t="e">
        <f>VLOOKUP(K178,[1]IOT!$A:$F,6,0)</f>
        <v>#N/A</v>
      </c>
      <c r="AE178" s="78"/>
      <c r="AF178" s="78"/>
      <c r="AG178" s="78"/>
      <c r="AH178" s="78" t="e">
        <f>VLOOKUP(K178,[1]IOT!$A:$G,7,0)</f>
        <v>#N/A</v>
      </c>
      <c r="AI178" s="78" t="e">
        <f>VLOOKUP(K178,[1]IOT!$A:$H,8,0)</f>
        <v>#N/A</v>
      </c>
      <c r="AJ178" s="78" t="e">
        <f>VLOOKUP(K178,[1]IOT!$A:$I,9,0)</f>
        <v>#N/A</v>
      </c>
      <c r="AK178" s="78" t="e">
        <f>VLOOKUP(K178,[1]IOT!$A:$J,10,0)</f>
        <v>#N/A</v>
      </c>
      <c r="AL178" s="78" t="e">
        <f>VLOOKUP(K178,[1]IOT!$A:$K,11,0)</f>
        <v>#N/A</v>
      </c>
      <c r="AM178" s="78"/>
      <c r="AN178" s="78"/>
      <c r="AO178" s="79">
        <f t="shared" si="30"/>
        <v>0</v>
      </c>
      <c r="AP178" s="80">
        <f t="shared" si="31"/>
        <v>0</v>
      </c>
      <c r="AQ178" s="77"/>
      <c r="AR178" s="6" t="str">
        <f t="shared" si="32"/>
        <v/>
      </c>
    </row>
    <row r="179" spans="1:44" s="6" customFormat="1" ht="47.25" customHeight="1" x14ac:dyDescent="0.35">
      <c r="A179" s="71"/>
      <c r="B179" s="68"/>
      <c r="C179" s="25"/>
      <c r="D179" s="25"/>
      <c r="E179" s="67" t="str">
        <f t="shared" si="20"/>
        <v/>
      </c>
      <c r="F179" s="62"/>
      <c r="G179" s="14"/>
      <c r="H179" s="65"/>
      <c r="I179" s="70"/>
      <c r="J179" s="14"/>
      <c r="K179" s="69"/>
      <c r="L179" s="15"/>
      <c r="M179" s="16"/>
      <c r="N179" s="17"/>
      <c r="O179" s="72"/>
      <c r="P179" s="18"/>
      <c r="Q179" s="60"/>
      <c r="R179" s="19"/>
      <c r="S179" s="18"/>
      <c r="T179" s="75"/>
      <c r="U179" s="20"/>
      <c r="V179" s="21"/>
      <c r="W179" s="22"/>
      <c r="Y179" s="78" t="e">
        <f>VLOOKUP(V179,[1]IOT!$A:$B,2,0)</f>
        <v>#N/A</v>
      </c>
      <c r="Z179" s="78">
        <f>IF(ISNA(VLOOKUP(K179,[2]Sheet1!$A:$B,2,0)),0,(VLOOKUP(K179,[2]Sheet1!$A:$B,2,0)))</f>
        <v>0</v>
      </c>
      <c r="AA179" s="78">
        <f t="shared" si="29"/>
        <v>0</v>
      </c>
      <c r="AB179" s="78" t="e">
        <f>VLOOKUP(K179,[1]IOT!$A:$E,5,0)</f>
        <v>#N/A</v>
      </c>
      <c r="AC179" s="78"/>
      <c r="AD179" s="78" t="e">
        <f>VLOOKUP(K179,[1]IOT!$A:$F,6,0)</f>
        <v>#N/A</v>
      </c>
      <c r="AE179" s="78"/>
      <c r="AF179" s="78"/>
      <c r="AG179" s="78"/>
      <c r="AH179" s="78" t="e">
        <f>VLOOKUP(K179,[1]IOT!$A:$G,7,0)</f>
        <v>#N/A</v>
      </c>
      <c r="AI179" s="78" t="e">
        <f>VLOOKUP(K179,[1]IOT!$A:$H,8,0)</f>
        <v>#N/A</v>
      </c>
      <c r="AJ179" s="78" t="e">
        <f>VLOOKUP(K179,[1]IOT!$A:$I,9,0)</f>
        <v>#N/A</v>
      </c>
      <c r="AK179" s="78" t="e">
        <f>VLOOKUP(K179,[1]IOT!$A:$J,10,0)</f>
        <v>#N/A</v>
      </c>
      <c r="AL179" s="78" t="e">
        <f>VLOOKUP(K179,[1]IOT!$A:$K,11,0)</f>
        <v>#N/A</v>
      </c>
      <c r="AM179" s="78"/>
      <c r="AN179" s="78"/>
      <c r="AO179" s="79">
        <f t="shared" si="30"/>
        <v>0</v>
      </c>
      <c r="AP179" s="80">
        <f t="shared" si="31"/>
        <v>0</v>
      </c>
      <c r="AQ179" s="77"/>
      <c r="AR179" s="6" t="str">
        <f t="shared" si="32"/>
        <v/>
      </c>
    </row>
    <row r="180" spans="1:44" s="6" customFormat="1" ht="47.25" customHeight="1" x14ac:dyDescent="0.35">
      <c r="A180" s="71"/>
      <c r="B180" s="68"/>
      <c r="C180" s="25"/>
      <c r="D180" s="25"/>
      <c r="E180" s="67" t="str">
        <f t="shared" si="20"/>
        <v/>
      </c>
      <c r="F180" s="62"/>
      <c r="G180" s="14"/>
      <c r="H180" s="65"/>
      <c r="I180" s="70"/>
      <c r="J180" s="14"/>
      <c r="K180" s="69"/>
      <c r="L180" s="15"/>
      <c r="M180" s="16"/>
      <c r="N180" s="17"/>
      <c r="O180" s="72"/>
      <c r="P180" s="18"/>
      <c r="Q180" s="60"/>
      <c r="R180" s="19"/>
      <c r="S180" s="18"/>
      <c r="T180" s="75"/>
      <c r="U180" s="20"/>
      <c r="V180" s="21"/>
      <c r="W180" s="22"/>
      <c r="Y180" s="78" t="e">
        <f>VLOOKUP(V180,[1]IOT!$A:$B,2,0)</f>
        <v>#N/A</v>
      </c>
      <c r="Z180" s="78">
        <f>IF(ISNA(VLOOKUP(K180,[2]Sheet1!$A:$B,2,0)),0,(VLOOKUP(K180,[2]Sheet1!$A:$B,2,0)))</f>
        <v>0</v>
      </c>
      <c r="AA180" s="78">
        <f t="shared" si="29"/>
        <v>0</v>
      </c>
      <c r="AB180" s="78" t="e">
        <f>VLOOKUP(K180,[1]IOT!$A:$E,5,0)</f>
        <v>#N/A</v>
      </c>
      <c r="AC180" s="78"/>
      <c r="AD180" s="78" t="e">
        <f>VLOOKUP(K180,[1]IOT!$A:$F,6,0)</f>
        <v>#N/A</v>
      </c>
      <c r="AE180" s="78"/>
      <c r="AF180" s="78"/>
      <c r="AG180" s="78"/>
      <c r="AH180" s="78" t="e">
        <f>VLOOKUP(K180,[1]IOT!$A:$G,7,0)</f>
        <v>#N/A</v>
      </c>
      <c r="AI180" s="78" t="e">
        <f>VLOOKUP(K180,[1]IOT!$A:$H,8,0)</f>
        <v>#N/A</v>
      </c>
      <c r="AJ180" s="78" t="e">
        <f>VLOOKUP(K180,[1]IOT!$A:$I,9,0)</f>
        <v>#N/A</v>
      </c>
      <c r="AK180" s="78" t="e">
        <f>VLOOKUP(K180,[1]IOT!$A:$J,10,0)</f>
        <v>#N/A</v>
      </c>
      <c r="AL180" s="78" t="e">
        <f>VLOOKUP(K180,[1]IOT!$A:$K,11,0)</f>
        <v>#N/A</v>
      </c>
      <c r="AM180" s="78"/>
      <c r="AN180" s="78"/>
      <c r="AO180" s="79">
        <f t="shared" si="30"/>
        <v>0</v>
      </c>
      <c r="AP180" s="80">
        <f t="shared" si="31"/>
        <v>0</v>
      </c>
      <c r="AQ180" s="77"/>
      <c r="AR180" s="6" t="str">
        <f t="shared" si="32"/>
        <v/>
      </c>
    </row>
    <row r="181" spans="1:44" s="6" customFormat="1" ht="47.25" customHeight="1" x14ac:dyDescent="0.35">
      <c r="A181" s="71"/>
      <c r="B181" s="68"/>
      <c r="C181" s="25"/>
      <c r="D181" s="25"/>
      <c r="E181" s="67" t="str">
        <f t="shared" si="20"/>
        <v/>
      </c>
      <c r="F181" s="62"/>
      <c r="G181" s="14"/>
      <c r="H181" s="65"/>
      <c r="I181" s="70"/>
      <c r="J181" s="14"/>
      <c r="K181" s="69"/>
      <c r="L181" s="15"/>
      <c r="M181" s="16"/>
      <c r="N181" s="17"/>
      <c r="O181" s="72"/>
      <c r="P181" s="18"/>
      <c r="Q181" s="60"/>
      <c r="R181" s="19"/>
      <c r="S181" s="18"/>
      <c r="T181" s="75"/>
      <c r="U181" s="20"/>
      <c r="V181" s="21"/>
      <c r="W181" s="22"/>
      <c r="Y181" s="78" t="e">
        <f>VLOOKUP(V181,[1]IOT!$A:$B,2,0)</f>
        <v>#N/A</v>
      </c>
      <c r="Z181" s="78">
        <f>IF(ISNA(VLOOKUP(K181,[2]Sheet1!$A:$B,2,0)),0,(VLOOKUP(K181,[2]Sheet1!$A:$B,2,0)))</f>
        <v>0</v>
      </c>
      <c r="AA181" s="78">
        <f t="shared" si="29"/>
        <v>0</v>
      </c>
      <c r="AB181" s="78" t="e">
        <f>VLOOKUP(K181,[1]IOT!$A:$E,5,0)</f>
        <v>#N/A</v>
      </c>
      <c r="AC181" s="78"/>
      <c r="AD181" s="78" t="e">
        <f>VLOOKUP(K181,[1]IOT!$A:$F,6,0)</f>
        <v>#N/A</v>
      </c>
      <c r="AE181" s="78"/>
      <c r="AF181" s="78"/>
      <c r="AG181" s="78"/>
      <c r="AH181" s="78" t="e">
        <f>VLOOKUP(K181,[1]IOT!$A:$G,7,0)</f>
        <v>#N/A</v>
      </c>
      <c r="AI181" s="78" t="e">
        <f>VLOOKUP(K181,[1]IOT!$A:$H,8,0)</f>
        <v>#N/A</v>
      </c>
      <c r="AJ181" s="78" t="e">
        <f>VLOOKUP(K181,[1]IOT!$A:$I,9,0)</f>
        <v>#N/A</v>
      </c>
      <c r="AK181" s="78" t="e">
        <f>VLOOKUP(K181,[1]IOT!$A:$J,10,0)</f>
        <v>#N/A</v>
      </c>
      <c r="AL181" s="78" t="e">
        <f>VLOOKUP(K181,[1]IOT!$A:$K,11,0)</f>
        <v>#N/A</v>
      </c>
      <c r="AM181" s="78"/>
      <c r="AN181" s="78"/>
      <c r="AO181" s="79">
        <f t="shared" si="30"/>
        <v>0</v>
      </c>
      <c r="AP181" s="80">
        <f t="shared" si="31"/>
        <v>0</v>
      </c>
      <c r="AQ181" s="77"/>
      <c r="AR181" s="6" t="str">
        <f t="shared" si="32"/>
        <v/>
      </c>
    </row>
    <row r="182" spans="1:44" s="6" customFormat="1" ht="47.25" customHeight="1" x14ac:dyDescent="0.35">
      <c r="A182" s="71"/>
      <c r="B182" s="68"/>
      <c r="C182" s="25"/>
      <c r="D182" s="25"/>
      <c r="E182" s="67" t="str">
        <f t="shared" si="20"/>
        <v/>
      </c>
      <c r="F182" s="62"/>
      <c r="G182" s="14"/>
      <c r="H182" s="65"/>
      <c r="I182" s="70"/>
      <c r="J182" s="14"/>
      <c r="K182" s="69"/>
      <c r="L182" s="15"/>
      <c r="M182" s="16"/>
      <c r="N182" s="17"/>
      <c r="O182" s="72"/>
      <c r="P182" s="18"/>
      <c r="Q182" s="60"/>
      <c r="R182" s="19"/>
      <c r="S182" s="18"/>
      <c r="T182" s="75"/>
      <c r="U182" s="20"/>
      <c r="V182" s="21"/>
      <c r="W182" s="22"/>
      <c r="Y182" s="78" t="e">
        <f>VLOOKUP(V182,[1]IOT!$A:$B,2,0)</f>
        <v>#N/A</v>
      </c>
      <c r="Z182" s="78">
        <f>IF(ISNA(VLOOKUP(K182,[2]Sheet1!$A:$B,2,0)),0,(VLOOKUP(K182,[2]Sheet1!$A:$B,2,0)))</f>
        <v>0</v>
      </c>
      <c r="AA182" s="78">
        <f t="shared" si="29"/>
        <v>0</v>
      </c>
      <c r="AB182" s="78" t="e">
        <f>VLOOKUP(K182,[1]IOT!$A:$E,5,0)</f>
        <v>#N/A</v>
      </c>
      <c r="AC182" s="78"/>
      <c r="AD182" s="78" t="e">
        <f>VLOOKUP(K182,[1]IOT!$A:$F,6,0)</f>
        <v>#N/A</v>
      </c>
      <c r="AE182" s="78"/>
      <c r="AF182" s="78"/>
      <c r="AG182" s="78"/>
      <c r="AH182" s="78" t="e">
        <f>VLOOKUP(K182,[1]IOT!$A:$G,7,0)</f>
        <v>#N/A</v>
      </c>
      <c r="AI182" s="78" t="e">
        <f>VLOOKUP(K182,[1]IOT!$A:$H,8,0)</f>
        <v>#N/A</v>
      </c>
      <c r="AJ182" s="78" t="e">
        <f>VLOOKUP(K182,[1]IOT!$A:$I,9,0)</f>
        <v>#N/A</v>
      </c>
      <c r="AK182" s="78" t="e">
        <f>VLOOKUP(K182,[1]IOT!$A:$J,10,0)</f>
        <v>#N/A</v>
      </c>
      <c r="AL182" s="78" t="e">
        <f>VLOOKUP(K182,[1]IOT!$A:$K,11,0)</f>
        <v>#N/A</v>
      </c>
      <c r="AM182" s="78"/>
      <c r="AN182" s="78"/>
      <c r="AO182" s="79">
        <f t="shared" si="30"/>
        <v>0</v>
      </c>
      <c r="AP182" s="80">
        <f t="shared" si="31"/>
        <v>0</v>
      </c>
      <c r="AQ182" s="77"/>
      <c r="AR182" s="6" t="str">
        <f t="shared" si="32"/>
        <v/>
      </c>
    </row>
    <row r="183" spans="1:44" s="6" customFormat="1" ht="47.25" customHeight="1" x14ac:dyDescent="0.35">
      <c r="A183" s="71"/>
      <c r="B183" s="68"/>
      <c r="C183" s="25"/>
      <c r="D183" s="25"/>
      <c r="E183" s="67" t="str">
        <f t="shared" si="20"/>
        <v/>
      </c>
      <c r="F183" s="62"/>
      <c r="G183" s="14"/>
      <c r="H183" s="65"/>
      <c r="I183" s="70"/>
      <c r="J183" s="14"/>
      <c r="K183" s="69"/>
      <c r="L183" s="15"/>
      <c r="M183" s="16"/>
      <c r="N183" s="17"/>
      <c r="O183" s="72"/>
      <c r="P183" s="18"/>
      <c r="Q183" s="60"/>
      <c r="R183" s="19"/>
      <c r="S183" s="18"/>
      <c r="T183" s="75"/>
      <c r="U183" s="20"/>
      <c r="V183" s="21"/>
      <c r="W183" s="22"/>
      <c r="Y183" s="78" t="e">
        <f>VLOOKUP(V183,[1]IOT!$A:$B,2,0)</f>
        <v>#N/A</v>
      </c>
      <c r="Z183" s="78">
        <f>IF(ISNA(VLOOKUP(K183,[2]Sheet1!$A:$B,2,0)),0,(VLOOKUP(K183,[2]Sheet1!$A:$B,2,0)))</f>
        <v>0</v>
      </c>
      <c r="AA183" s="78">
        <f t="shared" si="29"/>
        <v>0</v>
      </c>
      <c r="AB183" s="78" t="e">
        <f>VLOOKUP(K183,[1]IOT!$A:$E,5,0)</f>
        <v>#N/A</v>
      </c>
      <c r="AC183" s="78"/>
      <c r="AD183" s="78" t="e">
        <f>VLOOKUP(K183,[1]IOT!$A:$F,6,0)</f>
        <v>#N/A</v>
      </c>
      <c r="AE183" s="78"/>
      <c r="AF183" s="78"/>
      <c r="AG183" s="78"/>
      <c r="AH183" s="78" t="e">
        <f>VLOOKUP(K183,[1]IOT!$A:$G,7,0)</f>
        <v>#N/A</v>
      </c>
      <c r="AI183" s="78" t="e">
        <f>VLOOKUP(K183,[1]IOT!$A:$H,8,0)</f>
        <v>#N/A</v>
      </c>
      <c r="AJ183" s="78" t="e">
        <f>VLOOKUP(K183,[1]IOT!$A:$I,9,0)</f>
        <v>#N/A</v>
      </c>
      <c r="AK183" s="78" t="e">
        <f>VLOOKUP(K183,[1]IOT!$A:$J,10,0)</f>
        <v>#N/A</v>
      </c>
      <c r="AL183" s="78" t="e">
        <f>VLOOKUP(K183,[1]IOT!$A:$K,11,0)</f>
        <v>#N/A</v>
      </c>
      <c r="AM183" s="78"/>
      <c r="AN183" s="78"/>
      <c r="AO183" s="79">
        <f t="shared" si="30"/>
        <v>0</v>
      </c>
      <c r="AP183" s="80">
        <f t="shared" si="31"/>
        <v>0</v>
      </c>
      <c r="AQ183" s="77"/>
      <c r="AR183" s="6" t="str">
        <f t="shared" si="32"/>
        <v/>
      </c>
    </row>
    <row r="184" spans="1:44" s="6" customFormat="1" ht="47.25" customHeight="1" x14ac:dyDescent="0.35">
      <c r="A184" s="71"/>
      <c r="B184" s="68"/>
      <c r="C184" s="25"/>
      <c r="D184" s="25"/>
      <c r="E184" s="67" t="str">
        <f t="shared" si="20"/>
        <v/>
      </c>
      <c r="F184" s="62"/>
      <c r="G184" s="14"/>
      <c r="H184" s="65"/>
      <c r="I184" s="70"/>
      <c r="J184" s="14"/>
      <c r="K184" s="69"/>
      <c r="L184" s="15"/>
      <c r="M184" s="16"/>
      <c r="N184" s="17"/>
      <c r="O184" s="72"/>
      <c r="P184" s="18"/>
      <c r="Q184" s="60"/>
      <c r="R184" s="19"/>
      <c r="S184" s="18"/>
      <c r="T184" s="75"/>
      <c r="U184" s="20"/>
      <c r="V184" s="21"/>
      <c r="W184" s="22"/>
      <c r="Y184" s="78" t="e">
        <f>VLOOKUP(V184,[1]IOT!$A:$B,2,0)</f>
        <v>#N/A</v>
      </c>
      <c r="Z184" s="78">
        <f>IF(ISNA(VLOOKUP(K184,[2]Sheet1!$A:$B,2,0)),0,(VLOOKUP(K184,[2]Sheet1!$A:$B,2,0)))</f>
        <v>0</v>
      </c>
      <c r="AA184" s="78">
        <f t="shared" si="29"/>
        <v>0</v>
      </c>
      <c r="AB184" s="78" t="e">
        <f>VLOOKUP(K184,[1]IOT!$A:$E,5,0)</f>
        <v>#N/A</v>
      </c>
      <c r="AC184" s="78"/>
      <c r="AD184" s="78" t="e">
        <f>VLOOKUP(K184,[1]IOT!$A:$F,6,0)</f>
        <v>#N/A</v>
      </c>
      <c r="AE184" s="78"/>
      <c r="AF184" s="78"/>
      <c r="AG184" s="78"/>
      <c r="AH184" s="78" t="e">
        <f>VLOOKUP(K184,[1]IOT!$A:$G,7,0)</f>
        <v>#N/A</v>
      </c>
      <c r="AI184" s="78" t="e">
        <f>VLOOKUP(K184,[1]IOT!$A:$H,8,0)</f>
        <v>#N/A</v>
      </c>
      <c r="AJ184" s="78" t="e">
        <f>VLOOKUP(K184,[1]IOT!$A:$I,9,0)</f>
        <v>#N/A</v>
      </c>
      <c r="AK184" s="78" t="e">
        <f>VLOOKUP(K184,[1]IOT!$A:$J,10,0)</f>
        <v>#N/A</v>
      </c>
      <c r="AL184" s="78" t="e">
        <f>VLOOKUP(K184,[1]IOT!$A:$K,11,0)</f>
        <v>#N/A</v>
      </c>
      <c r="AM184" s="78"/>
      <c r="AN184" s="78"/>
      <c r="AO184" s="79">
        <f t="shared" si="30"/>
        <v>0</v>
      </c>
      <c r="AP184" s="80">
        <f t="shared" si="31"/>
        <v>0</v>
      </c>
      <c r="AQ184" s="77"/>
      <c r="AR184" s="6" t="str">
        <f t="shared" si="32"/>
        <v/>
      </c>
    </row>
    <row r="185" spans="1:44" s="6" customFormat="1" ht="47.25" customHeight="1" x14ac:dyDescent="0.35">
      <c r="A185" s="71"/>
      <c r="B185" s="68"/>
      <c r="C185" s="25"/>
      <c r="D185" s="25"/>
      <c r="E185" s="67" t="str">
        <f t="shared" si="20"/>
        <v/>
      </c>
      <c r="F185" s="62"/>
      <c r="G185" s="14"/>
      <c r="H185" s="65"/>
      <c r="I185" s="70"/>
      <c r="J185" s="14"/>
      <c r="K185" s="69"/>
      <c r="L185" s="15"/>
      <c r="M185" s="16"/>
      <c r="N185" s="17"/>
      <c r="O185" s="72"/>
      <c r="P185" s="18"/>
      <c r="Q185" s="60"/>
      <c r="R185" s="19"/>
      <c r="S185" s="18"/>
      <c r="T185" s="75"/>
      <c r="U185" s="20"/>
      <c r="V185" s="21"/>
      <c r="W185" s="22"/>
      <c r="Y185" s="78" t="e">
        <f>VLOOKUP(V185,[1]IOT!$A:$B,2,0)</f>
        <v>#N/A</v>
      </c>
      <c r="Z185" s="78">
        <f>IF(ISNA(VLOOKUP(K185,[2]Sheet1!$A:$B,2,0)),0,(VLOOKUP(K185,[2]Sheet1!$A:$B,2,0)))</f>
        <v>0</v>
      </c>
      <c r="AA185" s="78">
        <f t="shared" si="29"/>
        <v>0</v>
      </c>
      <c r="AB185" s="78" t="e">
        <f>VLOOKUP(K185,[1]IOT!$A:$E,5,0)</f>
        <v>#N/A</v>
      </c>
      <c r="AC185" s="78"/>
      <c r="AD185" s="78" t="e">
        <f>VLOOKUP(K185,[1]IOT!$A:$F,6,0)</f>
        <v>#N/A</v>
      </c>
      <c r="AE185" s="78"/>
      <c r="AF185" s="78"/>
      <c r="AG185" s="78"/>
      <c r="AH185" s="78" t="e">
        <f>VLOOKUP(K185,[1]IOT!$A:$G,7,0)</f>
        <v>#N/A</v>
      </c>
      <c r="AI185" s="78" t="e">
        <f>VLOOKUP(K185,[1]IOT!$A:$H,8,0)</f>
        <v>#N/A</v>
      </c>
      <c r="AJ185" s="78" t="e">
        <f>VLOOKUP(K185,[1]IOT!$A:$I,9,0)</f>
        <v>#N/A</v>
      </c>
      <c r="AK185" s="78" t="e">
        <f>VLOOKUP(K185,[1]IOT!$A:$J,10,0)</f>
        <v>#N/A</v>
      </c>
      <c r="AL185" s="78" t="e">
        <f>VLOOKUP(K185,[1]IOT!$A:$K,11,0)</f>
        <v>#N/A</v>
      </c>
      <c r="AM185" s="78"/>
      <c r="AN185" s="78"/>
      <c r="AO185" s="79">
        <f t="shared" si="30"/>
        <v>0</v>
      </c>
      <c r="AP185" s="80">
        <f t="shared" si="31"/>
        <v>0</v>
      </c>
      <c r="AQ185" s="77"/>
      <c r="AR185" s="6" t="str">
        <f t="shared" si="32"/>
        <v/>
      </c>
    </row>
    <row r="186" spans="1:44" s="6" customFormat="1" ht="47.25" customHeight="1" x14ac:dyDescent="0.35">
      <c r="A186" s="71"/>
      <c r="B186" s="68"/>
      <c r="C186" s="25"/>
      <c r="D186" s="25"/>
      <c r="E186" s="67" t="str">
        <f t="shared" si="20"/>
        <v/>
      </c>
      <c r="F186" s="62"/>
      <c r="G186" s="14"/>
      <c r="H186" s="65"/>
      <c r="I186" s="70"/>
      <c r="J186" s="14"/>
      <c r="K186" s="69"/>
      <c r="L186" s="15"/>
      <c r="M186" s="16"/>
      <c r="N186" s="17"/>
      <c r="O186" s="72"/>
      <c r="P186" s="18"/>
      <c r="Q186" s="60"/>
      <c r="R186" s="19"/>
      <c r="S186" s="18"/>
      <c r="T186" s="75"/>
      <c r="U186" s="20"/>
      <c r="V186" s="21"/>
      <c r="W186" s="22"/>
      <c r="Y186" s="78" t="e">
        <f>VLOOKUP(V186,[1]IOT!$A:$B,2,0)</f>
        <v>#N/A</v>
      </c>
      <c r="Z186" s="78">
        <f>IF(ISNA(VLOOKUP(K186,[2]Sheet1!$A:$B,2,0)),0,(VLOOKUP(K186,[2]Sheet1!$A:$B,2,0)))</f>
        <v>0</v>
      </c>
      <c r="AA186" s="78">
        <f t="shared" si="29"/>
        <v>0</v>
      </c>
      <c r="AB186" s="78" t="e">
        <f>VLOOKUP(K186,[1]IOT!$A:$E,5,0)</f>
        <v>#N/A</v>
      </c>
      <c r="AC186" s="78"/>
      <c r="AD186" s="78" t="e">
        <f>VLOOKUP(K186,[1]IOT!$A:$F,6,0)</f>
        <v>#N/A</v>
      </c>
      <c r="AE186" s="78"/>
      <c r="AF186" s="78"/>
      <c r="AG186" s="78"/>
      <c r="AH186" s="78" t="e">
        <f>VLOOKUP(K186,[1]IOT!$A:$G,7,0)</f>
        <v>#N/A</v>
      </c>
      <c r="AI186" s="78" t="e">
        <f>VLOOKUP(K186,[1]IOT!$A:$H,8,0)</f>
        <v>#N/A</v>
      </c>
      <c r="AJ186" s="78" t="e">
        <f>VLOOKUP(K186,[1]IOT!$A:$I,9,0)</f>
        <v>#N/A</v>
      </c>
      <c r="AK186" s="78" t="e">
        <f>VLOOKUP(K186,[1]IOT!$A:$J,10,0)</f>
        <v>#N/A</v>
      </c>
      <c r="AL186" s="78" t="e">
        <f>VLOOKUP(K186,[1]IOT!$A:$K,11,0)</f>
        <v>#N/A</v>
      </c>
      <c r="AM186" s="78"/>
      <c r="AN186" s="78"/>
      <c r="AO186" s="79">
        <f t="shared" si="30"/>
        <v>0</v>
      </c>
      <c r="AP186" s="80">
        <f t="shared" si="31"/>
        <v>0</v>
      </c>
      <c r="AQ186" s="77"/>
      <c r="AR186" s="6" t="str">
        <f t="shared" si="32"/>
        <v/>
      </c>
    </row>
    <row r="187" spans="1:44" s="6" customFormat="1" ht="47.25" customHeight="1" x14ac:dyDescent="0.35">
      <c r="A187" s="71"/>
      <c r="B187" s="68"/>
      <c r="C187" s="25"/>
      <c r="D187" s="25"/>
      <c r="E187" s="67" t="str">
        <f t="shared" si="20"/>
        <v/>
      </c>
      <c r="F187" s="62"/>
      <c r="G187" s="14"/>
      <c r="H187" s="65"/>
      <c r="I187" s="70"/>
      <c r="J187" s="14"/>
      <c r="K187" s="69"/>
      <c r="L187" s="15"/>
      <c r="M187" s="16"/>
      <c r="N187" s="17"/>
      <c r="O187" s="72"/>
      <c r="P187" s="18"/>
      <c r="Q187" s="60"/>
      <c r="R187" s="19"/>
      <c r="S187" s="18"/>
      <c r="T187" s="75"/>
      <c r="U187" s="20"/>
      <c r="V187" s="21"/>
      <c r="W187" s="22"/>
      <c r="Y187" s="78" t="e">
        <f>VLOOKUP(V187,[1]IOT!$A:$B,2,0)</f>
        <v>#N/A</v>
      </c>
      <c r="Z187" s="78">
        <f>IF(ISNA(VLOOKUP(K187,[2]Sheet1!$A:$B,2,0)),0,(VLOOKUP(K187,[2]Sheet1!$A:$B,2,0)))</f>
        <v>0</v>
      </c>
      <c r="AA187" s="78">
        <f t="shared" si="29"/>
        <v>0</v>
      </c>
      <c r="AB187" s="78" t="e">
        <f>VLOOKUP(K187,[1]IOT!$A:$E,5,0)</f>
        <v>#N/A</v>
      </c>
      <c r="AC187" s="78"/>
      <c r="AD187" s="78" t="e">
        <f>VLOOKUP(K187,[1]IOT!$A:$F,6,0)</f>
        <v>#N/A</v>
      </c>
      <c r="AE187" s="78"/>
      <c r="AF187" s="78"/>
      <c r="AG187" s="78"/>
      <c r="AH187" s="78" t="e">
        <f>VLOOKUP(K187,[1]IOT!$A:$G,7,0)</f>
        <v>#N/A</v>
      </c>
      <c r="AI187" s="78" t="e">
        <f>VLOOKUP(K187,[1]IOT!$A:$H,8,0)</f>
        <v>#N/A</v>
      </c>
      <c r="AJ187" s="78" t="e">
        <f>VLOOKUP(K187,[1]IOT!$A:$I,9,0)</f>
        <v>#N/A</v>
      </c>
      <c r="AK187" s="78" t="e">
        <f>VLOOKUP(K187,[1]IOT!$A:$J,10,0)</f>
        <v>#N/A</v>
      </c>
      <c r="AL187" s="78" t="e">
        <f>VLOOKUP(K187,[1]IOT!$A:$K,11,0)</f>
        <v>#N/A</v>
      </c>
      <c r="AM187" s="78"/>
      <c r="AN187" s="78"/>
      <c r="AO187" s="79">
        <f t="shared" si="30"/>
        <v>0</v>
      </c>
      <c r="AP187" s="80">
        <f t="shared" si="31"/>
        <v>0</v>
      </c>
      <c r="AQ187" s="77"/>
      <c r="AR187" s="6" t="str">
        <f t="shared" si="32"/>
        <v/>
      </c>
    </row>
    <row r="188" spans="1:44" s="6" customFormat="1" ht="47.25" customHeight="1" x14ac:dyDescent="0.35">
      <c r="A188" s="71"/>
      <c r="B188" s="68"/>
      <c r="C188" s="25"/>
      <c r="D188" s="25"/>
      <c r="E188" s="67" t="str">
        <f t="shared" si="20"/>
        <v/>
      </c>
      <c r="F188" s="62"/>
      <c r="G188" s="14"/>
      <c r="H188" s="65"/>
      <c r="I188" s="70"/>
      <c r="J188" s="14"/>
      <c r="K188" s="69"/>
      <c r="L188" s="15"/>
      <c r="M188" s="16"/>
      <c r="N188" s="17"/>
      <c r="O188" s="72"/>
      <c r="P188" s="18"/>
      <c r="Q188" s="60"/>
      <c r="R188" s="19"/>
      <c r="S188" s="18"/>
      <c r="T188" s="75"/>
      <c r="U188" s="20"/>
      <c r="V188" s="21"/>
      <c r="W188" s="22"/>
      <c r="Y188" s="78" t="e">
        <f>VLOOKUP(V188,[1]IOT!$A:$B,2,0)</f>
        <v>#N/A</v>
      </c>
      <c r="Z188" s="78">
        <f>IF(ISNA(VLOOKUP(K188,[2]Sheet1!$A:$B,2,0)),0,(VLOOKUP(K188,[2]Sheet1!$A:$B,2,0)))</f>
        <v>0</v>
      </c>
      <c r="AA188" s="78">
        <f t="shared" si="29"/>
        <v>0</v>
      </c>
      <c r="AB188" s="78" t="e">
        <f>VLOOKUP(K188,[1]IOT!$A:$E,5,0)</f>
        <v>#N/A</v>
      </c>
      <c r="AC188" s="78"/>
      <c r="AD188" s="78" t="e">
        <f>VLOOKUP(K188,[1]IOT!$A:$F,6,0)</f>
        <v>#N/A</v>
      </c>
      <c r="AE188" s="78"/>
      <c r="AF188" s="78"/>
      <c r="AG188" s="78"/>
      <c r="AH188" s="78" t="e">
        <f>VLOOKUP(K188,[1]IOT!$A:$G,7,0)</f>
        <v>#N/A</v>
      </c>
      <c r="AI188" s="78" t="e">
        <f>VLOOKUP(K188,[1]IOT!$A:$H,8,0)</f>
        <v>#N/A</v>
      </c>
      <c r="AJ188" s="78" t="e">
        <f>VLOOKUP(K188,[1]IOT!$A:$I,9,0)</f>
        <v>#N/A</v>
      </c>
      <c r="AK188" s="78" t="e">
        <f>VLOOKUP(K188,[1]IOT!$A:$J,10,0)</f>
        <v>#N/A</v>
      </c>
      <c r="AL188" s="78" t="e">
        <f>VLOOKUP(K188,[1]IOT!$A:$K,11,0)</f>
        <v>#N/A</v>
      </c>
      <c r="AM188" s="78"/>
      <c r="AN188" s="78"/>
      <c r="AO188" s="79">
        <f t="shared" si="30"/>
        <v>0</v>
      </c>
      <c r="AP188" s="80">
        <f t="shared" si="31"/>
        <v>0</v>
      </c>
      <c r="AQ188" s="77"/>
      <c r="AR188" s="6" t="str">
        <f t="shared" si="32"/>
        <v/>
      </c>
    </row>
    <row r="189" spans="1:44" s="6" customFormat="1" ht="47.25" customHeight="1" x14ac:dyDescent="0.35">
      <c r="A189" s="71"/>
      <c r="B189" s="68"/>
      <c r="C189" s="25"/>
      <c r="D189" s="25"/>
      <c r="E189" s="67" t="str">
        <f t="shared" si="20"/>
        <v/>
      </c>
      <c r="F189" s="62"/>
      <c r="G189" s="14"/>
      <c r="H189" s="65"/>
      <c r="I189" s="70"/>
      <c r="J189" s="14"/>
      <c r="K189" s="69"/>
      <c r="L189" s="15"/>
      <c r="M189" s="16"/>
      <c r="N189" s="17"/>
      <c r="O189" s="72"/>
      <c r="P189" s="18"/>
      <c r="Q189" s="60"/>
      <c r="R189" s="19"/>
      <c r="S189" s="18"/>
      <c r="T189" s="75"/>
      <c r="U189" s="20"/>
      <c r="V189" s="21"/>
      <c r="W189" s="22"/>
      <c r="Y189" s="78" t="e">
        <f>VLOOKUP(V189,[1]IOT!$A:$B,2,0)</f>
        <v>#N/A</v>
      </c>
      <c r="Z189" s="78">
        <f>IF(ISNA(VLOOKUP(K189,[2]Sheet1!$A:$B,2,0)),0,(VLOOKUP(K189,[2]Sheet1!$A:$B,2,0)))</f>
        <v>0</v>
      </c>
      <c r="AA189" s="78">
        <f t="shared" si="29"/>
        <v>0</v>
      </c>
      <c r="AB189" s="78" t="e">
        <f>VLOOKUP(K189,[1]IOT!$A:$E,5,0)</f>
        <v>#N/A</v>
      </c>
      <c r="AC189" s="78"/>
      <c r="AD189" s="78" t="e">
        <f>VLOOKUP(K189,[1]IOT!$A:$F,6,0)</f>
        <v>#N/A</v>
      </c>
      <c r="AE189" s="78"/>
      <c r="AF189" s="78"/>
      <c r="AG189" s="78"/>
      <c r="AH189" s="78" t="e">
        <f>VLOOKUP(K189,[1]IOT!$A:$G,7,0)</f>
        <v>#N/A</v>
      </c>
      <c r="AI189" s="78" t="e">
        <f>VLOOKUP(K189,[1]IOT!$A:$H,8,0)</f>
        <v>#N/A</v>
      </c>
      <c r="AJ189" s="78" t="e">
        <f>VLOOKUP(K189,[1]IOT!$A:$I,9,0)</f>
        <v>#N/A</v>
      </c>
      <c r="AK189" s="78" t="e">
        <f>VLOOKUP(K189,[1]IOT!$A:$J,10,0)</f>
        <v>#N/A</v>
      </c>
      <c r="AL189" s="78" t="e">
        <f>VLOOKUP(K189,[1]IOT!$A:$K,11,0)</f>
        <v>#N/A</v>
      </c>
      <c r="AM189" s="78"/>
      <c r="AN189" s="78"/>
      <c r="AO189" s="79">
        <f t="shared" si="30"/>
        <v>0</v>
      </c>
      <c r="AP189" s="80">
        <f t="shared" si="31"/>
        <v>0</v>
      </c>
      <c r="AQ189" s="77"/>
      <c r="AR189" s="6" t="str">
        <f t="shared" si="32"/>
        <v/>
      </c>
    </row>
    <row r="190" spans="1:44" s="6" customFormat="1" ht="47.25" customHeight="1" x14ac:dyDescent="0.35">
      <c r="A190" s="71"/>
      <c r="B190" s="68"/>
      <c r="C190" s="25"/>
      <c r="D190" s="25"/>
      <c r="E190" s="67" t="str">
        <f t="shared" si="20"/>
        <v/>
      </c>
      <c r="F190" s="62"/>
      <c r="G190" s="14"/>
      <c r="H190" s="65"/>
      <c r="I190" s="70"/>
      <c r="J190" s="14"/>
      <c r="K190" s="69"/>
      <c r="L190" s="15"/>
      <c r="M190" s="16"/>
      <c r="N190" s="17"/>
      <c r="O190" s="72"/>
      <c r="P190" s="18"/>
      <c r="Q190" s="60"/>
      <c r="R190" s="19"/>
      <c r="S190" s="18"/>
      <c r="T190" s="75"/>
      <c r="U190" s="20"/>
      <c r="V190" s="21"/>
      <c r="W190" s="22"/>
      <c r="Y190" s="78" t="e">
        <f>VLOOKUP(V190,[1]IOT!$A:$B,2,0)</f>
        <v>#N/A</v>
      </c>
      <c r="Z190" s="78">
        <f>IF(ISNA(VLOOKUP(K190,[2]Sheet1!$A:$B,2,0)),0,(VLOOKUP(K190,[2]Sheet1!$A:$B,2,0)))</f>
        <v>0</v>
      </c>
      <c r="AA190" s="78">
        <f t="shared" si="29"/>
        <v>0</v>
      </c>
      <c r="AB190" s="78" t="e">
        <f>VLOOKUP(K190,[1]IOT!$A:$E,5,0)</f>
        <v>#N/A</v>
      </c>
      <c r="AC190" s="78"/>
      <c r="AD190" s="78" t="e">
        <f>VLOOKUP(K190,[1]IOT!$A:$F,6,0)</f>
        <v>#N/A</v>
      </c>
      <c r="AE190" s="78"/>
      <c r="AF190" s="78"/>
      <c r="AG190" s="78"/>
      <c r="AH190" s="78" t="e">
        <f>VLOOKUP(K190,[1]IOT!$A:$G,7,0)</f>
        <v>#N/A</v>
      </c>
      <c r="AI190" s="78" t="e">
        <f>VLOOKUP(K190,[1]IOT!$A:$H,8,0)</f>
        <v>#N/A</v>
      </c>
      <c r="AJ190" s="78" t="e">
        <f>VLOOKUP(K190,[1]IOT!$A:$I,9,0)</f>
        <v>#N/A</v>
      </c>
      <c r="AK190" s="78" t="e">
        <f>VLOOKUP(K190,[1]IOT!$A:$J,10,0)</f>
        <v>#N/A</v>
      </c>
      <c r="AL190" s="78" t="e">
        <f>VLOOKUP(K190,[1]IOT!$A:$K,11,0)</f>
        <v>#N/A</v>
      </c>
      <c r="AM190" s="78"/>
      <c r="AN190" s="78"/>
      <c r="AO190" s="79">
        <f t="shared" si="30"/>
        <v>0</v>
      </c>
      <c r="AP190" s="80">
        <f t="shared" si="31"/>
        <v>0</v>
      </c>
      <c r="AQ190" s="77"/>
      <c r="AR190" s="6" t="str">
        <f t="shared" si="32"/>
        <v/>
      </c>
    </row>
    <row r="191" spans="1:44" s="6" customFormat="1" ht="47.25" customHeight="1" x14ac:dyDescent="0.35">
      <c r="A191" s="71"/>
      <c r="B191" s="68"/>
      <c r="C191" s="25"/>
      <c r="D191" s="25"/>
      <c r="E191" s="67" t="str">
        <f t="shared" si="20"/>
        <v/>
      </c>
      <c r="F191" s="62"/>
      <c r="G191" s="14"/>
      <c r="H191" s="65"/>
      <c r="I191" s="70"/>
      <c r="J191" s="14"/>
      <c r="K191" s="69"/>
      <c r="L191" s="15"/>
      <c r="M191" s="16"/>
      <c r="N191" s="17"/>
      <c r="O191" s="72"/>
      <c r="P191" s="18"/>
      <c r="Q191" s="60"/>
      <c r="R191" s="19"/>
      <c r="S191" s="18"/>
      <c r="T191" s="75"/>
      <c r="U191" s="20"/>
      <c r="V191" s="21"/>
      <c r="W191" s="22"/>
      <c r="Y191" s="78" t="e">
        <f>VLOOKUP(V191,[1]IOT!$A:$B,2,0)</f>
        <v>#N/A</v>
      </c>
      <c r="Z191" s="78">
        <f>IF(ISNA(VLOOKUP(K191,[2]Sheet1!$A:$B,2,0)),0,(VLOOKUP(K191,[2]Sheet1!$A:$B,2,0)))</f>
        <v>0</v>
      </c>
      <c r="AA191" s="78">
        <f t="shared" si="29"/>
        <v>0</v>
      </c>
      <c r="AB191" s="78" t="e">
        <f>VLOOKUP(K191,[1]IOT!$A:$E,5,0)</f>
        <v>#N/A</v>
      </c>
      <c r="AC191" s="78"/>
      <c r="AD191" s="78" t="e">
        <f>VLOOKUP(K191,[1]IOT!$A:$F,6,0)</f>
        <v>#N/A</v>
      </c>
      <c r="AE191" s="78"/>
      <c r="AF191" s="78"/>
      <c r="AG191" s="78"/>
      <c r="AH191" s="78" t="e">
        <f>VLOOKUP(K191,[1]IOT!$A:$G,7,0)</f>
        <v>#N/A</v>
      </c>
      <c r="AI191" s="78" t="e">
        <f>VLOOKUP(K191,[1]IOT!$A:$H,8,0)</f>
        <v>#N/A</v>
      </c>
      <c r="AJ191" s="78" t="e">
        <f>VLOOKUP(K191,[1]IOT!$A:$I,9,0)</f>
        <v>#N/A</v>
      </c>
      <c r="AK191" s="78" t="e">
        <f>VLOOKUP(K191,[1]IOT!$A:$J,10,0)</f>
        <v>#N/A</v>
      </c>
      <c r="AL191" s="78" t="e">
        <f>VLOOKUP(K191,[1]IOT!$A:$K,11,0)</f>
        <v>#N/A</v>
      </c>
      <c r="AM191" s="78"/>
      <c r="AN191" s="78"/>
      <c r="AO191" s="79">
        <f t="shared" si="30"/>
        <v>0</v>
      </c>
      <c r="AP191" s="80">
        <f t="shared" si="31"/>
        <v>0</v>
      </c>
      <c r="AQ191" s="77"/>
      <c r="AR191" s="6" t="str">
        <f t="shared" si="32"/>
        <v/>
      </c>
    </row>
    <row r="192" spans="1:44" s="6" customFormat="1" ht="47.25" customHeight="1" x14ac:dyDescent="0.35">
      <c r="A192" s="71"/>
      <c r="B192" s="68"/>
      <c r="C192" s="25"/>
      <c r="D192" s="25"/>
      <c r="E192" s="67" t="str">
        <f t="shared" si="20"/>
        <v/>
      </c>
      <c r="F192" s="62"/>
      <c r="G192" s="14"/>
      <c r="H192" s="65"/>
      <c r="I192" s="70"/>
      <c r="J192" s="14"/>
      <c r="K192" s="69"/>
      <c r="L192" s="15"/>
      <c r="M192" s="16"/>
      <c r="N192" s="17"/>
      <c r="O192" s="72"/>
      <c r="P192" s="18"/>
      <c r="Q192" s="60"/>
      <c r="R192" s="19"/>
      <c r="S192" s="18"/>
      <c r="T192" s="75"/>
      <c r="U192" s="20"/>
      <c r="V192" s="21"/>
      <c r="W192" s="22"/>
      <c r="Y192" s="78" t="e">
        <f>VLOOKUP(V192,[1]IOT!$A:$B,2,0)</f>
        <v>#N/A</v>
      </c>
      <c r="Z192" s="78">
        <f>IF(ISNA(VLOOKUP(K192,[2]Sheet1!$A:$B,2,0)),0,(VLOOKUP(K192,[2]Sheet1!$A:$B,2,0)))</f>
        <v>0</v>
      </c>
      <c r="AA192" s="78">
        <f t="shared" si="29"/>
        <v>0</v>
      </c>
      <c r="AB192" s="78" t="e">
        <f>VLOOKUP(K192,[1]IOT!$A:$E,5,0)</f>
        <v>#N/A</v>
      </c>
      <c r="AC192" s="78"/>
      <c r="AD192" s="78" t="e">
        <f>VLOOKUP(K192,[1]IOT!$A:$F,6,0)</f>
        <v>#N/A</v>
      </c>
      <c r="AE192" s="78"/>
      <c r="AF192" s="78"/>
      <c r="AG192" s="78"/>
      <c r="AH192" s="78" t="e">
        <f>VLOOKUP(K192,[1]IOT!$A:$G,7,0)</f>
        <v>#N/A</v>
      </c>
      <c r="AI192" s="78" t="e">
        <f>VLOOKUP(K192,[1]IOT!$A:$H,8,0)</f>
        <v>#N/A</v>
      </c>
      <c r="AJ192" s="78" t="e">
        <f>VLOOKUP(K192,[1]IOT!$A:$I,9,0)</f>
        <v>#N/A</v>
      </c>
      <c r="AK192" s="78" t="e">
        <f>VLOOKUP(K192,[1]IOT!$A:$J,10,0)</f>
        <v>#N/A</v>
      </c>
      <c r="AL192" s="78" t="e">
        <f>VLOOKUP(K192,[1]IOT!$A:$K,11,0)</f>
        <v>#N/A</v>
      </c>
      <c r="AM192" s="78"/>
      <c r="AN192" s="78"/>
      <c r="AO192" s="79">
        <f t="shared" si="30"/>
        <v>0</v>
      </c>
      <c r="AP192" s="80">
        <f t="shared" si="31"/>
        <v>0</v>
      </c>
      <c r="AQ192" s="77"/>
      <c r="AR192" s="6" t="str">
        <f t="shared" si="32"/>
        <v/>
      </c>
    </row>
    <row r="193" spans="1:44" s="6" customFormat="1" ht="47.25" customHeight="1" x14ac:dyDescent="0.35">
      <c r="A193" s="71"/>
      <c r="B193" s="68"/>
      <c r="C193" s="25"/>
      <c r="D193" s="25"/>
      <c r="E193" s="67" t="str">
        <f t="shared" si="20"/>
        <v/>
      </c>
      <c r="F193" s="62"/>
      <c r="G193" s="14"/>
      <c r="H193" s="65"/>
      <c r="I193" s="70"/>
      <c r="J193" s="14"/>
      <c r="K193" s="69"/>
      <c r="L193" s="15"/>
      <c r="M193" s="16"/>
      <c r="N193" s="17"/>
      <c r="O193" s="72"/>
      <c r="P193" s="18"/>
      <c r="Q193" s="60"/>
      <c r="R193" s="19"/>
      <c r="S193" s="18"/>
      <c r="T193" s="75"/>
      <c r="U193" s="20"/>
      <c r="V193" s="21"/>
      <c r="W193" s="22"/>
      <c r="Y193" s="78" t="e">
        <f>VLOOKUP(V193,[1]IOT!$A:$B,2,0)</f>
        <v>#N/A</v>
      </c>
      <c r="Z193" s="78">
        <f>IF(ISNA(VLOOKUP(K193,[2]Sheet1!$A:$B,2,0)),0,(VLOOKUP(K193,[2]Sheet1!$A:$B,2,0)))</f>
        <v>0</v>
      </c>
      <c r="AA193" s="78">
        <f t="shared" si="29"/>
        <v>0</v>
      </c>
      <c r="AB193" s="78" t="e">
        <f>VLOOKUP(K193,[1]IOT!$A:$E,5,0)</f>
        <v>#N/A</v>
      </c>
      <c r="AC193" s="78"/>
      <c r="AD193" s="78" t="e">
        <f>VLOOKUP(K193,[1]IOT!$A:$F,6,0)</f>
        <v>#N/A</v>
      </c>
      <c r="AE193" s="78"/>
      <c r="AF193" s="78"/>
      <c r="AG193" s="78"/>
      <c r="AH193" s="78" t="e">
        <f>VLOOKUP(K193,[1]IOT!$A:$G,7,0)</f>
        <v>#N/A</v>
      </c>
      <c r="AI193" s="78" t="e">
        <f>VLOOKUP(K193,[1]IOT!$A:$H,8,0)</f>
        <v>#N/A</v>
      </c>
      <c r="AJ193" s="78" t="e">
        <f>VLOOKUP(K193,[1]IOT!$A:$I,9,0)</f>
        <v>#N/A</v>
      </c>
      <c r="AK193" s="78" t="e">
        <f>VLOOKUP(K193,[1]IOT!$A:$J,10,0)</f>
        <v>#N/A</v>
      </c>
      <c r="AL193" s="78" t="e">
        <f>VLOOKUP(K193,[1]IOT!$A:$K,11,0)</f>
        <v>#N/A</v>
      </c>
      <c r="AM193" s="78"/>
      <c r="AN193" s="78"/>
      <c r="AO193" s="79">
        <f t="shared" si="30"/>
        <v>0</v>
      </c>
      <c r="AP193" s="80">
        <f t="shared" si="31"/>
        <v>0</v>
      </c>
      <c r="AQ193" s="77"/>
      <c r="AR193" s="6" t="str">
        <f t="shared" si="32"/>
        <v/>
      </c>
    </row>
    <row r="194" spans="1:44" s="6" customFormat="1" ht="47.25" customHeight="1" x14ac:dyDescent="0.35">
      <c r="A194" s="71"/>
      <c r="B194" s="68"/>
      <c r="C194" s="25"/>
      <c r="D194" s="25"/>
      <c r="E194" s="67" t="str">
        <f t="shared" si="20"/>
        <v/>
      </c>
      <c r="F194" s="62"/>
      <c r="G194" s="14"/>
      <c r="H194" s="65"/>
      <c r="I194" s="70"/>
      <c r="J194" s="14"/>
      <c r="K194" s="69"/>
      <c r="L194" s="15"/>
      <c r="M194" s="16"/>
      <c r="N194" s="17"/>
      <c r="O194" s="72"/>
      <c r="P194" s="18"/>
      <c r="Q194" s="60"/>
      <c r="R194" s="19"/>
      <c r="S194" s="18"/>
      <c r="T194" s="75"/>
      <c r="U194" s="20"/>
      <c r="V194" s="21"/>
      <c r="W194" s="22"/>
      <c r="Y194" s="78" t="e">
        <f>VLOOKUP(V194,[1]IOT!$A:$B,2,0)</f>
        <v>#N/A</v>
      </c>
      <c r="Z194" s="78">
        <f>IF(ISNA(VLOOKUP(K194,[2]Sheet1!$A:$B,2,0)),0,(VLOOKUP(K194,[2]Sheet1!$A:$B,2,0)))</f>
        <v>0</v>
      </c>
      <c r="AA194" s="78">
        <f t="shared" si="29"/>
        <v>0</v>
      </c>
      <c r="AB194" s="78" t="e">
        <f>VLOOKUP(K194,[1]IOT!$A:$E,5,0)</f>
        <v>#N/A</v>
      </c>
      <c r="AC194" s="78"/>
      <c r="AD194" s="78" t="e">
        <f>VLOOKUP(K194,[1]IOT!$A:$F,6,0)</f>
        <v>#N/A</v>
      </c>
      <c r="AE194" s="78"/>
      <c r="AF194" s="78"/>
      <c r="AG194" s="78"/>
      <c r="AH194" s="78" t="e">
        <f>VLOOKUP(K194,[1]IOT!$A:$G,7,0)</f>
        <v>#N/A</v>
      </c>
      <c r="AI194" s="78" t="e">
        <f>VLOOKUP(K194,[1]IOT!$A:$H,8,0)</f>
        <v>#N/A</v>
      </c>
      <c r="AJ194" s="78" t="e">
        <f>VLOOKUP(K194,[1]IOT!$A:$I,9,0)</f>
        <v>#N/A</v>
      </c>
      <c r="AK194" s="78" t="e">
        <f>VLOOKUP(K194,[1]IOT!$A:$J,10,0)</f>
        <v>#N/A</v>
      </c>
      <c r="AL194" s="78" t="e">
        <f>VLOOKUP(K194,[1]IOT!$A:$K,11,0)</f>
        <v>#N/A</v>
      </c>
      <c r="AM194" s="78"/>
      <c r="AN194" s="78"/>
      <c r="AO194" s="79">
        <f t="shared" si="30"/>
        <v>0</v>
      </c>
      <c r="AP194" s="80">
        <f t="shared" si="31"/>
        <v>0</v>
      </c>
      <c r="AQ194" s="77"/>
      <c r="AR194" s="6" t="str">
        <f t="shared" si="32"/>
        <v/>
      </c>
    </row>
    <row r="195" spans="1:44" s="6" customFormat="1" ht="47.25" customHeight="1" x14ac:dyDescent="0.35">
      <c r="A195" s="71"/>
      <c r="B195" s="68"/>
      <c r="C195" s="25"/>
      <c r="D195" s="25"/>
      <c r="E195" s="67" t="str">
        <f t="shared" si="20"/>
        <v/>
      </c>
      <c r="F195" s="62"/>
      <c r="G195" s="14"/>
      <c r="H195" s="65"/>
      <c r="I195" s="70"/>
      <c r="J195" s="14"/>
      <c r="K195" s="69"/>
      <c r="L195" s="15"/>
      <c r="M195" s="16"/>
      <c r="N195" s="17"/>
      <c r="O195" s="72"/>
      <c r="P195" s="18"/>
      <c r="Q195" s="60"/>
      <c r="R195" s="19"/>
      <c r="S195" s="18"/>
      <c r="T195" s="75"/>
      <c r="U195" s="20"/>
      <c r="V195" s="21"/>
      <c r="W195" s="22"/>
      <c r="Y195" s="78" t="e">
        <f>VLOOKUP(V195,[1]IOT!$A:$B,2,0)</f>
        <v>#N/A</v>
      </c>
      <c r="Z195" s="78">
        <f>IF(ISNA(VLOOKUP(K195,[2]Sheet1!$A:$B,2,0)),0,(VLOOKUP(K195,[2]Sheet1!$A:$B,2,0)))</f>
        <v>0</v>
      </c>
      <c r="AA195" s="78">
        <f t="shared" si="29"/>
        <v>0</v>
      </c>
      <c r="AB195" s="78" t="e">
        <f>VLOOKUP(K195,[1]IOT!$A:$E,5,0)</f>
        <v>#N/A</v>
      </c>
      <c r="AC195" s="78"/>
      <c r="AD195" s="78" t="e">
        <f>VLOOKUP(K195,[1]IOT!$A:$F,6,0)</f>
        <v>#N/A</v>
      </c>
      <c r="AE195" s="78"/>
      <c r="AF195" s="78"/>
      <c r="AG195" s="78"/>
      <c r="AH195" s="78" t="e">
        <f>VLOOKUP(K195,[1]IOT!$A:$G,7,0)</f>
        <v>#N/A</v>
      </c>
      <c r="AI195" s="78" t="e">
        <f>VLOOKUP(K195,[1]IOT!$A:$H,8,0)</f>
        <v>#N/A</v>
      </c>
      <c r="AJ195" s="78" t="e">
        <f>VLOOKUP(K195,[1]IOT!$A:$I,9,0)</f>
        <v>#N/A</v>
      </c>
      <c r="AK195" s="78" t="e">
        <f>VLOOKUP(K195,[1]IOT!$A:$J,10,0)</f>
        <v>#N/A</v>
      </c>
      <c r="AL195" s="78" t="e">
        <f>VLOOKUP(K195,[1]IOT!$A:$K,11,0)</f>
        <v>#N/A</v>
      </c>
      <c r="AM195" s="78"/>
      <c r="AN195" s="78"/>
      <c r="AO195" s="79">
        <f t="shared" si="30"/>
        <v>0</v>
      </c>
      <c r="AP195" s="80">
        <f t="shared" si="31"/>
        <v>0</v>
      </c>
      <c r="AQ195" s="77"/>
      <c r="AR195" s="6" t="str">
        <f t="shared" si="32"/>
        <v/>
      </c>
    </row>
    <row r="196" spans="1:44" s="6" customFormat="1" ht="47.25" customHeight="1" x14ac:dyDescent="0.35">
      <c r="A196" s="71"/>
      <c r="B196" s="68"/>
      <c r="C196" s="25"/>
      <c r="D196" s="25"/>
      <c r="E196" s="67" t="str">
        <f t="shared" si="20"/>
        <v/>
      </c>
      <c r="F196" s="62"/>
      <c r="G196" s="14"/>
      <c r="H196" s="65"/>
      <c r="I196" s="70"/>
      <c r="J196" s="14"/>
      <c r="K196" s="69"/>
      <c r="L196" s="15"/>
      <c r="M196" s="16"/>
      <c r="N196" s="17"/>
      <c r="O196" s="72"/>
      <c r="P196" s="18"/>
      <c r="Q196" s="60"/>
      <c r="R196" s="19"/>
      <c r="S196" s="18"/>
      <c r="T196" s="75"/>
      <c r="U196" s="20"/>
      <c r="V196" s="21"/>
      <c r="W196" s="22"/>
      <c r="Y196" s="78" t="e">
        <f>VLOOKUP(V196,[1]IOT!$A:$B,2,0)</f>
        <v>#N/A</v>
      </c>
      <c r="Z196" s="78">
        <f>IF(ISNA(VLOOKUP(K196,[2]Sheet1!$A:$B,2,0)),0,(VLOOKUP(K196,[2]Sheet1!$A:$B,2,0)))</f>
        <v>0</v>
      </c>
      <c r="AA196" s="78">
        <f t="shared" si="29"/>
        <v>0</v>
      </c>
      <c r="AB196" s="78" t="e">
        <f>VLOOKUP(K196,[1]IOT!$A:$E,5,0)</f>
        <v>#N/A</v>
      </c>
      <c r="AC196" s="78"/>
      <c r="AD196" s="78" t="e">
        <f>VLOOKUP(K196,[1]IOT!$A:$F,6,0)</f>
        <v>#N/A</v>
      </c>
      <c r="AE196" s="78"/>
      <c r="AF196" s="78"/>
      <c r="AG196" s="78"/>
      <c r="AH196" s="78" t="e">
        <f>VLOOKUP(K196,[1]IOT!$A:$G,7,0)</f>
        <v>#N/A</v>
      </c>
      <c r="AI196" s="78" t="e">
        <f>VLOOKUP(K196,[1]IOT!$A:$H,8,0)</f>
        <v>#N/A</v>
      </c>
      <c r="AJ196" s="78" t="e">
        <f>VLOOKUP(K196,[1]IOT!$A:$I,9,0)</f>
        <v>#N/A</v>
      </c>
      <c r="AK196" s="78" t="e">
        <f>VLOOKUP(K196,[1]IOT!$A:$J,10,0)</f>
        <v>#N/A</v>
      </c>
      <c r="AL196" s="78" t="e">
        <f>VLOOKUP(K196,[1]IOT!$A:$K,11,0)</f>
        <v>#N/A</v>
      </c>
      <c r="AM196" s="78"/>
      <c r="AN196" s="78"/>
      <c r="AO196" s="79">
        <f t="shared" si="30"/>
        <v>0</v>
      </c>
      <c r="AP196" s="80">
        <f t="shared" si="31"/>
        <v>0</v>
      </c>
      <c r="AQ196" s="77"/>
      <c r="AR196" s="6" t="str">
        <f t="shared" si="32"/>
        <v/>
      </c>
    </row>
    <row r="197" spans="1:44" s="6" customFormat="1" ht="47.25" customHeight="1" x14ac:dyDescent="0.35">
      <c r="A197" s="71"/>
      <c r="B197" s="68"/>
      <c r="C197" s="25"/>
      <c r="D197" s="25"/>
      <c r="E197" s="67" t="str">
        <f t="shared" si="20"/>
        <v/>
      </c>
      <c r="F197" s="62"/>
      <c r="G197" s="14"/>
      <c r="H197" s="65"/>
      <c r="I197" s="70"/>
      <c r="J197" s="14"/>
      <c r="K197" s="69"/>
      <c r="L197" s="15"/>
      <c r="M197" s="16"/>
      <c r="N197" s="17"/>
      <c r="O197" s="72"/>
      <c r="P197" s="18"/>
      <c r="Q197" s="60"/>
      <c r="R197" s="19"/>
      <c r="S197" s="18"/>
      <c r="T197" s="75"/>
      <c r="U197" s="20"/>
      <c r="V197" s="21"/>
      <c r="W197" s="22"/>
      <c r="Y197" s="78" t="e">
        <f>VLOOKUP(V197,[1]IOT!$A:$B,2,0)</f>
        <v>#N/A</v>
      </c>
      <c r="Z197" s="78">
        <f>IF(ISNA(VLOOKUP(K197,[2]Sheet1!$A:$B,2,0)),0,(VLOOKUP(K197,[2]Sheet1!$A:$B,2,0)))</f>
        <v>0</v>
      </c>
      <c r="AA197" s="78">
        <f t="shared" si="29"/>
        <v>0</v>
      </c>
      <c r="AB197" s="78" t="e">
        <f>VLOOKUP(K197,[1]IOT!$A:$E,5,0)</f>
        <v>#N/A</v>
      </c>
      <c r="AC197" s="78"/>
      <c r="AD197" s="78" t="e">
        <f>VLOOKUP(K197,[1]IOT!$A:$F,6,0)</f>
        <v>#N/A</v>
      </c>
      <c r="AE197" s="78"/>
      <c r="AF197" s="78"/>
      <c r="AG197" s="78"/>
      <c r="AH197" s="78" t="e">
        <f>VLOOKUP(K197,[1]IOT!$A:$G,7,0)</f>
        <v>#N/A</v>
      </c>
      <c r="AI197" s="78" t="e">
        <f>VLOOKUP(K197,[1]IOT!$A:$H,8,0)</f>
        <v>#N/A</v>
      </c>
      <c r="AJ197" s="78" t="e">
        <f>VLOOKUP(K197,[1]IOT!$A:$I,9,0)</f>
        <v>#N/A</v>
      </c>
      <c r="AK197" s="78" t="e">
        <f>VLOOKUP(K197,[1]IOT!$A:$J,10,0)</f>
        <v>#N/A</v>
      </c>
      <c r="AL197" s="78" t="e">
        <f>VLOOKUP(K197,[1]IOT!$A:$K,11,0)</f>
        <v>#N/A</v>
      </c>
      <c r="AM197" s="78"/>
      <c r="AN197" s="78"/>
      <c r="AO197" s="79">
        <f t="shared" si="30"/>
        <v>0</v>
      </c>
      <c r="AP197" s="80">
        <f t="shared" si="31"/>
        <v>0</v>
      </c>
      <c r="AQ197" s="77"/>
      <c r="AR197" s="6" t="str">
        <f t="shared" si="32"/>
        <v/>
      </c>
    </row>
    <row r="198" spans="1:44" s="6" customFormat="1" ht="47.25" customHeight="1" x14ac:dyDescent="0.35">
      <c r="A198" s="71"/>
      <c r="B198" s="68"/>
      <c r="C198" s="25"/>
      <c r="D198" s="25"/>
      <c r="E198" s="67" t="str">
        <f t="shared" si="20"/>
        <v/>
      </c>
      <c r="F198" s="62"/>
      <c r="G198" s="14"/>
      <c r="H198" s="65"/>
      <c r="I198" s="70"/>
      <c r="J198" s="14"/>
      <c r="K198" s="69"/>
      <c r="L198" s="15"/>
      <c r="M198" s="16"/>
      <c r="N198" s="17"/>
      <c r="O198" s="72"/>
      <c r="P198" s="18"/>
      <c r="Q198" s="60"/>
      <c r="R198" s="19"/>
      <c r="S198" s="18"/>
      <c r="T198" s="75"/>
      <c r="U198" s="20"/>
      <c r="V198" s="21"/>
      <c r="W198" s="22"/>
      <c r="Y198" s="78" t="e">
        <f>VLOOKUP(V198,[1]IOT!$A:$B,2,0)</f>
        <v>#N/A</v>
      </c>
      <c r="Z198" s="78">
        <f>IF(ISNA(VLOOKUP(K198,[2]Sheet1!$A:$B,2,0)),0,(VLOOKUP(K198,[2]Sheet1!$A:$B,2,0)))</f>
        <v>0</v>
      </c>
      <c r="AA198" s="78">
        <f t="shared" si="29"/>
        <v>0</v>
      </c>
      <c r="AB198" s="78" t="e">
        <f>VLOOKUP(K198,[1]IOT!$A:$E,5,0)</f>
        <v>#N/A</v>
      </c>
      <c r="AC198" s="78"/>
      <c r="AD198" s="78" t="e">
        <f>VLOOKUP(K198,[1]IOT!$A:$F,6,0)</f>
        <v>#N/A</v>
      </c>
      <c r="AE198" s="78"/>
      <c r="AF198" s="78"/>
      <c r="AG198" s="78"/>
      <c r="AH198" s="78" t="e">
        <f>VLOOKUP(K198,[1]IOT!$A:$G,7,0)</f>
        <v>#N/A</v>
      </c>
      <c r="AI198" s="78" t="e">
        <f>VLOOKUP(K198,[1]IOT!$A:$H,8,0)</f>
        <v>#N/A</v>
      </c>
      <c r="AJ198" s="78" t="e">
        <f>VLOOKUP(K198,[1]IOT!$A:$I,9,0)</f>
        <v>#N/A</v>
      </c>
      <c r="AK198" s="78" t="e">
        <f>VLOOKUP(K198,[1]IOT!$A:$J,10,0)</f>
        <v>#N/A</v>
      </c>
      <c r="AL198" s="78" t="e">
        <f>VLOOKUP(K198,[1]IOT!$A:$K,11,0)</f>
        <v>#N/A</v>
      </c>
      <c r="AM198" s="78"/>
      <c r="AN198" s="78"/>
      <c r="AO198" s="79">
        <f t="shared" si="30"/>
        <v>0</v>
      </c>
      <c r="AP198" s="80">
        <f t="shared" si="31"/>
        <v>0</v>
      </c>
      <c r="AQ198" s="77"/>
      <c r="AR198" s="6" t="str">
        <f t="shared" si="32"/>
        <v/>
      </c>
    </row>
    <row r="199" spans="1:44" s="6" customFormat="1" ht="47.25" customHeight="1" x14ac:dyDescent="0.35">
      <c r="A199" s="71"/>
      <c r="B199" s="68"/>
      <c r="C199" s="25"/>
      <c r="D199" s="25"/>
      <c r="E199" s="67" t="str">
        <f t="shared" si="20"/>
        <v/>
      </c>
      <c r="F199" s="62"/>
      <c r="G199" s="14"/>
      <c r="H199" s="65"/>
      <c r="I199" s="70"/>
      <c r="J199" s="14"/>
      <c r="K199" s="69"/>
      <c r="L199" s="15"/>
      <c r="M199" s="16"/>
      <c r="N199" s="17"/>
      <c r="O199" s="72"/>
      <c r="P199" s="18"/>
      <c r="Q199" s="60"/>
      <c r="R199" s="19"/>
      <c r="S199" s="18"/>
      <c r="T199" s="75"/>
      <c r="U199" s="20"/>
      <c r="V199" s="21"/>
      <c r="W199" s="22"/>
      <c r="Y199" s="78" t="e">
        <f>VLOOKUP(V199,[1]IOT!$A:$B,2,0)</f>
        <v>#N/A</v>
      </c>
      <c r="Z199" s="78">
        <f>IF(ISNA(VLOOKUP(K199,[2]Sheet1!$A:$B,2,0)),0,(VLOOKUP(K199,[2]Sheet1!$A:$B,2,0)))</f>
        <v>0</v>
      </c>
      <c r="AA199" s="78">
        <f t="shared" si="29"/>
        <v>0</v>
      </c>
      <c r="AB199" s="78" t="e">
        <f>VLOOKUP(K199,[1]IOT!$A:$E,5,0)</f>
        <v>#N/A</v>
      </c>
      <c r="AC199" s="78"/>
      <c r="AD199" s="78" t="e">
        <f>VLOOKUP(K199,[1]IOT!$A:$F,6,0)</f>
        <v>#N/A</v>
      </c>
      <c r="AE199" s="78"/>
      <c r="AF199" s="78"/>
      <c r="AG199" s="78"/>
      <c r="AH199" s="78" t="e">
        <f>VLOOKUP(K199,[1]IOT!$A:$G,7,0)</f>
        <v>#N/A</v>
      </c>
      <c r="AI199" s="78" t="e">
        <f>VLOOKUP(K199,[1]IOT!$A:$H,8,0)</f>
        <v>#N/A</v>
      </c>
      <c r="AJ199" s="78" t="e">
        <f>VLOOKUP(K199,[1]IOT!$A:$I,9,0)</f>
        <v>#N/A</v>
      </c>
      <c r="AK199" s="78" t="e">
        <f>VLOOKUP(K199,[1]IOT!$A:$J,10,0)</f>
        <v>#N/A</v>
      </c>
      <c r="AL199" s="78" t="e">
        <f>VLOOKUP(K199,[1]IOT!$A:$K,11,0)</f>
        <v>#N/A</v>
      </c>
      <c r="AM199" s="78"/>
      <c r="AN199" s="78"/>
      <c r="AO199" s="79">
        <f t="shared" si="30"/>
        <v>0</v>
      </c>
      <c r="AP199" s="80">
        <f t="shared" si="31"/>
        <v>0</v>
      </c>
      <c r="AQ199" s="77"/>
      <c r="AR199" s="6" t="str">
        <f t="shared" si="32"/>
        <v/>
      </c>
    </row>
    <row r="200" spans="1:44" s="6" customFormat="1" ht="47.25" customHeight="1" x14ac:dyDescent="0.35">
      <c r="A200" s="71"/>
      <c r="B200" s="68"/>
      <c r="C200" s="25"/>
      <c r="D200" s="25"/>
      <c r="E200" s="67" t="str">
        <f t="shared" si="20"/>
        <v/>
      </c>
      <c r="F200" s="62"/>
      <c r="G200" s="14"/>
      <c r="H200" s="65"/>
      <c r="I200" s="70"/>
      <c r="J200" s="14"/>
      <c r="K200" s="69"/>
      <c r="L200" s="15"/>
      <c r="M200" s="16"/>
      <c r="N200" s="17"/>
      <c r="O200" s="72"/>
      <c r="P200" s="18"/>
      <c r="Q200" s="60"/>
      <c r="R200" s="19"/>
      <c r="S200" s="18"/>
      <c r="T200" s="75"/>
      <c r="U200" s="20"/>
      <c r="V200" s="21"/>
      <c r="W200" s="22"/>
      <c r="Y200" s="78" t="e">
        <f>VLOOKUP(V200,[1]IOT!$A:$B,2,0)</f>
        <v>#N/A</v>
      </c>
      <c r="Z200" s="78">
        <f>IF(ISNA(VLOOKUP(K200,[2]Sheet1!$A:$B,2,0)),0,(VLOOKUP(K200,[2]Sheet1!$A:$B,2,0)))</f>
        <v>0</v>
      </c>
      <c r="AA200" s="78">
        <f t="shared" si="29"/>
        <v>0</v>
      </c>
      <c r="AB200" s="78" t="e">
        <f>VLOOKUP(K200,[1]IOT!$A:$E,5,0)</f>
        <v>#N/A</v>
      </c>
      <c r="AC200" s="78"/>
      <c r="AD200" s="78" t="e">
        <f>VLOOKUP(K200,[1]IOT!$A:$F,6,0)</f>
        <v>#N/A</v>
      </c>
      <c r="AE200" s="78"/>
      <c r="AF200" s="78"/>
      <c r="AG200" s="78"/>
      <c r="AH200" s="78" t="e">
        <f>VLOOKUP(K200,[1]IOT!$A:$G,7,0)</f>
        <v>#N/A</v>
      </c>
      <c r="AI200" s="78" t="e">
        <f>VLOOKUP(K200,[1]IOT!$A:$H,8,0)</f>
        <v>#N/A</v>
      </c>
      <c r="AJ200" s="78" t="e">
        <f>VLOOKUP(K200,[1]IOT!$A:$I,9,0)</f>
        <v>#N/A</v>
      </c>
      <c r="AK200" s="78" t="e">
        <f>VLOOKUP(K200,[1]IOT!$A:$J,10,0)</f>
        <v>#N/A</v>
      </c>
      <c r="AL200" s="78" t="e">
        <f>VLOOKUP(K200,[1]IOT!$A:$K,11,0)</f>
        <v>#N/A</v>
      </c>
      <c r="AM200" s="78"/>
      <c r="AN200" s="78"/>
      <c r="AO200" s="79">
        <f t="shared" si="30"/>
        <v>0</v>
      </c>
      <c r="AP200" s="80">
        <f t="shared" si="31"/>
        <v>0</v>
      </c>
      <c r="AQ200" s="77"/>
      <c r="AR200" s="6" t="str">
        <f t="shared" si="32"/>
        <v/>
      </c>
    </row>
    <row r="201" spans="1:44" s="6" customFormat="1" ht="47.25" customHeight="1" x14ac:dyDescent="0.35">
      <c r="A201" s="71"/>
      <c r="B201" s="68"/>
      <c r="C201" s="25"/>
      <c r="D201" s="25"/>
      <c r="E201" s="67" t="str">
        <f t="shared" ref="E201:E254" si="33">IF(ISBLANK(AS201),"",AS201/24)</f>
        <v/>
      </c>
      <c r="F201" s="62"/>
      <c r="G201" s="14"/>
      <c r="H201" s="65"/>
      <c r="I201" s="70"/>
      <c r="J201" s="14"/>
      <c r="K201" s="69"/>
      <c r="L201" s="15"/>
      <c r="M201" s="16"/>
      <c r="N201" s="17"/>
      <c r="O201" s="72"/>
      <c r="P201" s="18"/>
      <c r="Q201" s="60"/>
      <c r="R201" s="19"/>
      <c r="S201" s="18"/>
      <c r="T201" s="75"/>
      <c r="U201" s="20"/>
      <c r="V201" s="21"/>
      <c r="W201" s="22"/>
      <c r="Y201" s="78" t="e">
        <f>VLOOKUP(V201,[1]IOT!$A:$B,2,0)</f>
        <v>#N/A</v>
      </c>
      <c r="Z201" s="78">
        <f>IF(ISNA(VLOOKUP(K201,[2]Sheet1!$A:$B,2,0)),0,(VLOOKUP(K201,[2]Sheet1!$A:$B,2,0)))</f>
        <v>0</v>
      </c>
      <c r="AA201" s="78">
        <f t="shared" si="29"/>
        <v>0</v>
      </c>
      <c r="AB201" s="78" t="e">
        <f>VLOOKUP(K201,[1]IOT!$A:$E,5,0)</f>
        <v>#N/A</v>
      </c>
      <c r="AC201" s="78"/>
      <c r="AD201" s="78" t="e">
        <f>VLOOKUP(K201,[1]IOT!$A:$F,6,0)</f>
        <v>#N/A</v>
      </c>
      <c r="AE201" s="78"/>
      <c r="AF201" s="78"/>
      <c r="AG201" s="78"/>
      <c r="AH201" s="78" t="e">
        <f>VLOOKUP(K201,[1]IOT!$A:$G,7,0)</f>
        <v>#N/A</v>
      </c>
      <c r="AI201" s="78" t="e">
        <f>VLOOKUP(K201,[1]IOT!$A:$H,8,0)</f>
        <v>#N/A</v>
      </c>
      <c r="AJ201" s="78" t="e">
        <f>VLOOKUP(K201,[1]IOT!$A:$I,9,0)</f>
        <v>#N/A</v>
      </c>
      <c r="AK201" s="78" t="e">
        <f>VLOOKUP(K201,[1]IOT!$A:$J,10,0)</f>
        <v>#N/A</v>
      </c>
      <c r="AL201" s="78" t="e">
        <f>VLOOKUP(K201,[1]IOT!$A:$K,11,0)</f>
        <v>#N/A</v>
      </c>
      <c r="AM201" s="78"/>
      <c r="AN201" s="78"/>
      <c r="AO201" s="79">
        <f t="shared" si="30"/>
        <v>0</v>
      </c>
      <c r="AP201" s="80">
        <f t="shared" si="31"/>
        <v>0</v>
      </c>
      <c r="AQ201" s="77"/>
      <c r="AR201" s="6" t="str">
        <f t="shared" si="32"/>
        <v/>
      </c>
    </row>
    <row r="202" spans="1:44" s="6" customFormat="1" ht="47.25" customHeight="1" x14ac:dyDescent="0.35">
      <c r="A202" s="71"/>
      <c r="B202" s="68"/>
      <c r="C202" s="25"/>
      <c r="D202" s="25"/>
      <c r="E202" s="67" t="str">
        <f t="shared" si="33"/>
        <v/>
      </c>
      <c r="F202" s="62"/>
      <c r="G202" s="14"/>
      <c r="H202" s="65"/>
      <c r="I202" s="70"/>
      <c r="J202" s="14"/>
      <c r="K202" s="69"/>
      <c r="L202" s="15"/>
      <c r="M202" s="16"/>
      <c r="N202" s="17"/>
      <c r="O202" s="72"/>
      <c r="P202" s="18"/>
      <c r="Q202" s="60"/>
      <c r="R202" s="19"/>
      <c r="S202" s="18"/>
      <c r="T202" s="75"/>
      <c r="U202" s="20"/>
      <c r="V202" s="21"/>
      <c r="W202" s="22"/>
      <c r="Y202" s="78" t="e">
        <f>VLOOKUP(V202,[1]IOT!$A:$B,2,0)</f>
        <v>#N/A</v>
      </c>
      <c r="Z202" s="78">
        <f>IF(ISNA(VLOOKUP(K202,[2]Sheet1!$A:$B,2,0)),0,(VLOOKUP(K202,[2]Sheet1!$A:$B,2,0)))</f>
        <v>0</v>
      </c>
      <c r="AA202" s="78">
        <f t="shared" si="29"/>
        <v>0</v>
      </c>
      <c r="AB202" s="78" t="e">
        <f>VLOOKUP(K202,[1]IOT!$A:$E,5,0)</f>
        <v>#N/A</v>
      </c>
      <c r="AC202" s="78"/>
      <c r="AD202" s="78" t="e">
        <f>VLOOKUP(K202,[1]IOT!$A:$F,6,0)</f>
        <v>#N/A</v>
      </c>
      <c r="AE202" s="78"/>
      <c r="AF202" s="78"/>
      <c r="AG202" s="78"/>
      <c r="AH202" s="78" t="e">
        <f>VLOOKUP(K202,[1]IOT!$A:$G,7,0)</f>
        <v>#N/A</v>
      </c>
      <c r="AI202" s="78" t="e">
        <f>VLOOKUP(K202,[1]IOT!$A:$H,8,0)</f>
        <v>#N/A</v>
      </c>
      <c r="AJ202" s="78" t="e">
        <f>VLOOKUP(K202,[1]IOT!$A:$I,9,0)</f>
        <v>#N/A</v>
      </c>
      <c r="AK202" s="78" t="e">
        <f>VLOOKUP(K202,[1]IOT!$A:$J,10,0)</f>
        <v>#N/A</v>
      </c>
      <c r="AL202" s="78" t="e">
        <f>VLOOKUP(K202,[1]IOT!$A:$K,11,0)</f>
        <v>#N/A</v>
      </c>
      <c r="AM202" s="78"/>
      <c r="AN202" s="78"/>
      <c r="AO202" s="79">
        <f t="shared" si="30"/>
        <v>0</v>
      </c>
      <c r="AP202" s="80">
        <f t="shared" si="31"/>
        <v>0</v>
      </c>
      <c r="AQ202" s="77"/>
      <c r="AR202" s="6" t="str">
        <f t="shared" si="32"/>
        <v/>
      </c>
    </row>
    <row r="203" spans="1:44" s="6" customFormat="1" ht="47.25" customHeight="1" x14ac:dyDescent="0.35">
      <c r="A203" s="71"/>
      <c r="B203" s="68"/>
      <c r="C203" s="25"/>
      <c r="D203" s="25"/>
      <c r="E203" s="67" t="str">
        <f t="shared" si="33"/>
        <v/>
      </c>
      <c r="F203" s="62"/>
      <c r="G203" s="14"/>
      <c r="H203" s="65"/>
      <c r="I203" s="70"/>
      <c r="J203" s="14"/>
      <c r="K203" s="69"/>
      <c r="L203" s="15"/>
      <c r="M203" s="16"/>
      <c r="N203" s="17"/>
      <c r="O203" s="72"/>
      <c r="P203" s="18"/>
      <c r="Q203" s="60"/>
      <c r="R203" s="19"/>
      <c r="S203" s="18"/>
      <c r="T203" s="75"/>
      <c r="U203" s="20"/>
      <c r="V203" s="21"/>
      <c r="W203" s="22"/>
      <c r="Y203" s="78" t="e">
        <f>VLOOKUP(V203,[1]IOT!$A:$B,2,0)</f>
        <v>#N/A</v>
      </c>
      <c r="Z203" s="78">
        <f>IF(ISNA(VLOOKUP(K203,[2]Sheet1!$A:$B,2,0)),0,(VLOOKUP(K203,[2]Sheet1!$A:$B,2,0)))</f>
        <v>0</v>
      </c>
      <c r="AA203" s="78">
        <f t="shared" si="29"/>
        <v>0</v>
      </c>
      <c r="AB203" s="78" t="e">
        <f>VLOOKUP(K203,[1]IOT!$A:$E,5,0)</f>
        <v>#N/A</v>
      </c>
      <c r="AC203" s="78"/>
      <c r="AD203" s="78" t="e">
        <f>VLOOKUP(K203,[1]IOT!$A:$F,6,0)</f>
        <v>#N/A</v>
      </c>
      <c r="AE203" s="78"/>
      <c r="AF203" s="78"/>
      <c r="AG203" s="78"/>
      <c r="AH203" s="78" t="e">
        <f>VLOOKUP(K203,[1]IOT!$A:$G,7,0)</f>
        <v>#N/A</v>
      </c>
      <c r="AI203" s="78" t="e">
        <f>VLOOKUP(K203,[1]IOT!$A:$H,8,0)</f>
        <v>#N/A</v>
      </c>
      <c r="AJ203" s="78" t="e">
        <f>VLOOKUP(K203,[1]IOT!$A:$I,9,0)</f>
        <v>#N/A</v>
      </c>
      <c r="AK203" s="78" t="e">
        <f>VLOOKUP(K203,[1]IOT!$A:$J,10,0)</f>
        <v>#N/A</v>
      </c>
      <c r="AL203" s="78" t="e">
        <f>VLOOKUP(K203,[1]IOT!$A:$K,11,0)</f>
        <v>#N/A</v>
      </c>
      <c r="AM203" s="78"/>
      <c r="AN203" s="78"/>
      <c r="AO203" s="79">
        <f t="shared" si="30"/>
        <v>0</v>
      </c>
      <c r="AP203" s="80">
        <f t="shared" si="31"/>
        <v>0</v>
      </c>
      <c r="AQ203" s="77"/>
      <c r="AR203" s="6" t="str">
        <f t="shared" si="32"/>
        <v/>
      </c>
    </row>
    <row r="204" spans="1:44" s="6" customFormat="1" ht="47.25" customHeight="1" x14ac:dyDescent="0.35">
      <c r="A204" s="71"/>
      <c r="B204" s="68"/>
      <c r="C204" s="25"/>
      <c r="D204" s="25"/>
      <c r="E204" s="67" t="str">
        <f t="shared" si="33"/>
        <v/>
      </c>
      <c r="F204" s="62"/>
      <c r="G204" s="14"/>
      <c r="H204" s="65"/>
      <c r="I204" s="70"/>
      <c r="J204" s="14"/>
      <c r="K204" s="69"/>
      <c r="L204" s="15"/>
      <c r="M204" s="16"/>
      <c r="N204" s="17"/>
      <c r="O204" s="72"/>
      <c r="P204" s="18"/>
      <c r="Q204" s="60"/>
      <c r="R204" s="19"/>
      <c r="S204" s="18"/>
      <c r="T204" s="75"/>
      <c r="U204" s="20"/>
      <c r="V204" s="21"/>
      <c r="W204" s="22"/>
      <c r="Y204" s="78" t="e">
        <f>VLOOKUP(V204,[1]IOT!$A:$B,2,0)</f>
        <v>#N/A</v>
      </c>
      <c r="Z204" s="78">
        <f>IF(ISNA(VLOOKUP(K204,[2]Sheet1!$A:$B,2,0)),0,(VLOOKUP(K204,[2]Sheet1!$A:$B,2,0)))</f>
        <v>0</v>
      </c>
      <c r="AA204" s="78">
        <f t="shared" si="29"/>
        <v>0</v>
      </c>
      <c r="AB204" s="78" t="e">
        <f>VLOOKUP(K204,[1]IOT!$A:$E,5,0)</f>
        <v>#N/A</v>
      </c>
      <c r="AC204" s="78"/>
      <c r="AD204" s="78" t="e">
        <f>VLOOKUP(K204,[1]IOT!$A:$F,6,0)</f>
        <v>#N/A</v>
      </c>
      <c r="AE204" s="78"/>
      <c r="AF204" s="78"/>
      <c r="AG204" s="78"/>
      <c r="AH204" s="78" t="e">
        <f>VLOOKUP(K204,[1]IOT!$A:$G,7,0)</f>
        <v>#N/A</v>
      </c>
      <c r="AI204" s="78" t="e">
        <f>VLOOKUP(K204,[1]IOT!$A:$H,8,0)</f>
        <v>#N/A</v>
      </c>
      <c r="AJ204" s="78" t="e">
        <f>VLOOKUP(K204,[1]IOT!$A:$I,9,0)</f>
        <v>#N/A</v>
      </c>
      <c r="AK204" s="78" t="e">
        <f>VLOOKUP(K204,[1]IOT!$A:$J,10,0)</f>
        <v>#N/A</v>
      </c>
      <c r="AL204" s="78" t="e">
        <f>VLOOKUP(K204,[1]IOT!$A:$K,11,0)</f>
        <v>#N/A</v>
      </c>
      <c r="AM204" s="78"/>
      <c r="AN204" s="78"/>
      <c r="AO204" s="79">
        <f t="shared" si="30"/>
        <v>0</v>
      </c>
      <c r="AP204" s="80">
        <f t="shared" si="31"/>
        <v>0</v>
      </c>
      <c r="AQ204" s="77"/>
      <c r="AR204" s="6" t="str">
        <f t="shared" si="32"/>
        <v/>
      </c>
    </row>
    <row r="205" spans="1:44" s="6" customFormat="1" ht="47.25" customHeight="1" x14ac:dyDescent="0.35">
      <c r="A205" s="71"/>
      <c r="B205" s="68"/>
      <c r="C205" s="25"/>
      <c r="D205" s="25"/>
      <c r="E205" s="67" t="str">
        <f t="shared" si="33"/>
        <v/>
      </c>
      <c r="F205" s="62"/>
      <c r="G205" s="14"/>
      <c r="H205" s="65"/>
      <c r="I205" s="70"/>
      <c r="J205" s="14"/>
      <c r="K205" s="69"/>
      <c r="L205" s="15"/>
      <c r="M205" s="16"/>
      <c r="N205" s="17"/>
      <c r="O205" s="72"/>
      <c r="P205" s="18"/>
      <c r="Q205" s="60"/>
      <c r="R205" s="19"/>
      <c r="S205" s="18"/>
      <c r="T205" s="75"/>
      <c r="U205" s="20"/>
      <c r="V205" s="21"/>
      <c r="W205" s="22"/>
      <c r="Y205" s="78" t="e">
        <f>VLOOKUP(V205,[1]IOT!$A:$B,2,0)</f>
        <v>#N/A</v>
      </c>
      <c r="Z205" s="78">
        <f>IF(ISNA(VLOOKUP(K205,[2]Sheet1!$A:$B,2,0)),0,(VLOOKUP(K205,[2]Sheet1!$A:$B,2,0)))</f>
        <v>0</v>
      </c>
      <c r="AA205" s="78">
        <f t="shared" si="29"/>
        <v>0</v>
      </c>
      <c r="AB205" s="78" t="e">
        <f>VLOOKUP(K205,[1]IOT!$A:$E,5,0)</f>
        <v>#N/A</v>
      </c>
      <c r="AC205" s="78"/>
      <c r="AD205" s="78" t="e">
        <f>VLOOKUP(K205,[1]IOT!$A:$F,6,0)</f>
        <v>#N/A</v>
      </c>
      <c r="AE205" s="78"/>
      <c r="AF205" s="78"/>
      <c r="AG205" s="78"/>
      <c r="AH205" s="78" t="e">
        <f>VLOOKUP(K205,[1]IOT!$A:$G,7,0)</f>
        <v>#N/A</v>
      </c>
      <c r="AI205" s="78" t="e">
        <f>VLOOKUP(K205,[1]IOT!$A:$H,8,0)</f>
        <v>#N/A</v>
      </c>
      <c r="AJ205" s="78" t="e">
        <f>VLOOKUP(K205,[1]IOT!$A:$I,9,0)</f>
        <v>#N/A</v>
      </c>
      <c r="AK205" s="78" t="e">
        <f>VLOOKUP(K205,[1]IOT!$A:$J,10,0)</f>
        <v>#N/A</v>
      </c>
      <c r="AL205" s="78" t="e">
        <f>VLOOKUP(K205,[1]IOT!$A:$K,11,0)</f>
        <v>#N/A</v>
      </c>
      <c r="AM205" s="78"/>
      <c r="AN205" s="78"/>
      <c r="AO205" s="79">
        <f t="shared" si="30"/>
        <v>0</v>
      </c>
      <c r="AP205" s="80">
        <f t="shared" si="31"/>
        <v>0</v>
      </c>
      <c r="AQ205" s="77"/>
      <c r="AR205" s="6" t="str">
        <f t="shared" si="32"/>
        <v/>
      </c>
    </row>
    <row r="206" spans="1:44" s="6" customFormat="1" ht="47.25" customHeight="1" x14ac:dyDescent="0.35">
      <c r="A206" s="71"/>
      <c r="B206" s="68"/>
      <c r="C206" s="25"/>
      <c r="D206" s="25"/>
      <c r="E206" s="67" t="str">
        <f t="shared" si="33"/>
        <v/>
      </c>
      <c r="F206" s="62"/>
      <c r="G206" s="14"/>
      <c r="H206" s="65"/>
      <c r="I206" s="70"/>
      <c r="J206" s="14"/>
      <c r="K206" s="69"/>
      <c r="L206" s="15"/>
      <c r="M206" s="16"/>
      <c r="N206" s="17"/>
      <c r="O206" s="72"/>
      <c r="P206" s="18"/>
      <c r="Q206" s="60"/>
      <c r="R206" s="19"/>
      <c r="S206" s="76"/>
      <c r="T206" s="75"/>
      <c r="U206" s="20"/>
      <c r="V206" s="21"/>
      <c r="W206" s="22"/>
      <c r="Y206" s="78" t="e">
        <f>VLOOKUP(V206,[1]IOT!$A:$B,2,0)</f>
        <v>#N/A</v>
      </c>
      <c r="Z206" s="78">
        <f>IF(ISNA(VLOOKUP(K206,[2]Sheet1!$A:$B,2,0)),0,(VLOOKUP(K206,[2]Sheet1!$A:$B,2,0)))</f>
        <v>0</v>
      </c>
      <c r="AA206" s="78">
        <f t="shared" si="29"/>
        <v>0</v>
      </c>
      <c r="AB206" s="78" t="e">
        <f>VLOOKUP(K206,[1]IOT!$A:$E,5,0)</f>
        <v>#N/A</v>
      </c>
      <c r="AC206" s="78"/>
      <c r="AD206" s="78" t="e">
        <f>VLOOKUP(K206,[1]IOT!$A:$F,6,0)</f>
        <v>#N/A</v>
      </c>
      <c r="AE206" s="78"/>
      <c r="AF206" s="78"/>
      <c r="AG206" s="78"/>
      <c r="AH206" s="78" t="e">
        <f>VLOOKUP(K206,[1]IOT!$A:$G,7,0)</f>
        <v>#N/A</v>
      </c>
      <c r="AI206" s="78" t="e">
        <f>VLOOKUP(K206,[1]IOT!$A:$H,8,0)</f>
        <v>#N/A</v>
      </c>
      <c r="AJ206" s="78" t="e">
        <f>VLOOKUP(K206,[1]IOT!$A:$I,9,0)</f>
        <v>#N/A</v>
      </c>
      <c r="AK206" s="78" t="e">
        <f>VLOOKUP(K206,[1]IOT!$A:$J,10,0)</f>
        <v>#N/A</v>
      </c>
      <c r="AL206" s="78" t="e">
        <f>VLOOKUP(K206,[1]IOT!$A:$K,11,0)</f>
        <v>#N/A</v>
      </c>
      <c r="AM206" s="78"/>
      <c r="AN206" s="78"/>
      <c r="AO206" s="79">
        <f t="shared" si="30"/>
        <v>0</v>
      </c>
      <c r="AP206" s="80">
        <f t="shared" si="31"/>
        <v>0</v>
      </c>
      <c r="AQ206" s="77"/>
      <c r="AR206" s="6" t="str">
        <f t="shared" si="32"/>
        <v/>
      </c>
    </row>
    <row r="207" spans="1:44" s="6" customFormat="1" ht="47.25" customHeight="1" x14ac:dyDescent="0.35">
      <c r="A207" s="71"/>
      <c r="B207" s="68"/>
      <c r="C207" s="25"/>
      <c r="D207" s="25"/>
      <c r="E207" s="67" t="str">
        <f t="shared" si="33"/>
        <v/>
      </c>
      <c r="F207" s="62"/>
      <c r="G207" s="14"/>
      <c r="H207" s="65"/>
      <c r="I207" s="70"/>
      <c r="J207" s="14"/>
      <c r="K207" s="69"/>
      <c r="L207" s="15"/>
      <c r="M207" s="16"/>
      <c r="N207" s="17"/>
      <c r="O207" s="72"/>
      <c r="P207" s="18"/>
      <c r="Q207" s="60"/>
      <c r="R207" s="19"/>
      <c r="S207" s="18"/>
      <c r="T207" s="75"/>
      <c r="U207" s="20"/>
      <c r="V207" s="21"/>
      <c r="W207" s="22"/>
      <c r="Y207" s="78" t="e">
        <f>VLOOKUP(V207,[1]IOT!$A:$B,2,0)</f>
        <v>#N/A</v>
      </c>
      <c r="Z207" s="78">
        <f>IF(ISNA(VLOOKUP(K207,[2]Sheet1!$A:$B,2,0)),0,(VLOOKUP(K207,[2]Sheet1!$A:$B,2,0)))</f>
        <v>0</v>
      </c>
      <c r="AA207" s="78">
        <f t="shared" si="29"/>
        <v>0</v>
      </c>
      <c r="AB207" s="78" t="e">
        <f>VLOOKUP(K207,[1]IOT!$A:$E,5,0)</f>
        <v>#N/A</v>
      </c>
      <c r="AC207" s="78"/>
      <c r="AD207" s="78" t="e">
        <f>VLOOKUP(K207,[1]IOT!$A:$F,6,0)</f>
        <v>#N/A</v>
      </c>
      <c r="AE207" s="78"/>
      <c r="AF207" s="78"/>
      <c r="AG207" s="78"/>
      <c r="AH207" s="78" t="e">
        <f>VLOOKUP(K207,[1]IOT!$A:$G,7,0)</f>
        <v>#N/A</v>
      </c>
      <c r="AI207" s="78" t="e">
        <f>VLOOKUP(K207,[1]IOT!$A:$H,8,0)</f>
        <v>#N/A</v>
      </c>
      <c r="AJ207" s="78" t="e">
        <f>VLOOKUP(K207,[1]IOT!$A:$I,9,0)</f>
        <v>#N/A</v>
      </c>
      <c r="AK207" s="78" t="e">
        <f>VLOOKUP(K207,[1]IOT!$A:$J,10,0)</f>
        <v>#N/A</v>
      </c>
      <c r="AL207" s="78" t="e">
        <f>VLOOKUP(K207,[1]IOT!$A:$K,11,0)</f>
        <v>#N/A</v>
      </c>
      <c r="AM207" s="78"/>
      <c r="AN207" s="78"/>
      <c r="AO207" s="79">
        <f t="shared" si="30"/>
        <v>0</v>
      </c>
      <c r="AP207" s="80">
        <f t="shared" si="31"/>
        <v>0</v>
      </c>
      <c r="AQ207" s="77"/>
      <c r="AR207" s="6" t="str">
        <f t="shared" si="32"/>
        <v/>
      </c>
    </row>
    <row r="208" spans="1:44" s="6" customFormat="1" ht="47.25" customHeight="1" x14ac:dyDescent="0.35">
      <c r="A208" s="71"/>
      <c r="B208" s="68"/>
      <c r="C208" s="25"/>
      <c r="D208" s="25"/>
      <c r="E208" s="67" t="str">
        <f t="shared" si="33"/>
        <v/>
      </c>
      <c r="F208" s="62"/>
      <c r="G208" s="14"/>
      <c r="H208" s="65"/>
      <c r="I208" s="70"/>
      <c r="J208" s="14"/>
      <c r="K208" s="69"/>
      <c r="L208" s="15"/>
      <c r="M208" s="16"/>
      <c r="N208" s="17"/>
      <c r="O208" s="72"/>
      <c r="P208" s="18"/>
      <c r="Q208" s="60"/>
      <c r="R208" s="19"/>
      <c r="S208" s="76"/>
      <c r="T208" s="75"/>
      <c r="U208" s="20"/>
      <c r="V208" s="21"/>
      <c r="W208" s="22"/>
      <c r="Y208" s="78" t="e">
        <f>VLOOKUP(V208,[1]IOT!$A:$B,2,0)</f>
        <v>#N/A</v>
      </c>
      <c r="Z208" s="78">
        <f>IF(ISNA(VLOOKUP(K208,[2]Sheet1!$A:$B,2,0)),0,(VLOOKUP(K208,[2]Sheet1!$A:$B,2,0)))</f>
        <v>0</v>
      </c>
      <c r="AA208" s="78">
        <f t="shared" si="29"/>
        <v>0</v>
      </c>
      <c r="AB208" s="78" t="e">
        <f>VLOOKUP(K208,[1]IOT!$A:$E,5,0)</f>
        <v>#N/A</v>
      </c>
      <c r="AC208" s="78"/>
      <c r="AD208" s="78" t="e">
        <f>VLOOKUP(K208,[1]IOT!$A:$F,6,0)</f>
        <v>#N/A</v>
      </c>
      <c r="AE208" s="78"/>
      <c r="AF208" s="78"/>
      <c r="AG208" s="78"/>
      <c r="AH208" s="78" t="e">
        <f>VLOOKUP(K208,[1]IOT!$A:$G,7,0)</f>
        <v>#N/A</v>
      </c>
      <c r="AI208" s="78" t="e">
        <f>VLOOKUP(K208,[1]IOT!$A:$H,8,0)</f>
        <v>#N/A</v>
      </c>
      <c r="AJ208" s="78" t="e">
        <f>VLOOKUP(K208,[1]IOT!$A:$I,9,0)</f>
        <v>#N/A</v>
      </c>
      <c r="AK208" s="78" t="e">
        <f>VLOOKUP(K208,[1]IOT!$A:$J,10,0)</f>
        <v>#N/A</v>
      </c>
      <c r="AL208" s="78" t="e">
        <f>VLOOKUP(K208,[1]IOT!$A:$K,11,0)</f>
        <v>#N/A</v>
      </c>
      <c r="AM208" s="78"/>
      <c r="AN208" s="78"/>
      <c r="AO208" s="79">
        <f t="shared" si="30"/>
        <v>0</v>
      </c>
      <c r="AP208" s="80">
        <f t="shared" si="31"/>
        <v>0</v>
      </c>
      <c r="AQ208" s="77"/>
      <c r="AR208" s="6" t="str">
        <f t="shared" si="32"/>
        <v/>
      </c>
    </row>
    <row r="209" spans="1:44" s="6" customFormat="1" ht="47.25" customHeight="1" x14ac:dyDescent="0.35">
      <c r="A209" s="71"/>
      <c r="B209" s="68"/>
      <c r="C209" s="25"/>
      <c r="D209" s="25"/>
      <c r="E209" s="67" t="str">
        <f t="shared" si="33"/>
        <v/>
      </c>
      <c r="F209" s="62"/>
      <c r="G209" s="14"/>
      <c r="H209" s="65"/>
      <c r="I209" s="70"/>
      <c r="J209" s="14"/>
      <c r="K209" s="69"/>
      <c r="L209" s="15"/>
      <c r="M209" s="16"/>
      <c r="N209" s="17"/>
      <c r="O209" s="72"/>
      <c r="P209" s="18"/>
      <c r="Q209" s="60"/>
      <c r="R209" s="19"/>
      <c r="S209" s="18"/>
      <c r="T209" s="75"/>
      <c r="U209" s="20"/>
      <c r="V209" s="21"/>
      <c r="W209" s="22"/>
      <c r="Y209" s="78" t="e">
        <f>VLOOKUP(V209,[1]IOT!$A:$B,2,0)</f>
        <v>#N/A</v>
      </c>
      <c r="Z209" s="78">
        <f>IF(ISNA(VLOOKUP(K209,[2]Sheet1!$A:$B,2,0)),0,(VLOOKUP(K209,[2]Sheet1!$A:$B,2,0)))</f>
        <v>0</v>
      </c>
      <c r="AA209" s="78">
        <f t="shared" si="29"/>
        <v>0</v>
      </c>
      <c r="AB209" s="78" t="e">
        <f>VLOOKUP(K209,[1]IOT!$A:$E,5,0)</f>
        <v>#N/A</v>
      </c>
      <c r="AC209" s="78"/>
      <c r="AD209" s="78" t="e">
        <f>VLOOKUP(K209,[1]IOT!$A:$F,6,0)</f>
        <v>#N/A</v>
      </c>
      <c r="AE209" s="78"/>
      <c r="AF209" s="78"/>
      <c r="AG209" s="78"/>
      <c r="AH209" s="78" t="e">
        <f>VLOOKUP(K209,[1]IOT!$A:$G,7,0)</f>
        <v>#N/A</v>
      </c>
      <c r="AI209" s="78" t="e">
        <f>VLOOKUP(K209,[1]IOT!$A:$H,8,0)</f>
        <v>#N/A</v>
      </c>
      <c r="AJ209" s="78" t="e">
        <f>VLOOKUP(K209,[1]IOT!$A:$I,9,0)</f>
        <v>#N/A</v>
      </c>
      <c r="AK209" s="78" t="e">
        <f>VLOOKUP(K209,[1]IOT!$A:$J,10,0)</f>
        <v>#N/A</v>
      </c>
      <c r="AL209" s="78" t="e">
        <f>VLOOKUP(K209,[1]IOT!$A:$K,11,0)</f>
        <v>#N/A</v>
      </c>
      <c r="AM209" s="78"/>
      <c r="AN209" s="78"/>
      <c r="AO209" s="79">
        <f t="shared" si="30"/>
        <v>0</v>
      </c>
      <c r="AP209" s="80">
        <f t="shared" si="31"/>
        <v>0</v>
      </c>
      <c r="AQ209" s="77"/>
      <c r="AR209" s="6" t="str">
        <f t="shared" si="32"/>
        <v/>
      </c>
    </row>
    <row r="210" spans="1:44" s="6" customFormat="1" ht="47.25" customHeight="1" x14ac:dyDescent="0.35">
      <c r="A210" s="71"/>
      <c r="B210" s="68"/>
      <c r="C210" s="25"/>
      <c r="D210" s="25"/>
      <c r="E210" s="67" t="str">
        <f t="shared" si="33"/>
        <v/>
      </c>
      <c r="F210" s="62"/>
      <c r="G210" s="14"/>
      <c r="H210" s="65"/>
      <c r="I210" s="70"/>
      <c r="J210" s="14"/>
      <c r="K210" s="69"/>
      <c r="L210" s="15"/>
      <c r="M210" s="16"/>
      <c r="N210" s="17"/>
      <c r="O210" s="72"/>
      <c r="P210" s="18"/>
      <c r="Q210" s="60"/>
      <c r="R210" s="19"/>
      <c r="S210" s="76"/>
      <c r="T210" s="75"/>
      <c r="U210" s="20"/>
      <c r="V210" s="21"/>
      <c r="W210" s="22"/>
      <c r="Y210" s="78" t="e">
        <f>VLOOKUP(V210,[1]IOT!$A:$B,2,0)</f>
        <v>#N/A</v>
      </c>
      <c r="Z210" s="78">
        <f>IF(ISNA(VLOOKUP(K210,[2]Sheet1!$A:$B,2,0)),0,(VLOOKUP(K210,[2]Sheet1!$A:$B,2,0)))</f>
        <v>0</v>
      </c>
      <c r="AA210" s="78">
        <f t="shared" si="29"/>
        <v>0</v>
      </c>
      <c r="AB210" s="78" t="e">
        <f>VLOOKUP(K210,[1]IOT!$A:$E,5,0)</f>
        <v>#N/A</v>
      </c>
      <c r="AC210" s="78"/>
      <c r="AD210" s="78" t="e">
        <f>VLOOKUP(K210,[1]IOT!$A:$F,6,0)</f>
        <v>#N/A</v>
      </c>
      <c r="AE210" s="78"/>
      <c r="AF210" s="78"/>
      <c r="AG210" s="78"/>
      <c r="AH210" s="78" t="e">
        <f>VLOOKUP(K210,[1]IOT!$A:$G,7,0)</f>
        <v>#N/A</v>
      </c>
      <c r="AI210" s="78" t="e">
        <f>VLOOKUP(K210,[1]IOT!$A:$H,8,0)</f>
        <v>#N/A</v>
      </c>
      <c r="AJ210" s="78" t="e">
        <f>VLOOKUP(K210,[1]IOT!$A:$I,9,0)</f>
        <v>#N/A</v>
      </c>
      <c r="AK210" s="78" t="e">
        <f>VLOOKUP(K210,[1]IOT!$A:$J,10,0)</f>
        <v>#N/A</v>
      </c>
      <c r="AL210" s="78" t="e">
        <f>VLOOKUP(K210,[1]IOT!$A:$K,11,0)</f>
        <v>#N/A</v>
      </c>
      <c r="AM210" s="78"/>
      <c r="AN210" s="78"/>
      <c r="AO210" s="79">
        <f t="shared" si="30"/>
        <v>0</v>
      </c>
      <c r="AP210" s="80">
        <f t="shared" si="31"/>
        <v>0</v>
      </c>
      <c r="AQ210" s="77"/>
      <c r="AR210" s="6" t="str">
        <f t="shared" si="32"/>
        <v/>
      </c>
    </row>
    <row r="211" spans="1:44" s="6" customFormat="1" ht="47.25" customHeight="1" x14ac:dyDescent="0.35">
      <c r="A211" s="71"/>
      <c r="B211" s="68"/>
      <c r="C211" s="25"/>
      <c r="D211" s="25"/>
      <c r="E211" s="67" t="str">
        <f t="shared" si="33"/>
        <v/>
      </c>
      <c r="F211" s="62"/>
      <c r="G211" s="14"/>
      <c r="H211" s="65"/>
      <c r="I211" s="70"/>
      <c r="J211" s="14"/>
      <c r="K211" s="69"/>
      <c r="L211" s="15"/>
      <c r="M211" s="16"/>
      <c r="N211" s="17"/>
      <c r="O211" s="72"/>
      <c r="P211" s="18"/>
      <c r="Q211" s="60"/>
      <c r="R211" s="19"/>
      <c r="S211" s="18"/>
      <c r="T211" s="75"/>
      <c r="U211" s="20"/>
      <c r="V211" s="21"/>
      <c r="W211" s="22"/>
      <c r="Y211" s="78" t="e">
        <f>VLOOKUP(V211,[1]IOT!$A:$B,2,0)</f>
        <v>#N/A</v>
      </c>
      <c r="Z211" s="78">
        <f>IF(ISNA(VLOOKUP(K211,[2]Sheet1!$A:$B,2,0)),0,(VLOOKUP(K211,[2]Sheet1!$A:$B,2,0)))</f>
        <v>0</v>
      </c>
      <c r="AA211" s="78">
        <f t="shared" si="29"/>
        <v>0</v>
      </c>
      <c r="AB211" s="78" t="e">
        <f>VLOOKUP(K211,[1]IOT!$A:$E,5,0)</f>
        <v>#N/A</v>
      </c>
      <c r="AC211" s="78"/>
      <c r="AD211" s="78" t="e">
        <f>VLOOKUP(K211,[1]IOT!$A:$F,6,0)</f>
        <v>#N/A</v>
      </c>
      <c r="AE211" s="78"/>
      <c r="AF211" s="78"/>
      <c r="AG211" s="78"/>
      <c r="AH211" s="78" t="e">
        <f>VLOOKUP(K211,[1]IOT!$A:$G,7,0)</f>
        <v>#N/A</v>
      </c>
      <c r="AI211" s="78" t="e">
        <f>VLOOKUP(K211,[1]IOT!$A:$H,8,0)</f>
        <v>#N/A</v>
      </c>
      <c r="AJ211" s="78" t="e">
        <f>VLOOKUP(K211,[1]IOT!$A:$I,9,0)</f>
        <v>#N/A</v>
      </c>
      <c r="AK211" s="78" t="e">
        <f>VLOOKUP(K211,[1]IOT!$A:$J,10,0)</f>
        <v>#N/A</v>
      </c>
      <c r="AL211" s="78" t="e">
        <f>VLOOKUP(K211,[1]IOT!$A:$K,11,0)</f>
        <v>#N/A</v>
      </c>
      <c r="AM211" s="78"/>
      <c r="AN211" s="78"/>
      <c r="AO211" s="79">
        <f t="shared" si="30"/>
        <v>0</v>
      </c>
      <c r="AP211" s="80">
        <f t="shared" si="31"/>
        <v>0</v>
      </c>
      <c r="AQ211" s="77"/>
      <c r="AR211" s="6" t="str">
        <f t="shared" si="32"/>
        <v/>
      </c>
    </row>
    <row r="212" spans="1:44" s="6" customFormat="1" ht="47.25" customHeight="1" x14ac:dyDescent="0.35">
      <c r="A212" s="71"/>
      <c r="B212" s="68"/>
      <c r="C212" s="25"/>
      <c r="D212" s="25"/>
      <c r="E212" s="67" t="str">
        <f t="shared" si="33"/>
        <v/>
      </c>
      <c r="F212" s="62"/>
      <c r="G212" s="14"/>
      <c r="H212" s="65"/>
      <c r="I212" s="70"/>
      <c r="J212" s="14"/>
      <c r="K212" s="69"/>
      <c r="L212" s="15"/>
      <c r="M212" s="16"/>
      <c r="N212" s="17"/>
      <c r="O212" s="72"/>
      <c r="P212" s="18"/>
      <c r="Q212" s="60"/>
      <c r="R212" s="19"/>
      <c r="S212" s="18"/>
      <c r="T212" s="75"/>
      <c r="U212" s="20"/>
      <c r="V212" s="21"/>
      <c r="W212" s="22"/>
      <c r="Y212" s="78" t="e">
        <f>VLOOKUP(V212,[1]IOT!$A:$B,2,0)</f>
        <v>#N/A</v>
      </c>
      <c r="Z212" s="78">
        <f>IF(ISNA(VLOOKUP(K212,[2]Sheet1!$A:$B,2,0)),0,(VLOOKUP(K212,[2]Sheet1!$A:$B,2,0)))</f>
        <v>0</v>
      </c>
      <c r="AA212" s="78">
        <f t="shared" si="29"/>
        <v>0</v>
      </c>
      <c r="AB212" s="78" t="e">
        <f>VLOOKUP(K212,[1]IOT!$A:$E,5,0)</f>
        <v>#N/A</v>
      </c>
      <c r="AC212" s="78"/>
      <c r="AD212" s="78" t="e">
        <f>VLOOKUP(K212,[1]IOT!$A:$F,6,0)</f>
        <v>#N/A</v>
      </c>
      <c r="AE212" s="78"/>
      <c r="AF212" s="78"/>
      <c r="AG212" s="78"/>
      <c r="AH212" s="78" t="e">
        <f>VLOOKUP(K212,[1]IOT!$A:$G,7,0)</f>
        <v>#N/A</v>
      </c>
      <c r="AI212" s="78" t="e">
        <f>VLOOKUP(K212,[1]IOT!$A:$H,8,0)</f>
        <v>#N/A</v>
      </c>
      <c r="AJ212" s="78" t="e">
        <f>VLOOKUP(K212,[1]IOT!$A:$I,9,0)</f>
        <v>#N/A</v>
      </c>
      <c r="AK212" s="78" t="e">
        <f>VLOOKUP(K212,[1]IOT!$A:$J,10,0)</f>
        <v>#N/A</v>
      </c>
      <c r="AL212" s="78" t="e">
        <f>VLOOKUP(K212,[1]IOT!$A:$K,11,0)</f>
        <v>#N/A</v>
      </c>
      <c r="AM212" s="78"/>
      <c r="AN212" s="78"/>
      <c r="AO212" s="79">
        <f t="shared" si="30"/>
        <v>0</v>
      </c>
      <c r="AP212" s="80">
        <f t="shared" si="31"/>
        <v>0</v>
      </c>
      <c r="AQ212" s="77"/>
      <c r="AR212" s="6" t="str">
        <f t="shared" si="32"/>
        <v/>
      </c>
    </row>
    <row r="213" spans="1:44" s="6" customFormat="1" ht="47.25" customHeight="1" x14ac:dyDescent="0.35">
      <c r="A213" s="71"/>
      <c r="B213" s="68"/>
      <c r="C213" s="25"/>
      <c r="D213" s="25"/>
      <c r="E213" s="67" t="str">
        <f t="shared" si="33"/>
        <v/>
      </c>
      <c r="F213" s="62"/>
      <c r="G213" s="14"/>
      <c r="H213" s="65"/>
      <c r="I213" s="70"/>
      <c r="J213" s="14"/>
      <c r="K213" s="69"/>
      <c r="L213" s="15"/>
      <c r="M213" s="16"/>
      <c r="N213" s="17"/>
      <c r="O213" s="72"/>
      <c r="P213" s="18"/>
      <c r="Q213" s="60"/>
      <c r="R213" s="19"/>
      <c r="S213" s="18"/>
      <c r="T213" s="75"/>
      <c r="U213" s="20"/>
      <c r="V213" s="21"/>
      <c r="W213" s="22"/>
      <c r="Y213" s="78" t="e">
        <f>VLOOKUP(V213,[1]IOT!$A:$B,2,0)</f>
        <v>#N/A</v>
      </c>
      <c r="Z213" s="78">
        <f>IF(ISNA(VLOOKUP(K213,[2]Sheet1!$A:$B,2,0)),0,(VLOOKUP(K213,[2]Sheet1!$A:$B,2,0)))</f>
        <v>0</v>
      </c>
      <c r="AA213" s="78">
        <f t="shared" si="29"/>
        <v>0</v>
      </c>
      <c r="AB213" s="78" t="e">
        <f>VLOOKUP(K213,[1]IOT!$A:$E,5,0)</f>
        <v>#N/A</v>
      </c>
      <c r="AC213" s="78"/>
      <c r="AD213" s="78" t="e">
        <f>VLOOKUP(K213,[1]IOT!$A:$F,6,0)</f>
        <v>#N/A</v>
      </c>
      <c r="AE213" s="78"/>
      <c r="AF213" s="78"/>
      <c r="AG213" s="78"/>
      <c r="AH213" s="78" t="e">
        <f>VLOOKUP(K213,[1]IOT!$A:$G,7,0)</f>
        <v>#N/A</v>
      </c>
      <c r="AI213" s="78" t="e">
        <f>VLOOKUP(K213,[1]IOT!$A:$H,8,0)</f>
        <v>#N/A</v>
      </c>
      <c r="AJ213" s="78" t="e">
        <f>VLOOKUP(K213,[1]IOT!$A:$I,9,0)</f>
        <v>#N/A</v>
      </c>
      <c r="AK213" s="78" t="e">
        <f>VLOOKUP(K213,[1]IOT!$A:$J,10,0)</f>
        <v>#N/A</v>
      </c>
      <c r="AL213" s="78" t="e">
        <f>VLOOKUP(K213,[1]IOT!$A:$K,11,0)</f>
        <v>#N/A</v>
      </c>
      <c r="AM213" s="78"/>
      <c r="AN213" s="78"/>
      <c r="AO213" s="79">
        <f t="shared" si="30"/>
        <v>0</v>
      </c>
      <c r="AP213" s="80">
        <f t="shared" si="31"/>
        <v>0</v>
      </c>
      <c r="AQ213" s="77"/>
      <c r="AR213" s="6" t="str">
        <f t="shared" si="32"/>
        <v/>
      </c>
    </row>
    <row r="214" spans="1:44" s="6" customFormat="1" ht="47.25" customHeight="1" x14ac:dyDescent="0.35">
      <c r="A214" s="71"/>
      <c r="B214" s="68"/>
      <c r="C214" s="25"/>
      <c r="D214" s="25"/>
      <c r="E214" s="67" t="str">
        <f t="shared" si="33"/>
        <v/>
      </c>
      <c r="F214" s="62"/>
      <c r="G214" s="14"/>
      <c r="H214" s="65"/>
      <c r="I214" s="70"/>
      <c r="J214" s="14"/>
      <c r="K214" s="69"/>
      <c r="L214" s="15"/>
      <c r="M214" s="16"/>
      <c r="N214" s="17"/>
      <c r="O214" s="72"/>
      <c r="P214" s="18"/>
      <c r="Q214" s="60"/>
      <c r="R214" s="19"/>
      <c r="S214" s="18"/>
      <c r="T214" s="75"/>
      <c r="U214" s="20"/>
      <c r="V214" s="21"/>
      <c r="W214" s="22"/>
      <c r="Y214" s="78" t="e">
        <f>VLOOKUP(V214,[1]IOT!$A:$B,2,0)</f>
        <v>#N/A</v>
      </c>
      <c r="Z214" s="78">
        <f>IF(ISNA(VLOOKUP(K214,[2]Sheet1!$A:$B,2,0)),0,(VLOOKUP(K214,[2]Sheet1!$A:$B,2,0)))</f>
        <v>0</v>
      </c>
      <c r="AA214" s="78">
        <f t="shared" si="29"/>
        <v>0</v>
      </c>
      <c r="AB214" s="78" t="e">
        <f>VLOOKUP(K214,[1]IOT!$A:$E,5,0)</f>
        <v>#N/A</v>
      </c>
      <c r="AC214" s="78"/>
      <c r="AD214" s="78" t="e">
        <f>VLOOKUP(K214,[1]IOT!$A:$F,6,0)</f>
        <v>#N/A</v>
      </c>
      <c r="AE214" s="78"/>
      <c r="AF214" s="78"/>
      <c r="AG214" s="78"/>
      <c r="AH214" s="78" t="e">
        <f>VLOOKUP(K214,[1]IOT!$A:$G,7,0)</f>
        <v>#N/A</v>
      </c>
      <c r="AI214" s="78" t="e">
        <f>VLOOKUP(K214,[1]IOT!$A:$H,8,0)</f>
        <v>#N/A</v>
      </c>
      <c r="AJ214" s="78" t="e">
        <f>VLOOKUP(K214,[1]IOT!$A:$I,9,0)</f>
        <v>#N/A</v>
      </c>
      <c r="AK214" s="78" t="e">
        <f>VLOOKUP(K214,[1]IOT!$A:$J,10,0)</f>
        <v>#N/A</v>
      </c>
      <c r="AL214" s="78" t="e">
        <f>VLOOKUP(K214,[1]IOT!$A:$K,11,0)</f>
        <v>#N/A</v>
      </c>
      <c r="AM214" s="78"/>
      <c r="AN214" s="78"/>
      <c r="AO214" s="79">
        <f t="shared" si="30"/>
        <v>0</v>
      </c>
      <c r="AP214" s="80">
        <f t="shared" si="31"/>
        <v>0</v>
      </c>
      <c r="AQ214" s="77"/>
      <c r="AR214" s="6" t="str">
        <f t="shared" si="32"/>
        <v/>
      </c>
    </row>
    <row r="215" spans="1:44" s="6" customFormat="1" ht="47.25" customHeight="1" x14ac:dyDescent="0.35">
      <c r="A215" s="71"/>
      <c r="B215" s="68"/>
      <c r="C215" s="25"/>
      <c r="D215" s="25"/>
      <c r="E215" s="67" t="str">
        <f t="shared" si="33"/>
        <v/>
      </c>
      <c r="F215" s="62"/>
      <c r="G215" s="14"/>
      <c r="H215" s="65"/>
      <c r="I215" s="70"/>
      <c r="J215" s="14"/>
      <c r="K215" s="69"/>
      <c r="L215" s="15"/>
      <c r="M215" s="16"/>
      <c r="N215" s="17"/>
      <c r="O215" s="72"/>
      <c r="P215" s="18"/>
      <c r="Q215" s="60"/>
      <c r="R215" s="19"/>
      <c r="S215" s="18"/>
      <c r="T215" s="75"/>
      <c r="U215" s="20"/>
      <c r="V215" s="21"/>
      <c r="W215" s="22"/>
      <c r="Y215" s="78" t="e">
        <f>VLOOKUP(V215,[1]IOT!$A:$B,2,0)</f>
        <v>#N/A</v>
      </c>
      <c r="Z215" s="78">
        <f>IF(ISNA(VLOOKUP(K215,[2]Sheet1!$A:$B,2,0)),0,(VLOOKUP(K215,[2]Sheet1!$A:$B,2,0)))</f>
        <v>0</v>
      </c>
      <c r="AA215" s="78">
        <f t="shared" si="29"/>
        <v>0</v>
      </c>
      <c r="AB215" s="78" t="e">
        <f>VLOOKUP(K215,[1]IOT!$A:$E,5,0)</f>
        <v>#N/A</v>
      </c>
      <c r="AC215" s="78"/>
      <c r="AD215" s="78" t="e">
        <f>VLOOKUP(K215,[1]IOT!$A:$F,6,0)</f>
        <v>#N/A</v>
      </c>
      <c r="AE215" s="78"/>
      <c r="AF215" s="78"/>
      <c r="AG215" s="78"/>
      <c r="AH215" s="78" t="e">
        <f>VLOOKUP(K215,[1]IOT!$A:$G,7,0)</f>
        <v>#N/A</v>
      </c>
      <c r="AI215" s="78" t="e">
        <f>VLOOKUP(K215,[1]IOT!$A:$H,8,0)</f>
        <v>#N/A</v>
      </c>
      <c r="AJ215" s="78" t="e">
        <f>VLOOKUP(K215,[1]IOT!$A:$I,9,0)</f>
        <v>#N/A</v>
      </c>
      <c r="AK215" s="78" t="e">
        <f>VLOOKUP(K215,[1]IOT!$A:$J,10,0)</f>
        <v>#N/A</v>
      </c>
      <c r="AL215" s="78" t="e">
        <f>VLOOKUP(K215,[1]IOT!$A:$K,11,0)</f>
        <v>#N/A</v>
      </c>
      <c r="AM215" s="78"/>
      <c r="AN215" s="78"/>
      <c r="AO215" s="79">
        <f t="shared" si="30"/>
        <v>0</v>
      </c>
      <c r="AP215" s="80">
        <f t="shared" si="31"/>
        <v>0</v>
      </c>
      <c r="AQ215" s="77"/>
      <c r="AR215" s="6" t="str">
        <f t="shared" si="32"/>
        <v/>
      </c>
    </row>
    <row r="216" spans="1:44" s="6" customFormat="1" ht="47.25" customHeight="1" x14ac:dyDescent="0.35">
      <c r="A216" s="71"/>
      <c r="B216" s="68"/>
      <c r="C216" s="25"/>
      <c r="D216" s="25"/>
      <c r="E216" s="67" t="str">
        <f t="shared" si="33"/>
        <v/>
      </c>
      <c r="F216" s="62"/>
      <c r="G216" s="14"/>
      <c r="H216" s="65"/>
      <c r="I216" s="70"/>
      <c r="J216" s="14"/>
      <c r="K216" s="69"/>
      <c r="L216" s="15"/>
      <c r="M216" s="16"/>
      <c r="N216" s="17"/>
      <c r="O216" s="72"/>
      <c r="P216" s="18"/>
      <c r="Q216" s="60"/>
      <c r="R216" s="19"/>
      <c r="S216" s="18"/>
      <c r="T216" s="75"/>
      <c r="U216" s="20"/>
      <c r="V216" s="21"/>
      <c r="W216" s="22"/>
      <c r="Y216" s="78" t="e">
        <f>VLOOKUP(V216,[1]IOT!$A:$B,2,0)</f>
        <v>#N/A</v>
      </c>
      <c r="Z216" s="78">
        <f>IF(ISNA(VLOOKUP(K216,[2]Sheet1!$A:$B,2,0)),0,(VLOOKUP(K216,[2]Sheet1!$A:$B,2,0)))</f>
        <v>0</v>
      </c>
      <c r="AA216" s="78">
        <f t="shared" si="29"/>
        <v>0</v>
      </c>
      <c r="AB216" s="78" t="e">
        <f>VLOOKUP(K216,[1]IOT!$A:$E,5,0)</f>
        <v>#N/A</v>
      </c>
      <c r="AC216" s="78"/>
      <c r="AD216" s="78" t="e">
        <f>VLOOKUP(K216,[1]IOT!$A:$F,6,0)</f>
        <v>#N/A</v>
      </c>
      <c r="AE216" s="78"/>
      <c r="AF216" s="78"/>
      <c r="AG216" s="78"/>
      <c r="AH216" s="78" t="e">
        <f>VLOOKUP(K216,[1]IOT!$A:$G,7,0)</f>
        <v>#N/A</v>
      </c>
      <c r="AI216" s="78" t="e">
        <f>VLOOKUP(K216,[1]IOT!$A:$H,8,0)</f>
        <v>#N/A</v>
      </c>
      <c r="AJ216" s="78" t="e">
        <f>VLOOKUP(K216,[1]IOT!$A:$I,9,0)</f>
        <v>#N/A</v>
      </c>
      <c r="AK216" s="78" t="e">
        <f>VLOOKUP(K216,[1]IOT!$A:$J,10,0)</f>
        <v>#N/A</v>
      </c>
      <c r="AL216" s="78" t="e">
        <f>VLOOKUP(K216,[1]IOT!$A:$K,11,0)</f>
        <v>#N/A</v>
      </c>
      <c r="AM216" s="78"/>
      <c r="AN216" s="78"/>
      <c r="AO216" s="79">
        <f t="shared" si="30"/>
        <v>0</v>
      </c>
      <c r="AP216" s="80">
        <f t="shared" si="31"/>
        <v>0</v>
      </c>
      <c r="AQ216" s="77"/>
      <c r="AR216" s="6" t="str">
        <f t="shared" si="32"/>
        <v/>
      </c>
    </row>
    <row r="217" spans="1:44" s="6" customFormat="1" ht="47.25" customHeight="1" x14ac:dyDescent="0.35">
      <c r="A217" s="71"/>
      <c r="B217" s="68"/>
      <c r="C217" s="25"/>
      <c r="D217" s="25"/>
      <c r="E217" s="67" t="str">
        <f t="shared" si="33"/>
        <v/>
      </c>
      <c r="F217" s="62"/>
      <c r="G217" s="14"/>
      <c r="H217" s="65"/>
      <c r="I217" s="70"/>
      <c r="J217" s="14"/>
      <c r="K217" s="69"/>
      <c r="L217" s="15"/>
      <c r="M217" s="16"/>
      <c r="N217" s="17"/>
      <c r="O217" s="72"/>
      <c r="P217" s="18"/>
      <c r="Q217" s="60"/>
      <c r="R217" s="19"/>
      <c r="S217" s="18"/>
      <c r="T217" s="75"/>
      <c r="U217" s="20"/>
      <c r="V217" s="21"/>
      <c r="W217" s="22"/>
      <c r="Y217" s="78" t="e">
        <f>VLOOKUP(V217,[1]IOT!$A:$B,2,0)</f>
        <v>#N/A</v>
      </c>
      <c r="Z217" s="78">
        <f>IF(ISNA(VLOOKUP(K217,[2]Sheet1!$A:$B,2,0)),0,(VLOOKUP(K217,[2]Sheet1!$A:$B,2,0)))</f>
        <v>0</v>
      </c>
      <c r="AA217" s="78">
        <f t="shared" si="29"/>
        <v>0</v>
      </c>
      <c r="AB217" s="78" t="e">
        <f>VLOOKUP(K217,[1]IOT!$A:$E,5,0)</f>
        <v>#N/A</v>
      </c>
      <c r="AC217" s="78"/>
      <c r="AD217" s="78" t="e">
        <f>VLOOKUP(K217,[1]IOT!$A:$F,6,0)</f>
        <v>#N/A</v>
      </c>
      <c r="AE217" s="78"/>
      <c r="AF217" s="78"/>
      <c r="AG217" s="78"/>
      <c r="AH217" s="78" t="e">
        <f>VLOOKUP(K217,[1]IOT!$A:$G,7,0)</f>
        <v>#N/A</v>
      </c>
      <c r="AI217" s="78" t="e">
        <f>VLOOKUP(K217,[1]IOT!$A:$H,8,0)</f>
        <v>#N/A</v>
      </c>
      <c r="AJ217" s="78" t="e">
        <f>VLOOKUP(K217,[1]IOT!$A:$I,9,0)</f>
        <v>#N/A</v>
      </c>
      <c r="AK217" s="78" t="e">
        <f>VLOOKUP(K217,[1]IOT!$A:$J,10,0)</f>
        <v>#N/A</v>
      </c>
      <c r="AL217" s="78" t="e">
        <f>VLOOKUP(K217,[1]IOT!$A:$K,11,0)</f>
        <v>#N/A</v>
      </c>
      <c r="AM217" s="78"/>
      <c r="AN217" s="78"/>
      <c r="AO217" s="79">
        <f t="shared" si="30"/>
        <v>0</v>
      </c>
      <c r="AP217" s="80">
        <f t="shared" si="31"/>
        <v>0</v>
      </c>
      <c r="AQ217" s="77"/>
      <c r="AR217" s="6" t="str">
        <f t="shared" si="32"/>
        <v/>
      </c>
    </row>
    <row r="218" spans="1:44" s="6" customFormat="1" ht="47.25" customHeight="1" x14ac:dyDescent="0.35">
      <c r="A218" s="71"/>
      <c r="B218" s="68"/>
      <c r="C218" s="25"/>
      <c r="D218" s="25"/>
      <c r="E218" s="67" t="str">
        <f t="shared" si="33"/>
        <v/>
      </c>
      <c r="F218" s="62"/>
      <c r="G218" s="14"/>
      <c r="H218" s="65"/>
      <c r="I218" s="70"/>
      <c r="J218" s="14"/>
      <c r="K218" s="69"/>
      <c r="L218" s="15"/>
      <c r="M218" s="16"/>
      <c r="N218" s="17"/>
      <c r="O218" s="72"/>
      <c r="P218" s="18"/>
      <c r="Q218" s="60"/>
      <c r="R218" s="19"/>
      <c r="S218" s="18"/>
      <c r="T218" s="75"/>
      <c r="U218" s="20"/>
      <c r="V218" s="21"/>
      <c r="W218" s="22"/>
      <c r="Y218" s="78" t="e">
        <f>VLOOKUP(V218,[1]IOT!$A:$B,2,0)</f>
        <v>#N/A</v>
      </c>
      <c r="Z218" s="78">
        <f>IF(ISNA(VLOOKUP(K218,[2]Sheet1!$A:$B,2,0)),0,(VLOOKUP(K218,[2]Sheet1!$A:$B,2,0)))</f>
        <v>0</v>
      </c>
      <c r="AA218" s="78">
        <f t="shared" si="29"/>
        <v>0</v>
      </c>
      <c r="AB218" s="78" t="e">
        <f>VLOOKUP(K218,[1]IOT!$A:$E,5,0)</f>
        <v>#N/A</v>
      </c>
      <c r="AC218" s="78"/>
      <c r="AD218" s="78" t="e">
        <f>VLOOKUP(K218,[1]IOT!$A:$F,6,0)</f>
        <v>#N/A</v>
      </c>
      <c r="AE218" s="78"/>
      <c r="AF218" s="78"/>
      <c r="AG218" s="78"/>
      <c r="AH218" s="78" t="e">
        <f>VLOOKUP(K218,[1]IOT!$A:$G,7,0)</f>
        <v>#N/A</v>
      </c>
      <c r="AI218" s="78" t="e">
        <f>VLOOKUP(K218,[1]IOT!$A:$H,8,0)</f>
        <v>#N/A</v>
      </c>
      <c r="AJ218" s="78" t="e">
        <f>VLOOKUP(K218,[1]IOT!$A:$I,9,0)</f>
        <v>#N/A</v>
      </c>
      <c r="AK218" s="78" t="e">
        <f>VLOOKUP(K218,[1]IOT!$A:$J,10,0)</f>
        <v>#N/A</v>
      </c>
      <c r="AL218" s="78" t="e">
        <f>VLOOKUP(K218,[1]IOT!$A:$K,11,0)</f>
        <v>#N/A</v>
      </c>
      <c r="AM218" s="78"/>
      <c r="AN218" s="78"/>
      <c r="AO218" s="79">
        <f t="shared" si="30"/>
        <v>0</v>
      </c>
      <c r="AP218" s="80">
        <f t="shared" si="31"/>
        <v>0</v>
      </c>
      <c r="AQ218" s="77"/>
      <c r="AR218" s="6" t="str">
        <f t="shared" si="32"/>
        <v/>
      </c>
    </row>
    <row r="219" spans="1:44" s="6" customFormat="1" ht="47.25" customHeight="1" x14ac:dyDescent="0.35">
      <c r="A219" s="71"/>
      <c r="B219" s="68"/>
      <c r="C219" s="25"/>
      <c r="D219" s="25"/>
      <c r="E219" s="67" t="str">
        <f t="shared" si="33"/>
        <v/>
      </c>
      <c r="F219" s="62"/>
      <c r="G219" s="14"/>
      <c r="H219" s="65"/>
      <c r="I219" s="70"/>
      <c r="J219" s="14"/>
      <c r="K219" s="69"/>
      <c r="L219" s="15"/>
      <c r="M219" s="16"/>
      <c r="N219" s="17"/>
      <c r="O219" s="72"/>
      <c r="P219" s="18"/>
      <c r="Q219" s="60"/>
      <c r="R219" s="19"/>
      <c r="S219" s="18"/>
      <c r="T219" s="75"/>
      <c r="U219" s="20"/>
      <c r="V219" s="21"/>
      <c r="W219" s="22"/>
      <c r="Y219" s="78" t="e">
        <f>VLOOKUP(V219,[1]IOT!$A:$B,2,0)</f>
        <v>#N/A</v>
      </c>
      <c r="Z219" s="78">
        <f>IF(ISNA(VLOOKUP(K219,[2]Sheet1!$A:$B,2,0)),0,(VLOOKUP(K219,[2]Sheet1!$A:$B,2,0)))</f>
        <v>0</v>
      </c>
      <c r="AA219" s="78">
        <f t="shared" si="29"/>
        <v>0</v>
      </c>
      <c r="AB219" s="78" t="e">
        <f>VLOOKUP(K219,[1]IOT!$A:$E,5,0)</f>
        <v>#N/A</v>
      </c>
      <c r="AC219" s="78"/>
      <c r="AD219" s="78" t="e">
        <f>VLOOKUP(K219,[1]IOT!$A:$F,6,0)</f>
        <v>#N/A</v>
      </c>
      <c r="AE219" s="78"/>
      <c r="AF219" s="78"/>
      <c r="AG219" s="78"/>
      <c r="AH219" s="78" t="e">
        <f>VLOOKUP(K219,[1]IOT!$A:$G,7,0)</f>
        <v>#N/A</v>
      </c>
      <c r="AI219" s="78" t="e">
        <f>VLOOKUP(K219,[1]IOT!$A:$H,8,0)</f>
        <v>#N/A</v>
      </c>
      <c r="AJ219" s="78" t="e">
        <f>VLOOKUP(K219,[1]IOT!$A:$I,9,0)</f>
        <v>#N/A</v>
      </c>
      <c r="AK219" s="78" t="e">
        <f>VLOOKUP(K219,[1]IOT!$A:$J,10,0)</f>
        <v>#N/A</v>
      </c>
      <c r="AL219" s="78" t="e">
        <f>VLOOKUP(K219,[1]IOT!$A:$K,11,0)</f>
        <v>#N/A</v>
      </c>
      <c r="AM219" s="78"/>
      <c r="AN219" s="78"/>
      <c r="AO219" s="79">
        <f t="shared" si="30"/>
        <v>0</v>
      </c>
      <c r="AP219" s="80">
        <f t="shared" si="31"/>
        <v>0</v>
      </c>
      <c r="AQ219" s="77"/>
      <c r="AR219" s="6" t="str">
        <f t="shared" si="32"/>
        <v/>
      </c>
    </row>
    <row r="220" spans="1:44" s="6" customFormat="1" ht="47.25" customHeight="1" x14ac:dyDescent="0.35">
      <c r="A220" s="71"/>
      <c r="B220" s="68"/>
      <c r="C220" s="25"/>
      <c r="D220" s="25"/>
      <c r="E220" s="67" t="str">
        <f t="shared" si="33"/>
        <v/>
      </c>
      <c r="F220" s="62"/>
      <c r="G220" s="14"/>
      <c r="H220" s="65"/>
      <c r="I220" s="70"/>
      <c r="J220" s="14"/>
      <c r="K220" s="69"/>
      <c r="L220" s="15"/>
      <c r="M220" s="16"/>
      <c r="N220" s="17"/>
      <c r="O220" s="72"/>
      <c r="P220" s="18"/>
      <c r="Q220" s="60"/>
      <c r="R220" s="19"/>
      <c r="S220" s="18"/>
      <c r="T220" s="75"/>
      <c r="U220" s="20"/>
      <c r="V220" s="21"/>
      <c r="W220" s="22"/>
      <c r="Y220" s="78" t="e">
        <f>VLOOKUP(V220,[1]IOT!$A:$B,2,0)</f>
        <v>#N/A</v>
      </c>
      <c r="Z220" s="78">
        <f>IF(ISNA(VLOOKUP(K220,[2]Sheet1!$A:$B,2,0)),0,(VLOOKUP(K220,[2]Sheet1!$A:$B,2,0)))</f>
        <v>0</v>
      </c>
      <c r="AA220" s="78">
        <f t="shared" si="29"/>
        <v>0</v>
      </c>
      <c r="AB220" s="78" t="e">
        <f>VLOOKUP(K220,[1]IOT!$A:$E,5,0)</f>
        <v>#N/A</v>
      </c>
      <c r="AC220" s="78"/>
      <c r="AD220" s="78" t="e">
        <f>VLOOKUP(K220,[1]IOT!$A:$F,6,0)</f>
        <v>#N/A</v>
      </c>
      <c r="AE220" s="78"/>
      <c r="AF220" s="78"/>
      <c r="AG220" s="78"/>
      <c r="AH220" s="78" t="e">
        <f>VLOOKUP(K220,[1]IOT!$A:$G,7,0)</f>
        <v>#N/A</v>
      </c>
      <c r="AI220" s="78" t="e">
        <f>VLOOKUP(K220,[1]IOT!$A:$H,8,0)</f>
        <v>#N/A</v>
      </c>
      <c r="AJ220" s="78" t="e">
        <f>VLOOKUP(K220,[1]IOT!$A:$I,9,0)</f>
        <v>#N/A</v>
      </c>
      <c r="AK220" s="78" t="e">
        <f>VLOOKUP(K220,[1]IOT!$A:$J,10,0)</f>
        <v>#N/A</v>
      </c>
      <c r="AL220" s="78" t="e">
        <f>VLOOKUP(K220,[1]IOT!$A:$K,11,0)</f>
        <v>#N/A</v>
      </c>
      <c r="AM220" s="78"/>
      <c r="AN220" s="78"/>
      <c r="AO220" s="79">
        <f t="shared" si="30"/>
        <v>0</v>
      </c>
      <c r="AP220" s="80">
        <f t="shared" si="31"/>
        <v>0</v>
      </c>
      <c r="AQ220" s="77"/>
      <c r="AR220" s="6" t="str">
        <f t="shared" si="32"/>
        <v/>
      </c>
    </row>
    <row r="221" spans="1:44" s="6" customFormat="1" ht="47.25" customHeight="1" x14ac:dyDescent="0.35">
      <c r="A221" s="71"/>
      <c r="B221" s="68"/>
      <c r="C221" s="25"/>
      <c r="D221" s="25"/>
      <c r="E221" s="67" t="str">
        <f t="shared" si="33"/>
        <v/>
      </c>
      <c r="F221" s="62"/>
      <c r="G221" s="14"/>
      <c r="H221" s="65"/>
      <c r="I221" s="70"/>
      <c r="J221" s="14"/>
      <c r="K221" s="69"/>
      <c r="L221" s="15"/>
      <c r="M221" s="16"/>
      <c r="N221" s="17"/>
      <c r="O221" s="72"/>
      <c r="P221" s="18"/>
      <c r="Q221" s="60"/>
      <c r="R221" s="19"/>
      <c r="S221" s="18"/>
      <c r="T221" s="75"/>
      <c r="U221" s="20"/>
      <c r="V221" s="21"/>
      <c r="W221" s="22"/>
      <c r="Y221" s="78" t="e">
        <f>VLOOKUP(V221,[1]IOT!$A:$B,2,0)</f>
        <v>#N/A</v>
      </c>
      <c r="Z221" s="78">
        <f>IF(ISNA(VLOOKUP(K221,[2]Sheet1!$A:$B,2,0)),0,(VLOOKUP(K221,[2]Sheet1!$A:$B,2,0)))</f>
        <v>0</v>
      </c>
      <c r="AA221" s="78">
        <f t="shared" si="29"/>
        <v>0</v>
      </c>
      <c r="AB221" s="78" t="e">
        <f>VLOOKUP(K221,[1]IOT!$A:$E,5,0)</f>
        <v>#N/A</v>
      </c>
      <c r="AC221" s="78"/>
      <c r="AD221" s="78" t="e">
        <f>VLOOKUP(K221,[1]IOT!$A:$F,6,0)</f>
        <v>#N/A</v>
      </c>
      <c r="AE221" s="78"/>
      <c r="AF221" s="78"/>
      <c r="AG221" s="78"/>
      <c r="AH221" s="78" t="e">
        <f>VLOOKUP(K221,[1]IOT!$A:$G,7,0)</f>
        <v>#N/A</v>
      </c>
      <c r="AI221" s="78" t="e">
        <f>VLOOKUP(K221,[1]IOT!$A:$H,8,0)</f>
        <v>#N/A</v>
      </c>
      <c r="AJ221" s="78" t="e">
        <f>VLOOKUP(K221,[1]IOT!$A:$I,9,0)</f>
        <v>#N/A</v>
      </c>
      <c r="AK221" s="78" t="e">
        <f>VLOOKUP(K221,[1]IOT!$A:$J,10,0)</f>
        <v>#N/A</v>
      </c>
      <c r="AL221" s="78" t="e">
        <f>VLOOKUP(K221,[1]IOT!$A:$K,11,0)</f>
        <v>#N/A</v>
      </c>
      <c r="AM221" s="78"/>
      <c r="AN221" s="78"/>
      <c r="AO221" s="79">
        <f t="shared" si="30"/>
        <v>0</v>
      </c>
      <c r="AP221" s="80">
        <f t="shared" si="31"/>
        <v>0</v>
      </c>
      <c r="AQ221" s="77"/>
      <c r="AR221" s="6" t="str">
        <f t="shared" si="32"/>
        <v/>
      </c>
    </row>
    <row r="222" spans="1:44" s="6" customFormat="1" ht="47.25" customHeight="1" x14ac:dyDescent="0.35">
      <c r="A222" s="71"/>
      <c r="B222" s="68"/>
      <c r="C222" s="25"/>
      <c r="D222" s="25"/>
      <c r="E222" s="67" t="str">
        <f t="shared" si="33"/>
        <v/>
      </c>
      <c r="F222" s="62"/>
      <c r="G222" s="14"/>
      <c r="H222" s="65"/>
      <c r="I222" s="70"/>
      <c r="J222" s="14"/>
      <c r="K222" s="69"/>
      <c r="L222" s="15"/>
      <c r="M222" s="16"/>
      <c r="N222" s="17"/>
      <c r="O222" s="72"/>
      <c r="P222" s="18"/>
      <c r="Q222" s="60"/>
      <c r="R222" s="19"/>
      <c r="S222" s="18"/>
      <c r="T222" s="75"/>
      <c r="U222" s="20"/>
      <c r="V222" s="21"/>
      <c r="W222" s="22"/>
      <c r="Y222" s="78" t="e">
        <f>VLOOKUP(V222,[1]IOT!$A:$B,2,0)</f>
        <v>#N/A</v>
      </c>
      <c r="Z222" s="78">
        <f>IF(ISNA(VLOOKUP(K222,[2]Sheet1!$A:$B,2,0)),0,(VLOOKUP(K222,[2]Sheet1!$A:$B,2,0)))</f>
        <v>0</v>
      </c>
      <c r="AA222" s="78">
        <f t="shared" si="29"/>
        <v>0</v>
      </c>
      <c r="AB222" s="78" t="e">
        <f>VLOOKUP(K222,[1]IOT!$A:$E,5,0)</f>
        <v>#N/A</v>
      </c>
      <c r="AC222" s="78"/>
      <c r="AD222" s="78" t="e">
        <f>VLOOKUP(K222,[1]IOT!$A:$F,6,0)</f>
        <v>#N/A</v>
      </c>
      <c r="AE222" s="78"/>
      <c r="AF222" s="78"/>
      <c r="AG222" s="78"/>
      <c r="AH222" s="78" t="e">
        <f>VLOOKUP(K222,[1]IOT!$A:$G,7,0)</f>
        <v>#N/A</v>
      </c>
      <c r="AI222" s="78" t="e">
        <f>VLOOKUP(K222,[1]IOT!$A:$H,8,0)</f>
        <v>#N/A</v>
      </c>
      <c r="AJ222" s="78" t="e">
        <f>VLOOKUP(K222,[1]IOT!$A:$I,9,0)</f>
        <v>#N/A</v>
      </c>
      <c r="AK222" s="78" t="e">
        <f>VLOOKUP(K222,[1]IOT!$A:$J,10,0)</f>
        <v>#N/A</v>
      </c>
      <c r="AL222" s="78" t="e">
        <f>VLOOKUP(K222,[1]IOT!$A:$K,11,0)</f>
        <v>#N/A</v>
      </c>
      <c r="AM222" s="78"/>
      <c r="AN222" s="78"/>
      <c r="AO222" s="79">
        <f t="shared" si="30"/>
        <v>0</v>
      </c>
      <c r="AP222" s="80">
        <f t="shared" si="31"/>
        <v>0</v>
      </c>
      <c r="AQ222" s="77"/>
      <c r="AR222" s="6" t="str">
        <f t="shared" si="32"/>
        <v/>
      </c>
    </row>
    <row r="223" spans="1:44" s="6" customFormat="1" ht="47.25" customHeight="1" x14ac:dyDescent="0.35">
      <c r="A223" s="71"/>
      <c r="B223" s="68"/>
      <c r="C223" s="25"/>
      <c r="D223" s="25"/>
      <c r="E223" s="67" t="str">
        <f t="shared" si="33"/>
        <v/>
      </c>
      <c r="F223" s="62"/>
      <c r="G223" s="14"/>
      <c r="H223" s="65"/>
      <c r="I223" s="70"/>
      <c r="J223" s="14"/>
      <c r="K223" s="69"/>
      <c r="L223" s="15"/>
      <c r="M223" s="16"/>
      <c r="N223" s="17"/>
      <c r="O223" s="72"/>
      <c r="P223" s="18"/>
      <c r="Q223" s="60"/>
      <c r="R223" s="19"/>
      <c r="S223" s="18"/>
      <c r="T223" s="75"/>
      <c r="U223" s="20"/>
      <c r="V223" s="21"/>
      <c r="W223" s="22"/>
      <c r="Y223" s="78" t="e">
        <f>VLOOKUP(V223,[1]IOT!$A:$B,2,0)</f>
        <v>#N/A</v>
      </c>
      <c r="Z223" s="78">
        <f>IF(ISNA(VLOOKUP(K223,[2]Sheet1!$A:$B,2,0)),0,(VLOOKUP(K223,[2]Sheet1!$A:$B,2,0)))</f>
        <v>0</v>
      </c>
      <c r="AA223" s="78">
        <f t="shared" si="29"/>
        <v>0</v>
      </c>
      <c r="AB223" s="78" t="e">
        <f>VLOOKUP(K223,[1]IOT!$A:$E,5,0)</f>
        <v>#N/A</v>
      </c>
      <c r="AC223" s="78"/>
      <c r="AD223" s="78" t="e">
        <f>VLOOKUP(K223,[1]IOT!$A:$F,6,0)</f>
        <v>#N/A</v>
      </c>
      <c r="AE223" s="78"/>
      <c r="AF223" s="78"/>
      <c r="AG223" s="78"/>
      <c r="AH223" s="78" t="e">
        <f>VLOOKUP(K223,[1]IOT!$A:$G,7,0)</f>
        <v>#N/A</v>
      </c>
      <c r="AI223" s="78" t="e">
        <f>VLOOKUP(K223,[1]IOT!$A:$H,8,0)</f>
        <v>#N/A</v>
      </c>
      <c r="AJ223" s="78" t="e">
        <f>VLOOKUP(K223,[1]IOT!$A:$I,9,0)</f>
        <v>#N/A</v>
      </c>
      <c r="AK223" s="78" t="e">
        <f>VLOOKUP(K223,[1]IOT!$A:$J,10,0)</f>
        <v>#N/A</v>
      </c>
      <c r="AL223" s="78" t="e">
        <f>VLOOKUP(K223,[1]IOT!$A:$K,11,0)</f>
        <v>#N/A</v>
      </c>
      <c r="AM223" s="78"/>
      <c r="AN223" s="78"/>
      <c r="AO223" s="79">
        <f t="shared" si="30"/>
        <v>0</v>
      </c>
      <c r="AP223" s="80">
        <f t="shared" si="31"/>
        <v>0</v>
      </c>
      <c r="AQ223" s="77"/>
      <c r="AR223" s="6" t="str">
        <f t="shared" si="32"/>
        <v/>
      </c>
    </row>
    <row r="224" spans="1:44" s="6" customFormat="1" ht="47.25" customHeight="1" x14ac:dyDescent="0.35">
      <c r="A224" s="71"/>
      <c r="B224" s="68"/>
      <c r="C224" s="25"/>
      <c r="D224" s="25"/>
      <c r="E224" s="67" t="str">
        <f t="shared" si="33"/>
        <v/>
      </c>
      <c r="F224" s="62"/>
      <c r="G224" s="14"/>
      <c r="H224" s="65"/>
      <c r="I224" s="70"/>
      <c r="J224" s="14"/>
      <c r="K224" s="69"/>
      <c r="L224" s="15"/>
      <c r="M224" s="16"/>
      <c r="N224" s="17"/>
      <c r="O224" s="72"/>
      <c r="P224" s="18"/>
      <c r="Q224" s="60"/>
      <c r="R224" s="19"/>
      <c r="S224" s="18"/>
      <c r="T224" s="75"/>
      <c r="U224" s="20"/>
      <c r="V224" s="21"/>
      <c r="W224" s="22"/>
      <c r="Y224" s="78" t="e">
        <f>VLOOKUP(V224,[1]IOT!$A:$B,2,0)</f>
        <v>#N/A</v>
      </c>
      <c r="Z224" s="78">
        <f>IF(ISNA(VLOOKUP(K224,[2]Sheet1!$A:$B,2,0)),0,(VLOOKUP(K224,[2]Sheet1!$A:$B,2,0)))</f>
        <v>0</v>
      </c>
      <c r="AA224" s="78">
        <f t="shared" ref="AA224:AA254" si="34">IF(ISNA(VLOOKUP(Y224,$Y$1:$Z$2,2,0)),0,(VLOOKUP(Y224,$Y$1:$Z$2,2,0)))</f>
        <v>0</v>
      </c>
      <c r="AB224" s="78" t="e">
        <f>VLOOKUP(K224,[1]IOT!$A:$E,5,0)</f>
        <v>#N/A</v>
      </c>
      <c r="AC224" s="78"/>
      <c r="AD224" s="78" t="e">
        <f>VLOOKUP(K224,[1]IOT!$A:$F,6,0)</f>
        <v>#N/A</v>
      </c>
      <c r="AE224" s="78"/>
      <c r="AF224" s="78"/>
      <c r="AG224" s="78"/>
      <c r="AH224" s="78" t="e">
        <f>VLOOKUP(K224,[1]IOT!$A:$G,7,0)</f>
        <v>#N/A</v>
      </c>
      <c r="AI224" s="78" t="e">
        <f>VLOOKUP(K224,[1]IOT!$A:$H,8,0)</f>
        <v>#N/A</v>
      </c>
      <c r="AJ224" s="78" t="e">
        <f>VLOOKUP(K224,[1]IOT!$A:$I,9,0)</f>
        <v>#N/A</v>
      </c>
      <c r="AK224" s="78" t="e">
        <f>VLOOKUP(K224,[1]IOT!$A:$J,10,0)</f>
        <v>#N/A</v>
      </c>
      <c r="AL224" s="78" t="e">
        <f>VLOOKUP(K224,[1]IOT!$A:$K,11,0)</f>
        <v>#N/A</v>
      </c>
      <c r="AM224" s="78"/>
      <c r="AN224" s="78"/>
      <c r="AO224" s="79">
        <f t="shared" ref="AO224:AO254" si="35">C224</f>
        <v>0</v>
      </c>
      <c r="AP224" s="80">
        <f t="shared" ref="AP224:AP254" si="36">M224</f>
        <v>0</v>
      </c>
      <c r="AQ224" s="77"/>
      <c r="AR224" s="6" t="str">
        <f t="shared" ref="AR224:AR254" si="37">B224&amp;K224</f>
        <v/>
      </c>
    </row>
    <row r="225" spans="1:44" s="6" customFormat="1" ht="47.25" customHeight="1" x14ac:dyDescent="0.35">
      <c r="A225" s="71"/>
      <c r="B225" s="68"/>
      <c r="C225" s="25"/>
      <c r="D225" s="25"/>
      <c r="E225" s="67" t="str">
        <f t="shared" si="33"/>
        <v/>
      </c>
      <c r="F225" s="62"/>
      <c r="G225" s="14"/>
      <c r="H225" s="65"/>
      <c r="I225" s="70"/>
      <c r="J225" s="14"/>
      <c r="K225" s="69"/>
      <c r="L225" s="15"/>
      <c r="M225" s="16"/>
      <c r="N225" s="17"/>
      <c r="O225" s="72"/>
      <c r="P225" s="18"/>
      <c r="Q225" s="60"/>
      <c r="R225" s="19"/>
      <c r="S225" s="18"/>
      <c r="T225" s="75"/>
      <c r="U225" s="20"/>
      <c r="V225" s="21"/>
      <c r="W225" s="22"/>
      <c r="Y225" s="78" t="e">
        <f>VLOOKUP(V225,[1]IOT!$A:$B,2,0)</f>
        <v>#N/A</v>
      </c>
      <c r="Z225" s="78">
        <f>IF(ISNA(VLOOKUP(K225,[2]Sheet1!$A:$B,2,0)),0,(VLOOKUP(K225,[2]Sheet1!$A:$B,2,0)))</f>
        <v>0</v>
      </c>
      <c r="AA225" s="78">
        <f t="shared" si="34"/>
        <v>0</v>
      </c>
      <c r="AB225" s="78" t="e">
        <f>VLOOKUP(K225,[1]IOT!$A:$E,5,0)</f>
        <v>#N/A</v>
      </c>
      <c r="AC225" s="78"/>
      <c r="AD225" s="78" t="e">
        <f>VLOOKUP(K225,[1]IOT!$A:$F,6,0)</f>
        <v>#N/A</v>
      </c>
      <c r="AE225" s="78"/>
      <c r="AF225" s="78"/>
      <c r="AG225" s="78"/>
      <c r="AH225" s="78" t="e">
        <f>VLOOKUP(K225,[1]IOT!$A:$G,7,0)</f>
        <v>#N/A</v>
      </c>
      <c r="AI225" s="78" t="e">
        <f>VLOOKUP(K225,[1]IOT!$A:$H,8,0)</f>
        <v>#N/A</v>
      </c>
      <c r="AJ225" s="78" t="e">
        <f>VLOOKUP(K225,[1]IOT!$A:$I,9,0)</f>
        <v>#N/A</v>
      </c>
      <c r="AK225" s="78" t="e">
        <f>VLOOKUP(K225,[1]IOT!$A:$J,10,0)</f>
        <v>#N/A</v>
      </c>
      <c r="AL225" s="78" t="e">
        <f>VLOOKUP(K225,[1]IOT!$A:$K,11,0)</f>
        <v>#N/A</v>
      </c>
      <c r="AM225" s="78"/>
      <c r="AN225" s="78"/>
      <c r="AO225" s="79">
        <f t="shared" si="35"/>
        <v>0</v>
      </c>
      <c r="AP225" s="80">
        <f t="shared" si="36"/>
        <v>0</v>
      </c>
      <c r="AQ225" s="77"/>
      <c r="AR225" s="6" t="str">
        <f t="shared" si="37"/>
        <v/>
      </c>
    </row>
    <row r="226" spans="1:44" s="6" customFormat="1" ht="47.25" customHeight="1" x14ac:dyDescent="0.35">
      <c r="A226" s="71"/>
      <c r="B226" s="68"/>
      <c r="C226" s="25"/>
      <c r="D226" s="25"/>
      <c r="E226" s="67" t="str">
        <f t="shared" si="33"/>
        <v/>
      </c>
      <c r="F226" s="62"/>
      <c r="G226" s="14"/>
      <c r="H226" s="65"/>
      <c r="I226" s="70"/>
      <c r="J226" s="14"/>
      <c r="K226" s="69"/>
      <c r="L226" s="15"/>
      <c r="M226" s="16"/>
      <c r="N226" s="17"/>
      <c r="O226" s="72"/>
      <c r="P226" s="18"/>
      <c r="Q226" s="60"/>
      <c r="R226" s="19"/>
      <c r="S226" s="18"/>
      <c r="T226" s="75"/>
      <c r="U226" s="20"/>
      <c r="V226" s="21"/>
      <c r="W226" s="22"/>
      <c r="Y226" s="78" t="e">
        <f>VLOOKUP(V226,[1]IOT!$A:$B,2,0)</f>
        <v>#N/A</v>
      </c>
      <c r="Z226" s="78">
        <f>IF(ISNA(VLOOKUP(K226,[2]Sheet1!$A:$B,2,0)),0,(VLOOKUP(K226,[2]Sheet1!$A:$B,2,0)))</f>
        <v>0</v>
      </c>
      <c r="AA226" s="78">
        <f t="shared" si="34"/>
        <v>0</v>
      </c>
      <c r="AB226" s="78" t="e">
        <f>VLOOKUP(K226,[1]IOT!$A:$E,5,0)</f>
        <v>#N/A</v>
      </c>
      <c r="AC226" s="78"/>
      <c r="AD226" s="78" t="e">
        <f>VLOOKUP(K226,[1]IOT!$A:$F,6,0)</f>
        <v>#N/A</v>
      </c>
      <c r="AE226" s="78"/>
      <c r="AF226" s="78"/>
      <c r="AG226" s="78"/>
      <c r="AH226" s="78" t="e">
        <f>VLOOKUP(K226,[1]IOT!$A:$G,7,0)</f>
        <v>#N/A</v>
      </c>
      <c r="AI226" s="78" t="e">
        <f>VLOOKUP(K226,[1]IOT!$A:$H,8,0)</f>
        <v>#N/A</v>
      </c>
      <c r="AJ226" s="78" t="e">
        <f>VLOOKUP(K226,[1]IOT!$A:$I,9,0)</f>
        <v>#N/A</v>
      </c>
      <c r="AK226" s="78" t="e">
        <f>VLOOKUP(K226,[1]IOT!$A:$J,10,0)</f>
        <v>#N/A</v>
      </c>
      <c r="AL226" s="78" t="e">
        <f>VLOOKUP(K226,[1]IOT!$A:$K,11,0)</f>
        <v>#N/A</v>
      </c>
      <c r="AM226" s="78"/>
      <c r="AN226" s="78"/>
      <c r="AO226" s="79">
        <f t="shared" si="35"/>
        <v>0</v>
      </c>
      <c r="AP226" s="80">
        <f t="shared" si="36"/>
        <v>0</v>
      </c>
      <c r="AQ226" s="77"/>
      <c r="AR226" s="6" t="str">
        <f t="shared" si="37"/>
        <v/>
      </c>
    </row>
    <row r="227" spans="1:44" s="6" customFormat="1" ht="47.25" customHeight="1" x14ac:dyDescent="0.35">
      <c r="A227" s="71"/>
      <c r="B227" s="68"/>
      <c r="C227" s="25"/>
      <c r="D227" s="25"/>
      <c r="E227" s="67" t="str">
        <f t="shared" si="33"/>
        <v/>
      </c>
      <c r="F227" s="62"/>
      <c r="G227" s="14"/>
      <c r="H227" s="65"/>
      <c r="I227" s="70"/>
      <c r="J227" s="14"/>
      <c r="K227" s="69"/>
      <c r="L227" s="15"/>
      <c r="M227" s="16"/>
      <c r="N227" s="17"/>
      <c r="O227" s="72"/>
      <c r="P227" s="18"/>
      <c r="Q227" s="60"/>
      <c r="R227" s="19"/>
      <c r="S227" s="18"/>
      <c r="T227" s="75"/>
      <c r="U227" s="20"/>
      <c r="V227" s="21"/>
      <c r="W227" s="22"/>
      <c r="Y227" s="78" t="e">
        <f>VLOOKUP(V227,[1]IOT!$A:$B,2,0)</f>
        <v>#N/A</v>
      </c>
      <c r="Z227" s="78">
        <f>IF(ISNA(VLOOKUP(K227,[2]Sheet1!$A:$B,2,0)),0,(VLOOKUP(K227,[2]Sheet1!$A:$B,2,0)))</f>
        <v>0</v>
      </c>
      <c r="AA227" s="78">
        <f t="shared" si="34"/>
        <v>0</v>
      </c>
      <c r="AB227" s="78" t="e">
        <f>VLOOKUP(K227,[1]IOT!$A:$E,5,0)</f>
        <v>#N/A</v>
      </c>
      <c r="AC227" s="78"/>
      <c r="AD227" s="78" t="e">
        <f>VLOOKUP(K227,[1]IOT!$A:$F,6,0)</f>
        <v>#N/A</v>
      </c>
      <c r="AE227" s="78"/>
      <c r="AF227" s="78"/>
      <c r="AG227" s="78"/>
      <c r="AH227" s="78" t="e">
        <f>VLOOKUP(K227,[1]IOT!$A:$G,7,0)</f>
        <v>#N/A</v>
      </c>
      <c r="AI227" s="78" t="e">
        <f>VLOOKUP(K227,[1]IOT!$A:$H,8,0)</f>
        <v>#N/A</v>
      </c>
      <c r="AJ227" s="78" t="e">
        <f>VLOOKUP(K227,[1]IOT!$A:$I,9,0)</f>
        <v>#N/A</v>
      </c>
      <c r="AK227" s="78" t="e">
        <f>VLOOKUP(K227,[1]IOT!$A:$J,10,0)</f>
        <v>#N/A</v>
      </c>
      <c r="AL227" s="78" t="e">
        <f>VLOOKUP(K227,[1]IOT!$A:$K,11,0)</f>
        <v>#N/A</v>
      </c>
      <c r="AM227" s="78"/>
      <c r="AN227" s="78"/>
      <c r="AO227" s="79">
        <f t="shared" si="35"/>
        <v>0</v>
      </c>
      <c r="AP227" s="80">
        <f t="shared" si="36"/>
        <v>0</v>
      </c>
      <c r="AQ227" s="77"/>
      <c r="AR227" s="6" t="str">
        <f t="shared" si="37"/>
        <v/>
      </c>
    </row>
    <row r="228" spans="1:44" s="6" customFormat="1" ht="47.25" customHeight="1" x14ac:dyDescent="0.35">
      <c r="A228" s="71"/>
      <c r="B228" s="68"/>
      <c r="C228" s="25"/>
      <c r="D228" s="25"/>
      <c r="E228" s="67" t="str">
        <f t="shared" si="33"/>
        <v/>
      </c>
      <c r="F228" s="62"/>
      <c r="G228" s="14"/>
      <c r="H228" s="65"/>
      <c r="I228" s="70"/>
      <c r="J228" s="14"/>
      <c r="K228" s="69"/>
      <c r="L228" s="15"/>
      <c r="M228" s="16"/>
      <c r="N228" s="17"/>
      <c r="O228" s="72"/>
      <c r="P228" s="18"/>
      <c r="Q228" s="60"/>
      <c r="R228" s="19"/>
      <c r="S228" s="18"/>
      <c r="T228" s="75"/>
      <c r="U228" s="20"/>
      <c r="V228" s="21"/>
      <c r="W228" s="22"/>
      <c r="Y228" s="78" t="e">
        <f>VLOOKUP(V228,[1]IOT!$A:$B,2,0)</f>
        <v>#N/A</v>
      </c>
      <c r="Z228" s="78">
        <f>IF(ISNA(VLOOKUP(K228,[2]Sheet1!$A:$B,2,0)),0,(VLOOKUP(K228,[2]Sheet1!$A:$B,2,0)))</f>
        <v>0</v>
      </c>
      <c r="AA228" s="78">
        <f t="shared" si="34"/>
        <v>0</v>
      </c>
      <c r="AB228" s="78" t="e">
        <f>VLOOKUP(K228,[1]IOT!$A:$E,5,0)</f>
        <v>#N/A</v>
      </c>
      <c r="AC228" s="78"/>
      <c r="AD228" s="78" t="e">
        <f>VLOOKUP(K228,[1]IOT!$A:$F,6,0)</f>
        <v>#N/A</v>
      </c>
      <c r="AE228" s="78"/>
      <c r="AF228" s="78"/>
      <c r="AG228" s="78"/>
      <c r="AH228" s="78" t="e">
        <f>VLOOKUP(K228,[1]IOT!$A:$G,7,0)</f>
        <v>#N/A</v>
      </c>
      <c r="AI228" s="78" t="e">
        <f>VLOOKUP(K228,[1]IOT!$A:$H,8,0)</f>
        <v>#N/A</v>
      </c>
      <c r="AJ228" s="78" t="e">
        <f>VLOOKUP(K228,[1]IOT!$A:$I,9,0)</f>
        <v>#N/A</v>
      </c>
      <c r="AK228" s="78" t="e">
        <f>VLOOKUP(K228,[1]IOT!$A:$J,10,0)</f>
        <v>#N/A</v>
      </c>
      <c r="AL228" s="78" t="e">
        <f>VLOOKUP(K228,[1]IOT!$A:$K,11,0)</f>
        <v>#N/A</v>
      </c>
      <c r="AM228" s="78"/>
      <c r="AN228" s="78"/>
      <c r="AO228" s="79">
        <f t="shared" si="35"/>
        <v>0</v>
      </c>
      <c r="AP228" s="80">
        <f t="shared" si="36"/>
        <v>0</v>
      </c>
      <c r="AQ228" s="77"/>
      <c r="AR228" s="6" t="str">
        <f t="shared" si="37"/>
        <v/>
      </c>
    </row>
    <row r="229" spans="1:44" s="6" customFormat="1" ht="47.25" customHeight="1" x14ac:dyDescent="0.35">
      <c r="A229" s="71"/>
      <c r="B229" s="68"/>
      <c r="C229" s="25"/>
      <c r="D229" s="25"/>
      <c r="E229" s="67" t="str">
        <f t="shared" si="33"/>
        <v/>
      </c>
      <c r="F229" s="62"/>
      <c r="G229" s="14"/>
      <c r="H229" s="65"/>
      <c r="I229" s="70"/>
      <c r="J229" s="14"/>
      <c r="K229" s="69"/>
      <c r="L229" s="15"/>
      <c r="M229" s="16"/>
      <c r="N229" s="17"/>
      <c r="O229" s="72"/>
      <c r="P229" s="18"/>
      <c r="Q229" s="60"/>
      <c r="R229" s="19"/>
      <c r="S229" s="18"/>
      <c r="T229" s="75"/>
      <c r="U229" s="20"/>
      <c r="V229" s="21"/>
      <c r="W229" s="22"/>
      <c r="Y229" s="78" t="e">
        <f>VLOOKUP(V229,[1]IOT!$A:$B,2,0)</f>
        <v>#N/A</v>
      </c>
      <c r="Z229" s="78">
        <f>IF(ISNA(VLOOKUP(K229,[2]Sheet1!$A:$B,2,0)),0,(VLOOKUP(K229,[2]Sheet1!$A:$B,2,0)))</f>
        <v>0</v>
      </c>
      <c r="AA229" s="78">
        <f t="shared" si="34"/>
        <v>0</v>
      </c>
      <c r="AB229" s="78" t="e">
        <f>VLOOKUP(K229,[1]IOT!$A:$E,5,0)</f>
        <v>#N/A</v>
      </c>
      <c r="AC229" s="78"/>
      <c r="AD229" s="78" t="e">
        <f>VLOOKUP(K229,[1]IOT!$A:$F,6,0)</f>
        <v>#N/A</v>
      </c>
      <c r="AE229" s="78"/>
      <c r="AF229" s="78"/>
      <c r="AG229" s="78"/>
      <c r="AH229" s="78" t="e">
        <f>VLOOKUP(K229,[1]IOT!$A:$G,7,0)</f>
        <v>#N/A</v>
      </c>
      <c r="AI229" s="78" t="e">
        <f>VLOOKUP(K229,[1]IOT!$A:$H,8,0)</f>
        <v>#N/A</v>
      </c>
      <c r="AJ229" s="78" t="e">
        <f>VLOOKUP(K229,[1]IOT!$A:$I,9,0)</f>
        <v>#N/A</v>
      </c>
      <c r="AK229" s="78" t="e">
        <f>VLOOKUP(K229,[1]IOT!$A:$J,10,0)</f>
        <v>#N/A</v>
      </c>
      <c r="AL229" s="78" t="e">
        <f>VLOOKUP(K229,[1]IOT!$A:$K,11,0)</f>
        <v>#N/A</v>
      </c>
      <c r="AM229" s="78"/>
      <c r="AN229" s="78"/>
      <c r="AO229" s="79">
        <f t="shared" si="35"/>
        <v>0</v>
      </c>
      <c r="AP229" s="80">
        <f t="shared" si="36"/>
        <v>0</v>
      </c>
      <c r="AQ229" s="77"/>
      <c r="AR229" s="6" t="str">
        <f t="shared" si="37"/>
        <v/>
      </c>
    </row>
    <row r="230" spans="1:44" s="6" customFormat="1" ht="47.25" customHeight="1" x14ac:dyDescent="0.35">
      <c r="A230" s="71"/>
      <c r="B230" s="68"/>
      <c r="C230" s="25"/>
      <c r="D230" s="25"/>
      <c r="E230" s="67" t="str">
        <f t="shared" si="33"/>
        <v/>
      </c>
      <c r="F230" s="62"/>
      <c r="G230" s="14"/>
      <c r="H230" s="65"/>
      <c r="I230" s="70"/>
      <c r="J230" s="14"/>
      <c r="K230" s="69"/>
      <c r="L230" s="15"/>
      <c r="M230" s="16"/>
      <c r="N230" s="17"/>
      <c r="O230" s="72"/>
      <c r="P230" s="18"/>
      <c r="Q230" s="60"/>
      <c r="R230" s="19"/>
      <c r="S230" s="18"/>
      <c r="T230" s="75"/>
      <c r="U230" s="20"/>
      <c r="V230" s="21"/>
      <c r="W230" s="22"/>
      <c r="Y230" s="78" t="e">
        <f>VLOOKUP(V230,[1]IOT!$A:$B,2,0)</f>
        <v>#N/A</v>
      </c>
      <c r="Z230" s="78">
        <f>IF(ISNA(VLOOKUP(K230,[2]Sheet1!$A:$B,2,0)),0,(VLOOKUP(K230,[2]Sheet1!$A:$B,2,0)))</f>
        <v>0</v>
      </c>
      <c r="AA230" s="78">
        <f t="shared" si="34"/>
        <v>0</v>
      </c>
      <c r="AB230" s="78" t="e">
        <f>VLOOKUP(K230,[1]IOT!$A:$E,5,0)</f>
        <v>#N/A</v>
      </c>
      <c r="AC230" s="78"/>
      <c r="AD230" s="78" t="e">
        <f>VLOOKUP(K230,[1]IOT!$A:$F,6,0)</f>
        <v>#N/A</v>
      </c>
      <c r="AE230" s="78"/>
      <c r="AF230" s="78"/>
      <c r="AG230" s="78"/>
      <c r="AH230" s="78" t="e">
        <f>VLOOKUP(K230,[1]IOT!$A:$G,7,0)</f>
        <v>#N/A</v>
      </c>
      <c r="AI230" s="78" t="e">
        <f>VLOOKUP(K230,[1]IOT!$A:$H,8,0)</f>
        <v>#N/A</v>
      </c>
      <c r="AJ230" s="78" t="e">
        <f>VLOOKUP(K230,[1]IOT!$A:$I,9,0)</f>
        <v>#N/A</v>
      </c>
      <c r="AK230" s="78" t="e">
        <f>VLOOKUP(K230,[1]IOT!$A:$J,10,0)</f>
        <v>#N/A</v>
      </c>
      <c r="AL230" s="78" t="e">
        <f>VLOOKUP(K230,[1]IOT!$A:$K,11,0)</f>
        <v>#N/A</v>
      </c>
      <c r="AM230" s="78"/>
      <c r="AN230" s="78"/>
      <c r="AO230" s="79">
        <f t="shared" si="35"/>
        <v>0</v>
      </c>
      <c r="AP230" s="80">
        <f t="shared" si="36"/>
        <v>0</v>
      </c>
      <c r="AQ230" s="77"/>
      <c r="AR230" s="6" t="str">
        <f t="shared" si="37"/>
        <v/>
      </c>
    </row>
    <row r="231" spans="1:44" s="6" customFormat="1" ht="47.25" customHeight="1" x14ac:dyDescent="0.35">
      <c r="A231" s="71"/>
      <c r="B231" s="68"/>
      <c r="C231" s="25"/>
      <c r="D231" s="25"/>
      <c r="E231" s="67" t="str">
        <f t="shared" si="33"/>
        <v/>
      </c>
      <c r="F231" s="62"/>
      <c r="G231" s="14"/>
      <c r="H231" s="65"/>
      <c r="I231" s="70"/>
      <c r="J231" s="14"/>
      <c r="K231" s="69"/>
      <c r="L231" s="15"/>
      <c r="M231" s="16"/>
      <c r="N231" s="17"/>
      <c r="O231" s="72"/>
      <c r="P231" s="18"/>
      <c r="Q231" s="60"/>
      <c r="R231" s="19"/>
      <c r="S231" s="18"/>
      <c r="T231" s="75"/>
      <c r="U231" s="20"/>
      <c r="V231" s="21"/>
      <c r="W231" s="22"/>
      <c r="Y231" s="78" t="e">
        <f>VLOOKUP(V231,[1]IOT!$A:$B,2,0)</f>
        <v>#N/A</v>
      </c>
      <c r="Z231" s="78">
        <f>IF(ISNA(VLOOKUP(K231,[2]Sheet1!$A:$B,2,0)),0,(VLOOKUP(K231,[2]Sheet1!$A:$B,2,0)))</f>
        <v>0</v>
      </c>
      <c r="AA231" s="78">
        <f t="shared" si="34"/>
        <v>0</v>
      </c>
      <c r="AB231" s="78" t="e">
        <f>VLOOKUP(K231,[1]IOT!$A:$E,5,0)</f>
        <v>#N/A</v>
      </c>
      <c r="AC231" s="78"/>
      <c r="AD231" s="78" t="e">
        <f>VLOOKUP(K231,[1]IOT!$A:$F,6,0)</f>
        <v>#N/A</v>
      </c>
      <c r="AE231" s="78"/>
      <c r="AF231" s="78"/>
      <c r="AG231" s="78"/>
      <c r="AH231" s="78" t="e">
        <f>VLOOKUP(K231,[1]IOT!$A:$G,7,0)</f>
        <v>#N/A</v>
      </c>
      <c r="AI231" s="78" t="e">
        <f>VLOOKUP(K231,[1]IOT!$A:$H,8,0)</f>
        <v>#N/A</v>
      </c>
      <c r="AJ231" s="78" t="e">
        <f>VLOOKUP(K231,[1]IOT!$A:$I,9,0)</f>
        <v>#N/A</v>
      </c>
      <c r="AK231" s="78" t="e">
        <f>VLOOKUP(K231,[1]IOT!$A:$J,10,0)</f>
        <v>#N/A</v>
      </c>
      <c r="AL231" s="78" t="e">
        <f>VLOOKUP(K231,[1]IOT!$A:$K,11,0)</f>
        <v>#N/A</v>
      </c>
      <c r="AM231" s="78"/>
      <c r="AN231" s="78"/>
      <c r="AO231" s="79">
        <f t="shared" si="35"/>
        <v>0</v>
      </c>
      <c r="AP231" s="80">
        <f t="shared" si="36"/>
        <v>0</v>
      </c>
      <c r="AQ231" s="77"/>
      <c r="AR231" s="6" t="str">
        <f t="shared" si="37"/>
        <v/>
      </c>
    </row>
    <row r="232" spans="1:44" s="6" customFormat="1" ht="47.25" customHeight="1" x14ac:dyDescent="0.35">
      <c r="A232" s="71"/>
      <c r="B232" s="68"/>
      <c r="C232" s="25"/>
      <c r="D232" s="25"/>
      <c r="E232" s="67" t="str">
        <f t="shared" si="33"/>
        <v/>
      </c>
      <c r="F232" s="62"/>
      <c r="G232" s="14"/>
      <c r="H232" s="65"/>
      <c r="I232" s="70"/>
      <c r="J232" s="14"/>
      <c r="K232" s="69"/>
      <c r="L232" s="15"/>
      <c r="M232" s="16"/>
      <c r="N232" s="17"/>
      <c r="O232" s="72"/>
      <c r="P232" s="18"/>
      <c r="Q232" s="60"/>
      <c r="R232" s="19"/>
      <c r="S232" s="18"/>
      <c r="T232" s="75"/>
      <c r="U232" s="20"/>
      <c r="V232" s="21"/>
      <c r="W232" s="22"/>
      <c r="Y232" s="78" t="e">
        <f>VLOOKUP(V232,[1]IOT!$A:$B,2,0)</f>
        <v>#N/A</v>
      </c>
      <c r="Z232" s="78">
        <f>IF(ISNA(VLOOKUP(K232,[2]Sheet1!$A:$B,2,0)),0,(VLOOKUP(K232,[2]Sheet1!$A:$B,2,0)))</f>
        <v>0</v>
      </c>
      <c r="AA232" s="78">
        <f t="shared" si="34"/>
        <v>0</v>
      </c>
      <c r="AB232" s="78" t="e">
        <f>VLOOKUP(K232,[1]IOT!$A:$E,5,0)</f>
        <v>#N/A</v>
      </c>
      <c r="AC232" s="78"/>
      <c r="AD232" s="78" t="e">
        <f>VLOOKUP(K232,[1]IOT!$A:$F,6,0)</f>
        <v>#N/A</v>
      </c>
      <c r="AE232" s="78"/>
      <c r="AF232" s="78"/>
      <c r="AG232" s="78"/>
      <c r="AH232" s="78" t="e">
        <f>VLOOKUP(K232,[1]IOT!$A:$G,7,0)</f>
        <v>#N/A</v>
      </c>
      <c r="AI232" s="78" t="e">
        <f>VLOOKUP(K232,[1]IOT!$A:$H,8,0)</f>
        <v>#N/A</v>
      </c>
      <c r="AJ232" s="78" t="e">
        <f>VLOOKUP(K232,[1]IOT!$A:$I,9,0)</f>
        <v>#N/A</v>
      </c>
      <c r="AK232" s="78" t="e">
        <f>VLOOKUP(K232,[1]IOT!$A:$J,10,0)</f>
        <v>#N/A</v>
      </c>
      <c r="AL232" s="78" t="e">
        <f>VLOOKUP(K232,[1]IOT!$A:$K,11,0)</f>
        <v>#N/A</v>
      </c>
      <c r="AM232" s="78"/>
      <c r="AN232" s="78"/>
      <c r="AO232" s="79">
        <f t="shared" si="35"/>
        <v>0</v>
      </c>
      <c r="AP232" s="80">
        <f t="shared" si="36"/>
        <v>0</v>
      </c>
      <c r="AQ232" s="77"/>
      <c r="AR232" s="6" t="str">
        <f t="shared" si="37"/>
        <v/>
      </c>
    </row>
    <row r="233" spans="1:44" s="6" customFormat="1" ht="47.25" customHeight="1" x14ac:dyDescent="0.35">
      <c r="A233" s="71"/>
      <c r="B233" s="68"/>
      <c r="C233" s="25"/>
      <c r="D233" s="25"/>
      <c r="E233" s="67" t="str">
        <f t="shared" si="33"/>
        <v/>
      </c>
      <c r="F233" s="62"/>
      <c r="G233" s="14"/>
      <c r="H233" s="65"/>
      <c r="I233" s="70"/>
      <c r="J233" s="14"/>
      <c r="K233" s="69"/>
      <c r="L233" s="15"/>
      <c r="M233" s="16"/>
      <c r="N233" s="17"/>
      <c r="O233" s="72"/>
      <c r="P233" s="18"/>
      <c r="Q233" s="60"/>
      <c r="R233" s="19"/>
      <c r="S233" s="18"/>
      <c r="T233" s="75"/>
      <c r="U233" s="20"/>
      <c r="V233" s="21"/>
      <c r="W233" s="22"/>
      <c r="Y233" s="78" t="e">
        <f>VLOOKUP(V233,[1]IOT!$A:$B,2,0)</f>
        <v>#N/A</v>
      </c>
      <c r="Z233" s="78">
        <f>IF(ISNA(VLOOKUP(K233,[2]Sheet1!$A:$B,2,0)),0,(VLOOKUP(K233,[2]Sheet1!$A:$B,2,0)))</f>
        <v>0</v>
      </c>
      <c r="AA233" s="78">
        <f t="shared" si="34"/>
        <v>0</v>
      </c>
      <c r="AB233" s="78" t="e">
        <f>VLOOKUP(K233,[1]IOT!$A:$E,5,0)</f>
        <v>#N/A</v>
      </c>
      <c r="AC233" s="78"/>
      <c r="AD233" s="78" t="e">
        <f>VLOOKUP(K233,[1]IOT!$A:$F,6,0)</f>
        <v>#N/A</v>
      </c>
      <c r="AE233" s="78"/>
      <c r="AF233" s="78"/>
      <c r="AG233" s="78"/>
      <c r="AH233" s="78" t="e">
        <f>VLOOKUP(K233,[1]IOT!$A:$G,7,0)</f>
        <v>#N/A</v>
      </c>
      <c r="AI233" s="78" t="e">
        <f>VLOOKUP(K233,[1]IOT!$A:$H,8,0)</f>
        <v>#N/A</v>
      </c>
      <c r="AJ233" s="78" t="e">
        <f>VLOOKUP(K233,[1]IOT!$A:$I,9,0)</f>
        <v>#N/A</v>
      </c>
      <c r="AK233" s="78" t="e">
        <f>VLOOKUP(K233,[1]IOT!$A:$J,10,0)</f>
        <v>#N/A</v>
      </c>
      <c r="AL233" s="78" t="e">
        <f>VLOOKUP(K233,[1]IOT!$A:$K,11,0)</f>
        <v>#N/A</v>
      </c>
      <c r="AM233" s="78"/>
      <c r="AN233" s="78"/>
      <c r="AO233" s="79">
        <f t="shared" si="35"/>
        <v>0</v>
      </c>
      <c r="AP233" s="80">
        <f t="shared" si="36"/>
        <v>0</v>
      </c>
      <c r="AQ233" s="77"/>
      <c r="AR233" s="6" t="str">
        <f t="shared" si="37"/>
        <v/>
      </c>
    </row>
    <row r="234" spans="1:44" s="6" customFormat="1" ht="47.25" customHeight="1" x14ac:dyDescent="0.35">
      <c r="A234" s="71"/>
      <c r="B234" s="68"/>
      <c r="C234" s="25"/>
      <c r="D234" s="25"/>
      <c r="E234" s="67" t="str">
        <f t="shared" si="33"/>
        <v/>
      </c>
      <c r="F234" s="62"/>
      <c r="G234" s="14"/>
      <c r="H234" s="65"/>
      <c r="I234" s="70"/>
      <c r="J234" s="14"/>
      <c r="K234" s="69"/>
      <c r="L234" s="15"/>
      <c r="M234" s="16"/>
      <c r="N234" s="17"/>
      <c r="O234" s="72"/>
      <c r="P234" s="18"/>
      <c r="Q234" s="60"/>
      <c r="R234" s="19"/>
      <c r="S234" s="18"/>
      <c r="T234" s="75"/>
      <c r="U234" s="20"/>
      <c r="V234" s="21"/>
      <c r="W234" s="22"/>
      <c r="Y234" s="78" t="e">
        <f>VLOOKUP(V234,[1]IOT!$A:$B,2,0)</f>
        <v>#N/A</v>
      </c>
      <c r="Z234" s="78">
        <f>IF(ISNA(VLOOKUP(K234,[2]Sheet1!$A:$B,2,0)),0,(VLOOKUP(K234,[2]Sheet1!$A:$B,2,0)))</f>
        <v>0</v>
      </c>
      <c r="AA234" s="78">
        <f t="shared" si="34"/>
        <v>0</v>
      </c>
      <c r="AB234" s="78" t="e">
        <f>VLOOKUP(K234,[1]IOT!$A:$E,5,0)</f>
        <v>#N/A</v>
      </c>
      <c r="AC234" s="78"/>
      <c r="AD234" s="78" t="e">
        <f>VLOOKUP(K234,[1]IOT!$A:$F,6,0)</f>
        <v>#N/A</v>
      </c>
      <c r="AE234" s="78"/>
      <c r="AF234" s="78"/>
      <c r="AG234" s="78"/>
      <c r="AH234" s="78" t="e">
        <f>VLOOKUP(K234,[1]IOT!$A:$G,7,0)</f>
        <v>#N/A</v>
      </c>
      <c r="AI234" s="78" t="e">
        <f>VLOOKUP(K234,[1]IOT!$A:$H,8,0)</f>
        <v>#N/A</v>
      </c>
      <c r="AJ234" s="78" t="e">
        <f>VLOOKUP(K234,[1]IOT!$A:$I,9,0)</f>
        <v>#N/A</v>
      </c>
      <c r="AK234" s="78" t="e">
        <f>VLOOKUP(K234,[1]IOT!$A:$J,10,0)</f>
        <v>#N/A</v>
      </c>
      <c r="AL234" s="78" t="e">
        <f>VLOOKUP(K234,[1]IOT!$A:$K,11,0)</f>
        <v>#N/A</v>
      </c>
      <c r="AM234" s="78"/>
      <c r="AN234" s="78"/>
      <c r="AO234" s="79">
        <f t="shared" si="35"/>
        <v>0</v>
      </c>
      <c r="AP234" s="80">
        <f t="shared" si="36"/>
        <v>0</v>
      </c>
      <c r="AQ234" s="77"/>
      <c r="AR234" s="6" t="str">
        <f t="shared" si="37"/>
        <v/>
      </c>
    </row>
    <row r="235" spans="1:44" s="6" customFormat="1" ht="47.25" customHeight="1" x14ac:dyDescent="0.35">
      <c r="A235" s="71"/>
      <c r="B235" s="68"/>
      <c r="C235" s="25"/>
      <c r="D235" s="25"/>
      <c r="E235" s="67" t="str">
        <f t="shared" si="33"/>
        <v/>
      </c>
      <c r="F235" s="62"/>
      <c r="G235" s="14"/>
      <c r="H235" s="65"/>
      <c r="I235" s="70"/>
      <c r="J235" s="14"/>
      <c r="K235" s="69"/>
      <c r="L235" s="15"/>
      <c r="M235" s="16"/>
      <c r="N235" s="17"/>
      <c r="O235" s="72"/>
      <c r="P235" s="18"/>
      <c r="Q235" s="60"/>
      <c r="R235" s="19"/>
      <c r="S235" s="18"/>
      <c r="T235" s="75"/>
      <c r="U235" s="20"/>
      <c r="V235" s="21"/>
      <c r="W235" s="22"/>
      <c r="Y235" s="78" t="e">
        <f>VLOOKUP(V235,[1]IOT!$A:$B,2,0)</f>
        <v>#N/A</v>
      </c>
      <c r="Z235" s="78">
        <f>IF(ISNA(VLOOKUP(K235,[2]Sheet1!$A:$B,2,0)),0,(VLOOKUP(K235,[2]Sheet1!$A:$B,2,0)))</f>
        <v>0</v>
      </c>
      <c r="AA235" s="78">
        <f t="shared" si="34"/>
        <v>0</v>
      </c>
      <c r="AB235" s="78" t="e">
        <f>VLOOKUP(K235,[1]IOT!$A:$E,5,0)</f>
        <v>#N/A</v>
      </c>
      <c r="AC235" s="78"/>
      <c r="AD235" s="78" t="e">
        <f>VLOOKUP(K235,[1]IOT!$A:$F,6,0)</f>
        <v>#N/A</v>
      </c>
      <c r="AE235" s="78"/>
      <c r="AF235" s="78"/>
      <c r="AG235" s="78"/>
      <c r="AH235" s="78" t="e">
        <f>VLOOKUP(K235,[1]IOT!$A:$G,7,0)</f>
        <v>#N/A</v>
      </c>
      <c r="AI235" s="78" t="e">
        <f>VLOOKUP(K235,[1]IOT!$A:$H,8,0)</f>
        <v>#N/A</v>
      </c>
      <c r="AJ235" s="78" t="e">
        <f>VLOOKUP(K235,[1]IOT!$A:$I,9,0)</f>
        <v>#N/A</v>
      </c>
      <c r="AK235" s="78" t="e">
        <f>VLOOKUP(K235,[1]IOT!$A:$J,10,0)</f>
        <v>#N/A</v>
      </c>
      <c r="AL235" s="78" t="e">
        <f>VLOOKUP(K235,[1]IOT!$A:$K,11,0)</f>
        <v>#N/A</v>
      </c>
      <c r="AM235" s="78"/>
      <c r="AN235" s="78"/>
      <c r="AO235" s="79">
        <f t="shared" si="35"/>
        <v>0</v>
      </c>
      <c r="AP235" s="80">
        <f t="shared" si="36"/>
        <v>0</v>
      </c>
      <c r="AQ235" s="77"/>
      <c r="AR235" s="6" t="str">
        <f t="shared" si="37"/>
        <v/>
      </c>
    </row>
    <row r="236" spans="1:44" s="6" customFormat="1" ht="47.25" customHeight="1" x14ac:dyDescent="0.35">
      <c r="A236" s="71"/>
      <c r="B236" s="68"/>
      <c r="C236" s="25"/>
      <c r="D236" s="25"/>
      <c r="E236" s="67" t="str">
        <f t="shared" si="33"/>
        <v/>
      </c>
      <c r="F236" s="62"/>
      <c r="G236" s="14"/>
      <c r="H236" s="65"/>
      <c r="I236" s="70"/>
      <c r="J236" s="14"/>
      <c r="K236" s="69"/>
      <c r="L236" s="15"/>
      <c r="M236" s="16"/>
      <c r="N236" s="17"/>
      <c r="O236" s="72"/>
      <c r="P236" s="18"/>
      <c r="Q236" s="60"/>
      <c r="R236" s="19"/>
      <c r="S236" s="18"/>
      <c r="T236" s="75"/>
      <c r="U236" s="20"/>
      <c r="V236" s="21"/>
      <c r="W236" s="22"/>
      <c r="Y236" s="78" t="e">
        <f>VLOOKUP(V236,[1]IOT!$A:$B,2,0)</f>
        <v>#N/A</v>
      </c>
      <c r="Z236" s="78">
        <f>IF(ISNA(VLOOKUP(K236,[2]Sheet1!$A:$B,2,0)),0,(VLOOKUP(K236,[2]Sheet1!$A:$B,2,0)))</f>
        <v>0</v>
      </c>
      <c r="AA236" s="78">
        <f t="shared" si="34"/>
        <v>0</v>
      </c>
      <c r="AB236" s="78" t="e">
        <f>VLOOKUP(K236,[1]IOT!$A:$E,5,0)</f>
        <v>#N/A</v>
      </c>
      <c r="AC236" s="78"/>
      <c r="AD236" s="78" t="e">
        <f>VLOOKUP(K236,[1]IOT!$A:$F,6,0)</f>
        <v>#N/A</v>
      </c>
      <c r="AE236" s="78"/>
      <c r="AF236" s="78"/>
      <c r="AG236" s="78"/>
      <c r="AH236" s="78" t="e">
        <f>VLOOKUP(K236,[1]IOT!$A:$G,7,0)</f>
        <v>#N/A</v>
      </c>
      <c r="AI236" s="78" t="e">
        <f>VLOOKUP(K236,[1]IOT!$A:$H,8,0)</f>
        <v>#N/A</v>
      </c>
      <c r="AJ236" s="78" t="e">
        <f>VLOOKUP(K236,[1]IOT!$A:$I,9,0)</f>
        <v>#N/A</v>
      </c>
      <c r="AK236" s="78" t="e">
        <f>VLOOKUP(K236,[1]IOT!$A:$J,10,0)</f>
        <v>#N/A</v>
      </c>
      <c r="AL236" s="78" t="e">
        <f>VLOOKUP(K236,[1]IOT!$A:$K,11,0)</f>
        <v>#N/A</v>
      </c>
      <c r="AM236" s="78"/>
      <c r="AN236" s="78"/>
      <c r="AO236" s="79">
        <f t="shared" si="35"/>
        <v>0</v>
      </c>
      <c r="AP236" s="80">
        <f t="shared" si="36"/>
        <v>0</v>
      </c>
      <c r="AQ236" s="77"/>
      <c r="AR236" s="6" t="str">
        <f t="shared" si="37"/>
        <v/>
      </c>
    </row>
    <row r="237" spans="1:44" s="6" customFormat="1" ht="47.25" customHeight="1" x14ac:dyDescent="0.35">
      <c r="A237" s="71"/>
      <c r="B237" s="68"/>
      <c r="C237" s="25"/>
      <c r="D237" s="25"/>
      <c r="E237" s="67" t="str">
        <f t="shared" si="33"/>
        <v/>
      </c>
      <c r="F237" s="62"/>
      <c r="G237" s="14"/>
      <c r="H237" s="65"/>
      <c r="I237" s="70"/>
      <c r="J237" s="14"/>
      <c r="K237" s="69"/>
      <c r="L237" s="15"/>
      <c r="M237" s="16"/>
      <c r="N237" s="17"/>
      <c r="O237" s="72"/>
      <c r="P237" s="18"/>
      <c r="Q237" s="60"/>
      <c r="R237" s="19"/>
      <c r="S237" s="18"/>
      <c r="T237" s="75"/>
      <c r="U237" s="20"/>
      <c r="V237" s="21"/>
      <c r="W237" s="22"/>
      <c r="Y237" s="78" t="e">
        <f>VLOOKUP(V237,[1]IOT!$A:$B,2,0)</f>
        <v>#N/A</v>
      </c>
      <c r="Z237" s="78">
        <f>IF(ISNA(VLOOKUP(K237,[2]Sheet1!$A:$B,2,0)),0,(VLOOKUP(K237,[2]Sheet1!$A:$B,2,0)))</f>
        <v>0</v>
      </c>
      <c r="AA237" s="78">
        <f t="shared" si="34"/>
        <v>0</v>
      </c>
      <c r="AB237" s="78" t="e">
        <f>VLOOKUP(K237,[1]IOT!$A:$E,5,0)</f>
        <v>#N/A</v>
      </c>
      <c r="AC237" s="78"/>
      <c r="AD237" s="78" t="e">
        <f>VLOOKUP(K237,[1]IOT!$A:$F,6,0)</f>
        <v>#N/A</v>
      </c>
      <c r="AE237" s="78"/>
      <c r="AF237" s="78"/>
      <c r="AG237" s="78"/>
      <c r="AH237" s="78" t="e">
        <f>VLOOKUP(K237,[1]IOT!$A:$G,7,0)</f>
        <v>#N/A</v>
      </c>
      <c r="AI237" s="78" t="e">
        <f>VLOOKUP(K237,[1]IOT!$A:$H,8,0)</f>
        <v>#N/A</v>
      </c>
      <c r="AJ237" s="78" t="e">
        <f>VLOOKUP(K237,[1]IOT!$A:$I,9,0)</f>
        <v>#N/A</v>
      </c>
      <c r="AK237" s="78" t="e">
        <f>VLOOKUP(K237,[1]IOT!$A:$J,10,0)</f>
        <v>#N/A</v>
      </c>
      <c r="AL237" s="78" t="e">
        <f>VLOOKUP(K237,[1]IOT!$A:$K,11,0)</f>
        <v>#N/A</v>
      </c>
      <c r="AM237" s="78"/>
      <c r="AN237" s="78"/>
      <c r="AO237" s="79">
        <f t="shared" si="35"/>
        <v>0</v>
      </c>
      <c r="AP237" s="80">
        <f t="shared" si="36"/>
        <v>0</v>
      </c>
      <c r="AQ237" s="77"/>
      <c r="AR237" s="6" t="str">
        <f t="shared" si="37"/>
        <v/>
      </c>
    </row>
    <row r="238" spans="1:44" s="6" customFormat="1" ht="47.25" customHeight="1" x14ac:dyDescent="0.35">
      <c r="A238" s="71"/>
      <c r="B238" s="68"/>
      <c r="C238" s="25"/>
      <c r="D238" s="25"/>
      <c r="E238" s="67" t="str">
        <f t="shared" si="33"/>
        <v/>
      </c>
      <c r="F238" s="62"/>
      <c r="G238" s="14"/>
      <c r="H238" s="65"/>
      <c r="I238" s="70"/>
      <c r="J238" s="14"/>
      <c r="K238" s="69"/>
      <c r="L238" s="15"/>
      <c r="M238" s="16"/>
      <c r="N238" s="17"/>
      <c r="O238" s="72"/>
      <c r="P238" s="18"/>
      <c r="Q238" s="60"/>
      <c r="R238" s="19"/>
      <c r="S238" s="18"/>
      <c r="T238" s="75"/>
      <c r="U238" s="20"/>
      <c r="V238" s="21"/>
      <c r="W238" s="22"/>
      <c r="Y238" s="78" t="e">
        <f>VLOOKUP(V238,[1]IOT!$A:$B,2,0)</f>
        <v>#N/A</v>
      </c>
      <c r="Z238" s="78">
        <f>IF(ISNA(VLOOKUP(K238,[2]Sheet1!$A:$B,2,0)),0,(VLOOKUP(K238,[2]Sheet1!$A:$B,2,0)))</f>
        <v>0</v>
      </c>
      <c r="AA238" s="78">
        <f t="shared" si="34"/>
        <v>0</v>
      </c>
      <c r="AB238" s="78" t="e">
        <f>VLOOKUP(K238,[1]IOT!$A:$E,5,0)</f>
        <v>#N/A</v>
      </c>
      <c r="AC238" s="78"/>
      <c r="AD238" s="78" t="e">
        <f>VLOOKUP(K238,[1]IOT!$A:$F,6,0)</f>
        <v>#N/A</v>
      </c>
      <c r="AE238" s="78"/>
      <c r="AF238" s="78"/>
      <c r="AG238" s="78"/>
      <c r="AH238" s="78" t="e">
        <f>VLOOKUP(K238,[1]IOT!$A:$G,7,0)</f>
        <v>#N/A</v>
      </c>
      <c r="AI238" s="78" t="e">
        <f>VLOOKUP(K238,[1]IOT!$A:$H,8,0)</f>
        <v>#N/A</v>
      </c>
      <c r="AJ238" s="78" t="e">
        <f>VLOOKUP(K238,[1]IOT!$A:$I,9,0)</f>
        <v>#N/A</v>
      </c>
      <c r="AK238" s="78" t="e">
        <f>VLOOKUP(K238,[1]IOT!$A:$J,10,0)</f>
        <v>#N/A</v>
      </c>
      <c r="AL238" s="78" t="e">
        <f>VLOOKUP(K238,[1]IOT!$A:$K,11,0)</f>
        <v>#N/A</v>
      </c>
      <c r="AM238" s="78"/>
      <c r="AN238" s="78"/>
      <c r="AO238" s="79">
        <f t="shared" si="35"/>
        <v>0</v>
      </c>
      <c r="AP238" s="80">
        <f t="shared" si="36"/>
        <v>0</v>
      </c>
      <c r="AQ238" s="77"/>
      <c r="AR238" s="6" t="str">
        <f t="shared" si="37"/>
        <v/>
      </c>
    </row>
    <row r="239" spans="1:44" s="6" customFormat="1" ht="47.25" customHeight="1" x14ac:dyDescent="0.35">
      <c r="A239" s="71"/>
      <c r="B239" s="68"/>
      <c r="C239" s="25"/>
      <c r="D239" s="25"/>
      <c r="E239" s="67" t="str">
        <f t="shared" si="33"/>
        <v/>
      </c>
      <c r="F239" s="62"/>
      <c r="G239" s="14"/>
      <c r="H239" s="65"/>
      <c r="I239" s="70"/>
      <c r="J239" s="14"/>
      <c r="K239" s="69"/>
      <c r="L239" s="15"/>
      <c r="M239" s="16"/>
      <c r="N239" s="17"/>
      <c r="O239" s="72"/>
      <c r="P239" s="18"/>
      <c r="Q239" s="60"/>
      <c r="R239" s="19"/>
      <c r="S239" s="18"/>
      <c r="T239" s="75"/>
      <c r="U239" s="20"/>
      <c r="V239" s="21"/>
      <c r="W239" s="22"/>
      <c r="Y239" s="78" t="e">
        <f>VLOOKUP(V239,[1]IOT!$A:$B,2,0)</f>
        <v>#N/A</v>
      </c>
      <c r="Z239" s="78">
        <f>IF(ISNA(VLOOKUP(K239,[2]Sheet1!$A:$B,2,0)),0,(VLOOKUP(K239,[2]Sheet1!$A:$B,2,0)))</f>
        <v>0</v>
      </c>
      <c r="AA239" s="78">
        <f t="shared" si="34"/>
        <v>0</v>
      </c>
      <c r="AB239" s="78" t="e">
        <f>VLOOKUP(K239,[1]IOT!$A:$E,5,0)</f>
        <v>#N/A</v>
      </c>
      <c r="AC239" s="78"/>
      <c r="AD239" s="78" t="e">
        <f>VLOOKUP(K239,[1]IOT!$A:$F,6,0)</f>
        <v>#N/A</v>
      </c>
      <c r="AE239" s="78"/>
      <c r="AF239" s="78"/>
      <c r="AG239" s="78"/>
      <c r="AH239" s="78" t="e">
        <f>VLOOKUP(K239,[1]IOT!$A:$G,7,0)</f>
        <v>#N/A</v>
      </c>
      <c r="AI239" s="78" t="e">
        <f>VLOOKUP(K239,[1]IOT!$A:$H,8,0)</f>
        <v>#N/A</v>
      </c>
      <c r="AJ239" s="78" t="e">
        <f>VLOOKUP(K239,[1]IOT!$A:$I,9,0)</f>
        <v>#N/A</v>
      </c>
      <c r="AK239" s="78" t="e">
        <f>VLOOKUP(K239,[1]IOT!$A:$J,10,0)</f>
        <v>#N/A</v>
      </c>
      <c r="AL239" s="78" t="e">
        <f>VLOOKUP(K239,[1]IOT!$A:$K,11,0)</f>
        <v>#N/A</v>
      </c>
      <c r="AM239" s="78"/>
      <c r="AN239" s="78"/>
      <c r="AO239" s="79">
        <f t="shared" si="35"/>
        <v>0</v>
      </c>
      <c r="AP239" s="80">
        <f t="shared" si="36"/>
        <v>0</v>
      </c>
      <c r="AQ239" s="77"/>
      <c r="AR239" s="6" t="str">
        <f t="shared" si="37"/>
        <v/>
      </c>
    </row>
    <row r="240" spans="1:44" s="6" customFormat="1" ht="47.25" customHeight="1" x14ac:dyDescent="0.35">
      <c r="A240" s="71"/>
      <c r="B240" s="68"/>
      <c r="C240" s="25"/>
      <c r="D240" s="25"/>
      <c r="E240" s="67" t="str">
        <f t="shared" si="33"/>
        <v/>
      </c>
      <c r="F240" s="62"/>
      <c r="G240" s="14"/>
      <c r="H240" s="65"/>
      <c r="I240" s="70"/>
      <c r="J240" s="14"/>
      <c r="K240" s="69"/>
      <c r="L240" s="15"/>
      <c r="M240" s="16"/>
      <c r="N240" s="17"/>
      <c r="O240" s="72"/>
      <c r="P240" s="18"/>
      <c r="Q240" s="60"/>
      <c r="R240" s="19"/>
      <c r="S240" s="18"/>
      <c r="T240" s="75"/>
      <c r="U240" s="20"/>
      <c r="V240" s="21"/>
      <c r="W240" s="22"/>
      <c r="Y240" s="78" t="e">
        <f>VLOOKUP(V240,[1]IOT!$A:$B,2,0)</f>
        <v>#N/A</v>
      </c>
      <c r="Z240" s="78">
        <f>IF(ISNA(VLOOKUP(K240,[2]Sheet1!$A:$B,2,0)),0,(VLOOKUP(K240,[2]Sheet1!$A:$B,2,0)))</f>
        <v>0</v>
      </c>
      <c r="AA240" s="78">
        <f t="shared" si="34"/>
        <v>0</v>
      </c>
      <c r="AB240" s="78" t="e">
        <f>VLOOKUP(K240,[1]IOT!$A:$E,5,0)</f>
        <v>#N/A</v>
      </c>
      <c r="AC240" s="78"/>
      <c r="AD240" s="78" t="e">
        <f>VLOOKUP(K240,[1]IOT!$A:$F,6,0)</f>
        <v>#N/A</v>
      </c>
      <c r="AE240" s="78"/>
      <c r="AF240" s="78"/>
      <c r="AG240" s="78"/>
      <c r="AH240" s="78" t="e">
        <f>VLOOKUP(K240,[1]IOT!$A:$G,7,0)</f>
        <v>#N/A</v>
      </c>
      <c r="AI240" s="78" t="e">
        <f>VLOOKUP(K240,[1]IOT!$A:$H,8,0)</f>
        <v>#N/A</v>
      </c>
      <c r="AJ240" s="78" t="e">
        <f>VLOOKUP(K240,[1]IOT!$A:$I,9,0)</f>
        <v>#N/A</v>
      </c>
      <c r="AK240" s="78" t="e">
        <f>VLOOKUP(K240,[1]IOT!$A:$J,10,0)</f>
        <v>#N/A</v>
      </c>
      <c r="AL240" s="78" t="e">
        <f>VLOOKUP(K240,[1]IOT!$A:$K,11,0)</f>
        <v>#N/A</v>
      </c>
      <c r="AM240" s="78"/>
      <c r="AN240" s="78"/>
      <c r="AO240" s="79">
        <f t="shared" si="35"/>
        <v>0</v>
      </c>
      <c r="AP240" s="80">
        <f t="shared" si="36"/>
        <v>0</v>
      </c>
      <c r="AQ240" s="77"/>
      <c r="AR240" s="6" t="str">
        <f t="shared" si="37"/>
        <v/>
      </c>
    </row>
    <row r="241" spans="1:44" s="6" customFormat="1" ht="47.25" customHeight="1" x14ac:dyDescent="0.35">
      <c r="A241" s="71"/>
      <c r="B241" s="68"/>
      <c r="C241" s="25"/>
      <c r="D241" s="25"/>
      <c r="E241" s="67" t="str">
        <f t="shared" si="33"/>
        <v/>
      </c>
      <c r="F241" s="62"/>
      <c r="G241" s="14"/>
      <c r="H241" s="65"/>
      <c r="I241" s="70"/>
      <c r="J241" s="14"/>
      <c r="K241" s="69"/>
      <c r="L241" s="15"/>
      <c r="M241" s="16"/>
      <c r="N241" s="17"/>
      <c r="O241" s="72"/>
      <c r="P241" s="18"/>
      <c r="Q241" s="60"/>
      <c r="R241" s="19"/>
      <c r="S241" s="18"/>
      <c r="T241" s="75"/>
      <c r="U241" s="20"/>
      <c r="V241" s="21"/>
      <c r="W241" s="22"/>
      <c r="Y241" s="78" t="e">
        <f>VLOOKUP(V241,[1]IOT!$A:$B,2,0)</f>
        <v>#N/A</v>
      </c>
      <c r="Z241" s="78">
        <f>IF(ISNA(VLOOKUP(K241,[2]Sheet1!$A:$B,2,0)),0,(VLOOKUP(K241,[2]Sheet1!$A:$B,2,0)))</f>
        <v>0</v>
      </c>
      <c r="AA241" s="78">
        <f t="shared" si="34"/>
        <v>0</v>
      </c>
      <c r="AB241" s="78" t="e">
        <f>VLOOKUP(K241,[1]IOT!$A:$E,5,0)</f>
        <v>#N/A</v>
      </c>
      <c r="AC241" s="78"/>
      <c r="AD241" s="78" t="e">
        <f>VLOOKUP(K241,[1]IOT!$A:$F,6,0)</f>
        <v>#N/A</v>
      </c>
      <c r="AE241" s="78"/>
      <c r="AF241" s="78"/>
      <c r="AG241" s="78"/>
      <c r="AH241" s="78" t="e">
        <f>VLOOKUP(K241,[1]IOT!$A:$G,7,0)</f>
        <v>#N/A</v>
      </c>
      <c r="AI241" s="78" t="e">
        <f>VLOOKUP(K241,[1]IOT!$A:$H,8,0)</f>
        <v>#N/A</v>
      </c>
      <c r="AJ241" s="78" t="e">
        <f>VLOOKUP(K241,[1]IOT!$A:$I,9,0)</f>
        <v>#N/A</v>
      </c>
      <c r="AK241" s="78" t="e">
        <f>VLOOKUP(K241,[1]IOT!$A:$J,10,0)</f>
        <v>#N/A</v>
      </c>
      <c r="AL241" s="78" t="e">
        <f>VLOOKUP(K241,[1]IOT!$A:$K,11,0)</f>
        <v>#N/A</v>
      </c>
      <c r="AM241" s="78"/>
      <c r="AN241" s="78"/>
      <c r="AO241" s="79">
        <f t="shared" si="35"/>
        <v>0</v>
      </c>
      <c r="AP241" s="80">
        <f t="shared" si="36"/>
        <v>0</v>
      </c>
      <c r="AQ241" s="77"/>
      <c r="AR241" s="6" t="str">
        <f t="shared" si="37"/>
        <v/>
      </c>
    </row>
    <row r="242" spans="1:44" s="6" customFormat="1" ht="47.25" customHeight="1" x14ac:dyDescent="0.35">
      <c r="A242" s="71"/>
      <c r="B242" s="68"/>
      <c r="C242" s="25"/>
      <c r="D242" s="25"/>
      <c r="E242" s="67" t="str">
        <f t="shared" si="33"/>
        <v/>
      </c>
      <c r="F242" s="62"/>
      <c r="G242" s="14"/>
      <c r="H242" s="65"/>
      <c r="I242" s="70"/>
      <c r="J242" s="14"/>
      <c r="K242" s="69"/>
      <c r="L242" s="15"/>
      <c r="M242" s="16"/>
      <c r="N242" s="17"/>
      <c r="O242" s="72"/>
      <c r="P242" s="18"/>
      <c r="Q242" s="60"/>
      <c r="R242" s="19"/>
      <c r="S242" s="18"/>
      <c r="T242" s="75"/>
      <c r="U242" s="20"/>
      <c r="V242" s="21"/>
      <c r="W242" s="22"/>
      <c r="Y242" s="78" t="e">
        <f>VLOOKUP(V242,[1]IOT!$A:$B,2,0)</f>
        <v>#N/A</v>
      </c>
      <c r="Z242" s="78">
        <f>IF(ISNA(VLOOKUP(K242,[2]Sheet1!$A:$B,2,0)),0,(VLOOKUP(K242,[2]Sheet1!$A:$B,2,0)))</f>
        <v>0</v>
      </c>
      <c r="AA242" s="78">
        <f t="shared" si="34"/>
        <v>0</v>
      </c>
      <c r="AB242" s="78" t="e">
        <f>VLOOKUP(K242,[1]IOT!$A:$E,5,0)</f>
        <v>#N/A</v>
      </c>
      <c r="AC242" s="78"/>
      <c r="AD242" s="78" t="e">
        <f>VLOOKUP(K242,[1]IOT!$A:$F,6,0)</f>
        <v>#N/A</v>
      </c>
      <c r="AE242" s="78"/>
      <c r="AF242" s="78"/>
      <c r="AG242" s="78"/>
      <c r="AH242" s="78" t="e">
        <f>VLOOKUP(K242,[1]IOT!$A:$G,7,0)</f>
        <v>#N/A</v>
      </c>
      <c r="AI242" s="78" t="e">
        <f>VLOOKUP(K242,[1]IOT!$A:$H,8,0)</f>
        <v>#N/A</v>
      </c>
      <c r="AJ242" s="78" t="e">
        <f>VLOOKUP(K242,[1]IOT!$A:$I,9,0)</f>
        <v>#N/A</v>
      </c>
      <c r="AK242" s="78" t="e">
        <f>VLOOKUP(K242,[1]IOT!$A:$J,10,0)</f>
        <v>#N/A</v>
      </c>
      <c r="AL242" s="78" t="e">
        <f>VLOOKUP(K242,[1]IOT!$A:$K,11,0)</f>
        <v>#N/A</v>
      </c>
      <c r="AM242" s="78"/>
      <c r="AN242" s="78"/>
      <c r="AO242" s="79">
        <f t="shared" si="35"/>
        <v>0</v>
      </c>
      <c r="AP242" s="80">
        <f t="shared" si="36"/>
        <v>0</v>
      </c>
      <c r="AQ242" s="77"/>
      <c r="AR242" s="6" t="str">
        <f t="shared" si="37"/>
        <v/>
      </c>
    </row>
    <row r="243" spans="1:44" s="6" customFormat="1" ht="47.25" customHeight="1" x14ac:dyDescent="0.35">
      <c r="A243" s="71"/>
      <c r="B243" s="68"/>
      <c r="C243" s="25"/>
      <c r="D243" s="25"/>
      <c r="E243" s="67" t="str">
        <f t="shared" si="33"/>
        <v/>
      </c>
      <c r="F243" s="62"/>
      <c r="G243" s="14"/>
      <c r="H243" s="65"/>
      <c r="I243" s="70"/>
      <c r="J243" s="14"/>
      <c r="K243" s="69"/>
      <c r="L243" s="15"/>
      <c r="M243" s="16"/>
      <c r="N243" s="17"/>
      <c r="O243" s="72"/>
      <c r="P243" s="18"/>
      <c r="Q243" s="60"/>
      <c r="R243" s="19"/>
      <c r="S243" s="18"/>
      <c r="T243" s="75"/>
      <c r="U243" s="20"/>
      <c r="V243" s="21"/>
      <c r="W243" s="22"/>
      <c r="Y243" s="78" t="e">
        <f>VLOOKUP(V243,[1]IOT!$A:$B,2,0)</f>
        <v>#N/A</v>
      </c>
      <c r="Z243" s="78">
        <f>IF(ISNA(VLOOKUP(K243,[2]Sheet1!$A:$B,2,0)),0,(VLOOKUP(K243,[2]Sheet1!$A:$B,2,0)))</f>
        <v>0</v>
      </c>
      <c r="AA243" s="78">
        <f t="shared" si="34"/>
        <v>0</v>
      </c>
      <c r="AB243" s="78" t="e">
        <f>VLOOKUP(K243,[1]IOT!$A:$E,5,0)</f>
        <v>#N/A</v>
      </c>
      <c r="AC243" s="78"/>
      <c r="AD243" s="78" t="e">
        <f>VLOOKUP(K243,[1]IOT!$A:$F,6,0)</f>
        <v>#N/A</v>
      </c>
      <c r="AE243" s="78"/>
      <c r="AF243" s="78"/>
      <c r="AG243" s="78"/>
      <c r="AH243" s="78" t="e">
        <f>VLOOKUP(K243,[1]IOT!$A:$G,7,0)</f>
        <v>#N/A</v>
      </c>
      <c r="AI243" s="78" t="e">
        <f>VLOOKUP(K243,[1]IOT!$A:$H,8,0)</f>
        <v>#N/A</v>
      </c>
      <c r="AJ243" s="78" t="e">
        <f>VLOOKUP(K243,[1]IOT!$A:$I,9,0)</f>
        <v>#N/A</v>
      </c>
      <c r="AK243" s="78" t="e">
        <f>VLOOKUP(K243,[1]IOT!$A:$J,10,0)</f>
        <v>#N/A</v>
      </c>
      <c r="AL243" s="78" t="e">
        <f>VLOOKUP(K243,[1]IOT!$A:$K,11,0)</f>
        <v>#N/A</v>
      </c>
      <c r="AM243" s="78"/>
      <c r="AN243" s="78"/>
      <c r="AO243" s="79">
        <f t="shared" si="35"/>
        <v>0</v>
      </c>
      <c r="AP243" s="80">
        <f t="shared" si="36"/>
        <v>0</v>
      </c>
      <c r="AQ243" s="77"/>
      <c r="AR243" s="6" t="str">
        <f t="shared" si="37"/>
        <v/>
      </c>
    </row>
    <row r="244" spans="1:44" s="6" customFormat="1" ht="47.25" customHeight="1" x14ac:dyDescent="0.35">
      <c r="A244" s="71"/>
      <c r="B244" s="68"/>
      <c r="C244" s="25"/>
      <c r="D244" s="25"/>
      <c r="E244" s="67" t="str">
        <f t="shared" si="33"/>
        <v/>
      </c>
      <c r="F244" s="62"/>
      <c r="G244" s="14"/>
      <c r="H244" s="65"/>
      <c r="I244" s="70"/>
      <c r="J244" s="14"/>
      <c r="K244" s="69"/>
      <c r="L244" s="15"/>
      <c r="M244" s="16"/>
      <c r="N244" s="17"/>
      <c r="O244" s="72"/>
      <c r="P244" s="18"/>
      <c r="Q244" s="60"/>
      <c r="R244" s="19"/>
      <c r="S244" s="18"/>
      <c r="T244" s="75"/>
      <c r="U244" s="20"/>
      <c r="V244" s="21"/>
      <c r="W244" s="22"/>
      <c r="Y244" s="78" t="e">
        <f>VLOOKUP(V244,[1]IOT!$A:$B,2,0)</f>
        <v>#N/A</v>
      </c>
      <c r="Z244" s="78">
        <f>IF(ISNA(VLOOKUP(K244,[2]Sheet1!$A:$B,2,0)),0,(VLOOKUP(K244,[2]Sheet1!$A:$B,2,0)))</f>
        <v>0</v>
      </c>
      <c r="AA244" s="78">
        <f t="shared" si="34"/>
        <v>0</v>
      </c>
      <c r="AB244" s="78" t="e">
        <f>VLOOKUP(K244,[1]IOT!$A:$E,5,0)</f>
        <v>#N/A</v>
      </c>
      <c r="AC244" s="78"/>
      <c r="AD244" s="78" t="e">
        <f>VLOOKUP(K244,[1]IOT!$A:$F,6,0)</f>
        <v>#N/A</v>
      </c>
      <c r="AE244" s="78"/>
      <c r="AF244" s="78"/>
      <c r="AG244" s="78"/>
      <c r="AH244" s="78" t="e">
        <f>VLOOKUP(K244,[1]IOT!$A:$G,7,0)</f>
        <v>#N/A</v>
      </c>
      <c r="AI244" s="78" t="e">
        <f>VLOOKUP(K244,[1]IOT!$A:$H,8,0)</f>
        <v>#N/A</v>
      </c>
      <c r="AJ244" s="78" t="e">
        <f>VLOOKUP(K244,[1]IOT!$A:$I,9,0)</f>
        <v>#N/A</v>
      </c>
      <c r="AK244" s="78" t="e">
        <f>VLOOKUP(K244,[1]IOT!$A:$J,10,0)</f>
        <v>#N/A</v>
      </c>
      <c r="AL244" s="78" t="e">
        <f>VLOOKUP(K244,[1]IOT!$A:$K,11,0)</f>
        <v>#N/A</v>
      </c>
      <c r="AM244" s="78"/>
      <c r="AN244" s="78"/>
      <c r="AO244" s="79">
        <f t="shared" si="35"/>
        <v>0</v>
      </c>
      <c r="AP244" s="80">
        <f t="shared" si="36"/>
        <v>0</v>
      </c>
      <c r="AQ244" s="77"/>
      <c r="AR244" s="6" t="str">
        <f t="shared" si="37"/>
        <v/>
      </c>
    </row>
    <row r="245" spans="1:44" s="6" customFormat="1" ht="47.25" customHeight="1" x14ac:dyDescent="0.35">
      <c r="A245" s="71"/>
      <c r="B245" s="68"/>
      <c r="C245" s="25"/>
      <c r="D245" s="25"/>
      <c r="E245" s="67" t="str">
        <f t="shared" si="33"/>
        <v/>
      </c>
      <c r="F245" s="62"/>
      <c r="G245" s="14"/>
      <c r="H245" s="65"/>
      <c r="I245" s="70"/>
      <c r="J245" s="14"/>
      <c r="K245" s="69"/>
      <c r="L245" s="15"/>
      <c r="M245" s="16"/>
      <c r="N245" s="17"/>
      <c r="O245" s="72"/>
      <c r="P245" s="18"/>
      <c r="Q245" s="60"/>
      <c r="R245" s="19"/>
      <c r="S245" s="18"/>
      <c r="T245" s="75"/>
      <c r="U245" s="20"/>
      <c r="V245" s="21"/>
      <c r="W245" s="22"/>
      <c r="Y245" s="78" t="e">
        <f>VLOOKUP(V245,[1]IOT!$A:$B,2,0)</f>
        <v>#N/A</v>
      </c>
      <c r="Z245" s="78">
        <f>IF(ISNA(VLOOKUP(K245,[2]Sheet1!$A:$B,2,0)),0,(VLOOKUP(K245,[2]Sheet1!$A:$B,2,0)))</f>
        <v>0</v>
      </c>
      <c r="AA245" s="78">
        <f t="shared" si="34"/>
        <v>0</v>
      </c>
      <c r="AB245" s="78" t="e">
        <f>VLOOKUP(K245,[1]IOT!$A:$E,5,0)</f>
        <v>#N/A</v>
      </c>
      <c r="AC245" s="78"/>
      <c r="AD245" s="78" t="e">
        <f>VLOOKUP(K245,[1]IOT!$A:$F,6,0)</f>
        <v>#N/A</v>
      </c>
      <c r="AE245" s="78"/>
      <c r="AF245" s="78"/>
      <c r="AG245" s="78"/>
      <c r="AH245" s="78" t="e">
        <f>VLOOKUP(K245,[1]IOT!$A:$G,7,0)</f>
        <v>#N/A</v>
      </c>
      <c r="AI245" s="78" t="e">
        <f>VLOOKUP(K245,[1]IOT!$A:$H,8,0)</f>
        <v>#N/A</v>
      </c>
      <c r="AJ245" s="78" t="e">
        <f>VLOOKUP(K245,[1]IOT!$A:$I,9,0)</f>
        <v>#N/A</v>
      </c>
      <c r="AK245" s="78" t="e">
        <f>VLOOKUP(K245,[1]IOT!$A:$J,10,0)</f>
        <v>#N/A</v>
      </c>
      <c r="AL245" s="78" t="e">
        <f>VLOOKUP(K245,[1]IOT!$A:$K,11,0)</f>
        <v>#N/A</v>
      </c>
      <c r="AM245" s="78"/>
      <c r="AN245" s="78"/>
      <c r="AO245" s="79">
        <f t="shared" si="35"/>
        <v>0</v>
      </c>
      <c r="AP245" s="80">
        <f t="shared" si="36"/>
        <v>0</v>
      </c>
      <c r="AQ245" s="77"/>
      <c r="AR245" s="6" t="str">
        <f t="shared" si="37"/>
        <v/>
      </c>
    </row>
    <row r="246" spans="1:44" s="6" customFormat="1" ht="47.25" customHeight="1" x14ac:dyDescent="0.35">
      <c r="A246" s="71"/>
      <c r="B246" s="68"/>
      <c r="C246" s="25"/>
      <c r="D246" s="25"/>
      <c r="E246" s="67" t="str">
        <f t="shared" si="33"/>
        <v/>
      </c>
      <c r="F246" s="62"/>
      <c r="G246" s="14"/>
      <c r="H246" s="65"/>
      <c r="I246" s="70"/>
      <c r="J246" s="14"/>
      <c r="K246" s="69"/>
      <c r="L246" s="15"/>
      <c r="M246" s="16"/>
      <c r="N246" s="17"/>
      <c r="O246" s="72"/>
      <c r="P246" s="18"/>
      <c r="Q246" s="60"/>
      <c r="R246" s="19"/>
      <c r="S246" s="18"/>
      <c r="T246" s="75"/>
      <c r="U246" s="20"/>
      <c r="V246" s="21"/>
      <c r="W246" s="22"/>
      <c r="Y246" s="78" t="e">
        <f>VLOOKUP(V246,[1]IOT!$A:$B,2,0)</f>
        <v>#N/A</v>
      </c>
      <c r="Z246" s="78">
        <f>IF(ISNA(VLOOKUP(K246,[2]Sheet1!$A:$B,2,0)),0,(VLOOKUP(K246,[2]Sheet1!$A:$B,2,0)))</f>
        <v>0</v>
      </c>
      <c r="AA246" s="78">
        <f t="shared" si="34"/>
        <v>0</v>
      </c>
      <c r="AB246" s="78" t="e">
        <f>VLOOKUP(K246,[1]IOT!$A:$E,5,0)</f>
        <v>#N/A</v>
      </c>
      <c r="AC246" s="78"/>
      <c r="AD246" s="78" t="e">
        <f>VLOOKUP(K246,[1]IOT!$A:$F,6,0)</f>
        <v>#N/A</v>
      </c>
      <c r="AE246" s="78"/>
      <c r="AF246" s="78"/>
      <c r="AG246" s="78"/>
      <c r="AH246" s="78" t="e">
        <f>VLOOKUP(K246,[1]IOT!$A:$G,7,0)</f>
        <v>#N/A</v>
      </c>
      <c r="AI246" s="78" t="e">
        <f>VLOOKUP(K246,[1]IOT!$A:$H,8,0)</f>
        <v>#N/A</v>
      </c>
      <c r="AJ246" s="78" t="e">
        <f>VLOOKUP(K246,[1]IOT!$A:$I,9,0)</f>
        <v>#N/A</v>
      </c>
      <c r="AK246" s="78" t="e">
        <f>VLOOKUP(K246,[1]IOT!$A:$J,10,0)</f>
        <v>#N/A</v>
      </c>
      <c r="AL246" s="78" t="e">
        <f>VLOOKUP(K246,[1]IOT!$A:$K,11,0)</f>
        <v>#N/A</v>
      </c>
      <c r="AM246" s="78"/>
      <c r="AN246" s="78"/>
      <c r="AO246" s="79">
        <f t="shared" si="35"/>
        <v>0</v>
      </c>
      <c r="AP246" s="80">
        <f t="shared" si="36"/>
        <v>0</v>
      </c>
      <c r="AQ246" s="77"/>
      <c r="AR246" s="6" t="str">
        <f t="shared" si="37"/>
        <v/>
      </c>
    </row>
    <row r="247" spans="1:44" s="6" customFormat="1" ht="47.25" customHeight="1" x14ac:dyDescent="0.35">
      <c r="A247" s="71"/>
      <c r="B247" s="68"/>
      <c r="C247" s="25"/>
      <c r="D247" s="25"/>
      <c r="E247" s="67" t="str">
        <f t="shared" si="33"/>
        <v/>
      </c>
      <c r="F247" s="62"/>
      <c r="G247" s="14"/>
      <c r="H247" s="65"/>
      <c r="I247" s="70"/>
      <c r="J247" s="14"/>
      <c r="K247" s="69"/>
      <c r="L247" s="15"/>
      <c r="M247" s="16"/>
      <c r="N247" s="17"/>
      <c r="O247" s="72"/>
      <c r="P247" s="18"/>
      <c r="Q247" s="60"/>
      <c r="R247" s="19"/>
      <c r="S247" s="18"/>
      <c r="T247" s="75"/>
      <c r="U247" s="20"/>
      <c r="V247" s="21"/>
      <c r="W247" s="22"/>
      <c r="Y247" s="78" t="e">
        <f>VLOOKUP(V247,[1]IOT!$A:$B,2,0)</f>
        <v>#N/A</v>
      </c>
      <c r="Z247" s="78">
        <f>IF(ISNA(VLOOKUP(K247,[2]Sheet1!$A:$B,2,0)),0,(VLOOKUP(K247,[2]Sheet1!$A:$B,2,0)))</f>
        <v>0</v>
      </c>
      <c r="AA247" s="78">
        <f t="shared" si="34"/>
        <v>0</v>
      </c>
      <c r="AB247" s="78" t="e">
        <f>VLOOKUP(K247,[1]IOT!$A:$E,5,0)</f>
        <v>#N/A</v>
      </c>
      <c r="AC247" s="78"/>
      <c r="AD247" s="78" t="e">
        <f>VLOOKUP(K247,[1]IOT!$A:$F,6,0)</f>
        <v>#N/A</v>
      </c>
      <c r="AE247" s="78"/>
      <c r="AF247" s="78"/>
      <c r="AG247" s="78"/>
      <c r="AH247" s="78" t="e">
        <f>VLOOKUP(K247,[1]IOT!$A:$G,7,0)</f>
        <v>#N/A</v>
      </c>
      <c r="AI247" s="78" t="e">
        <f>VLOOKUP(K247,[1]IOT!$A:$H,8,0)</f>
        <v>#N/A</v>
      </c>
      <c r="AJ247" s="78" t="e">
        <f>VLOOKUP(K247,[1]IOT!$A:$I,9,0)</f>
        <v>#N/A</v>
      </c>
      <c r="AK247" s="78" t="e">
        <f>VLOOKUP(K247,[1]IOT!$A:$J,10,0)</f>
        <v>#N/A</v>
      </c>
      <c r="AL247" s="78" t="e">
        <f>VLOOKUP(K247,[1]IOT!$A:$K,11,0)</f>
        <v>#N/A</v>
      </c>
      <c r="AM247" s="78"/>
      <c r="AN247" s="78"/>
      <c r="AO247" s="79">
        <f t="shared" si="35"/>
        <v>0</v>
      </c>
      <c r="AP247" s="80">
        <f t="shared" si="36"/>
        <v>0</v>
      </c>
      <c r="AQ247" s="77"/>
      <c r="AR247" s="6" t="str">
        <f t="shared" si="37"/>
        <v/>
      </c>
    </row>
    <row r="248" spans="1:44" s="6" customFormat="1" ht="47.25" customHeight="1" x14ac:dyDescent="0.35">
      <c r="A248" s="71"/>
      <c r="B248" s="68"/>
      <c r="C248" s="25"/>
      <c r="D248" s="25"/>
      <c r="E248" s="67" t="str">
        <f t="shared" si="33"/>
        <v/>
      </c>
      <c r="F248" s="62"/>
      <c r="G248" s="14"/>
      <c r="H248" s="65"/>
      <c r="I248" s="70"/>
      <c r="J248" s="14"/>
      <c r="K248" s="69"/>
      <c r="L248" s="15"/>
      <c r="M248" s="16"/>
      <c r="N248" s="17"/>
      <c r="O248" s="72"/>
      <c r="P248" s="18"/>
      <c r="Q248" s="60"/>
      <c r="R248" s="19"/>
      <c r="S248" s="18"/>
      <c r="T248" s="75"/>
      <c r="U248" s="20"/>
      <c r="V248" s="21"/>
      <c r="W248" s="22"/>
      <c r="Y248" s="78" t="e">
        <f>VLOOKUP(V248,[1]IOT!$A:$B,2,0)</f>
        <v>#N/A</v>
      </c>
      <c r="Z248" s="78">
        <f>IF(ISNA(VLOOKUP(K248,[2]Sheet1!$A:$B,2,0)),0,(VLOOKUP(K248,[2]Sheet1!$A:$B,2,0)))</f>
        <v>0</v>
      </c>
      <c r="AA248" s="78">
        <f t="shared" si="34"/>
        <v>0</v>
      </c>
      <c r="AB248" s="78" t="e">
        <f>VLOOKUP(K248,[1]IOT!$A:$E,5,0)</f>
        <v>#N/A</v>
      </c>
      <c r="AC248" s="78"/>
      <c r="AD248" s="78" t="e">
        <f>VLOOKUP(K248,[1]IOT!$A:$F,6,0)</f>
        <v>#N/A</v>
      </c>
      <c r="AE248" s="78"/>
      <c r="AF248" s="78"/>
      <c r="AG248" s="78"/>
      <c r="AH248" s="78" t="e">
        <f>VLOOKUP(K248,[1]IOT!$A:$G,7,0)</f>
        <v>#N/A</v>
      </c>
      <c r="AI248" s="78" t="e">
        <f>VLOOKUP(K248,[1]IOT!$A:$H,8,0)</f>
        <v>#N/A</v>
      </c>
      <c r="AJ248" s="78" t="e">
        <f>VLOOKUP(K248,[1]IOT!$A:$I,9,0)</f>
        <v>#N/A</v>
      </c>
      <c r="AK248" s="78" t="e">
        <f>VLOOKUP(K248,[1]IOT!$A:$J,10,0)</f>
        <v>#N/A</v>
      </c>
      <c r="AL248" s="78" t="e">
        <f>VLOOKUP(K248,[1]IOT!$A:$K,11,0)</f>
        <v>#N/A</v>
      </c>
      <c r="AM248" s="78"/>
      <c r="AN248" s="78"/>
      <c r="AO248" s="79">
        <f t="shared" si="35"/>
        <v>0</v>
      </c>
      <c r="AP248" s="80">
        <f t="shared" si="36"/>
        <v>0</v>
      </c>
      <c r="AQ248" s="77"/>
      <c r="AR248" s="6" t="str">
        <f t="shared" si="37"/>
        <v/>
      </c>
    </row>
    <row r="249" spans="1:44" s="6" customFormat="1" ht="47.25" customHeight="1" x14ac:dyDescent="0.35">
      <c r="A249" s="71"/>
      <c r="B249" s="68"/>
      <c r="C249" s="25"/>
      <c r="D249" s="25"/>
      <c r="E249" s="67" t="str">
        <f t="shared" si="33"/>
        <v/>
      </c>
      <c r="F249" s="62"/>
      <c r="G249" s="14"/>
      <c r="H249" s="65"/>
      <c r="I249" s="70"/>
      <c r="J249" s="14"/>
      <c r="K249" s="69"/>
      <c r="L249" s="15"/>
      <c r="M249" s="16"/>
      <c r="N249" s="17"/>
      <c r="O249" s="72"/>
      <c r="P249" s="18"/>
      <c r="Q249" s="60"/>
      <c r="R249" s="19"/>
      <c r="S249" s="18"/>
      <c r="T249" s="75"/>
      <c r="U249" s="20"/>
      <c r="V249" s="21"/>
      <c r="W249" s="22"/>
      <c r="Y249" s="78" t="e">
        <f>VLOOKUP(V249,[1]IOT!$A:$B,2,0)</f>
        <v>#N/A</v>
      </c>
      <c r="Z249" s="78">
        <f>IF(ISNA(VLOOKUP(K249,[2]Sheet1!$A:$B,2,0)),0,(VLOOKUP(K249,[2]Sheet1!$A:$B,2,0)))</f>
        <v>0</v>
      </c>
      <c r="AA249" s="78">
        <f t="shared" si="34"/>
        <v>0</v>
      </c>
      <c r="AB249" s="78" t="e">
        <f>VLOOKUP(K249,[1]IOT!$A:$E,5,0)</f>
        <v>#N/A</v>
      </c>
      <c r="AC249" s="78"/>
      <c r="AD249" s="78" t="e">
        <f>VLOOKUP(K249,[1]IOT!$A:$F,6,0)</f>
        <v>#N/A</v>
      </c>
      <c r="AE249" s="78"/>
      <c r="AF249" s="78"/>
      <c r="AG249" s="78"/>
      <c r="AH249" s="78" t="e">
        <f>VLOOKUP(K249,[1]IOT!$A:$G,7,0)</f>
        <v>#N/A</v>
      </c>
      <c r="AI249" s="78" t="e">
        <f>VLOOKUP(K249,[1]IOT!$A:$H,8,0)</f>
        <v>#N/A</v>
      </c>
      <c r="AJ249" s="78" t="e">
        <f>VLOOKUP(K249,[1]IOT!$A:$I,9,0)</f>
        <v>#N/A</v>
      </c>
      <c r="AK249" s="78" t="e">
        <f>VLOOKUP(K249,[1]IOT!$A:$J,10,0)</f>
        <v>#N/A</v>
      </c>
      <c r="AL249" s="78" t="e">
        <f>VLOOKUP(K249,[1]IOT!$A:$K,11,0)</f>
        <v>#N/A</v>
      </c>
      <c r="AM249" s="78"/>
      <c r="AN249" s="78"/>
      <c r="AO249" s="79">
        <f t="shared" si="35"/>
        <v>0</v>
      </c>
      <c r="AP249" s="80">
        <f t="shared" si="36"/>
        <v>0</v>
      </c>
      <c r="AQ249" s="77"/>
      <c r="AR249" s="6" t="str">
        <f t="shared" si="37"/>
        <v/>
      </c>
    </row>
    <row r="250" spans="1:44" s="6" customFormat="1" ht="47.25" customHeight="1" x14ac:dyDescent="0.35">
      <c r="A250" s="71"/>
      <c r="B250" s="68"/>
      <c r="C250" s="25"/>
      <c r="D250" s="25"/>
      <c r="E250" s="67" t="str">
        <f t="shared" si="33"/>
        <v/>
      </c>
      <c r="F250" s="62"/>
      <c r="G250" s="14"/>
      <c r="H250" s="65"/>
      <c r="I250" s="70"/>
      <c r="J250" s="14"/>
      <c r="K250" s="69"/>
      <c r="L250" s="15"/>
      <c r="M250" s="16"/>
      <c r="N250" s="17"/>
      <c r="O250" s="72"/>
      <c r="P250" s="18"/>
      <c r="Q250" s="60"/>
      <c r="R250" s="19"/>
      <c r="S250" s="18"/>
      <c r="T250" s="75"/>
      <c r="U250" s="20"/>
      <c r="V250" s="21"/>
      <c r="W250" s="22"/>
      <c r="Y250" s="78" t="e">
        <f>VLOOKUP(V250,[1]IOT!$A:$B,2,0)</f>
        <v>#N/A</v>
      </c>
      <c r="Z250" s="78">
        <f>IF(ISNA(VLOOKUP(K250,[2]Sheet1!$A:$B,2,0)),0,(VLOOKUP(K250,[2]Sheet1!$A:$B,2,0)))</f>
        <v>0</v>
      </c>
      <c r="AA250" s="78">
        <f t="shared" si="34"/>
        <v>0</v>
      </c>
      <c r="AB250" s="78" t="e">
        <f>VLOOKUP(K250,[1]IOT!$A:$E,5,0)</f>
        <v>#N/A</v>
      </c>
      <c r="AC250" s="78"/>
      <c r="AD250" s="78" t="e">
        <f>VLOOKUP(K250,[1]IOT!$A:$F,6,0)</f>
        <v>#N/A</v>
      </c>
      <c r="AE250" s="78"/>
      <c r="AF250" s="78"/>
      <c r="AG250" s="78"/>
      <c r="AH250" s="78" t="e">
        <f>VLOOKUP(K250,[1]IOT!$A:$G,7,0)</f>
        <v>#N/A</v>
      </c>
      <c r="AI250" s="78" t="e">
        <f>VLOOKUP(K250,[1]IOT!$A:$H,8,0)</f>
        <v>#N/A</v>
      </c>
      <c r="AJ250" s="78" t="e">
        <f>VLOOKUP(K250,[1]IOT!$A:$I,9,0)</f>
        <v>#N/A</v>
      </c>
      <c r="AK250" s="78" t="e">
        <f>VLOOKUP(K250,[1]IOT!$A:$J,10,0)</f>
        <v>#N/A</v>
      </c>
      <c r="AL250" s="78" t="e">
        <f>VLOOKUP(K250,[1]IOT!$A:$K,11,0)</f>
        <v>#N/A</v>
      </c>
      <c r="AM250" s="78"/>
      <c r="AN250" s="78"/>
      <c r="AO250" s="79">
        <f t="shared" si="35"/>
        <v>0</v>
      </c>
      <c r="AP250" s="80">
        <f t="shared" si="36"/>
        <v>0</v>
      </c>
      <c r="AQ250" s="77"/>
      <c r="AR250" s="6" t="str">
        <f t="shared" si="37"/>
        <v/>
      </c>
    </row>
    <row r="251" spans="1:44" s="6" customFormat="1" ht="47.25" customHeight="1" x14ac:dyDescent="0.35">
      <c r="A251" s="71"/>
      <c r="B251" s="68"/>
      <c r="C251" s="25"/>
      <c r="D251" s="25"/>
      <c r="E251" s="67" t="str">
        <f t="shared" si="33"/>
        <v/>
      </c>
      <c r="F251" s="62"/>
      <c r="G251" s="14"/>
      <c r="H251" s="65"/>
      <c r="I251" s="70"/>
      <c r="J251" s="14"/>
      <c r="K251" s="69"/>
      <c r="L251" s="15"/>
      <c r="M251" s="16"/>
      <c r="N251" s="17"/>
      <c r="O251" s="72"/>
      <c r="P251" s="18"/>
      <c r="Q251" s="60"/>
      <c r="R251" s="19"/>
      <c r="S251" s="18"/>
      <c r="T251" s="75"/>
      <c r="U251" s="20"/>
      <c r="V251" s="21"/>
      <c r="W251" s="22"/>
      <c r="Y251" s="78" t="e">
        <f>VLOOKUP(V251,[1]IOT!$A:$B,2,0)</f>
        <v>#N/A</v>
      </c>
      <c r="Z251" s="78">
        <f>IF(ISNA(VLOOKUP(K251,[2]Sheet1!$A:$B,2,0)),0,(VLOOKUP(K251,[2]Sheet1!$A:$B,2,0)))</f>
        <v>0</v>
      </c>
      <c r="AA251" s="78">
        <f t="shared" si="34"/>
        <v>0</v>
      </c>
      <c r="AB251" s="78" t="e">
        <f>VLOOKUP(K251,[1]IOT!$A:$E,5,0)</f>
        <v>#N/A</v>
      </c>
      <c r="AC251" s="78"/>
      <c r="AD251" s="78" t="e">
        <f>VLOOKUP(K251,[1]IOT!$A:$F,6,0)</f>
        <v>#N/A</v>
      </c>
      <c r="AE251" s="78"/>
      <c r="AF251" s="78"/>
      <c r="AG251" s="78"/>
      <c r="AH251" s="78" t="e">
        <f>VLOOKUP(K251,[1]IOT!$A:$G,7,0)</f>
        <v>#N/A</v>
      </c>
      <c r="AI251" s="78" t="e">
        <f>VLOOKUP(K251,[1]IOT!$A:$H,8,0)</f>
        <v>#N/A</v>
      </c>
      <c r="AJ251" s="78" t="e">
        <f>VLOOKUP(K251,[1]IOT!$A:$I,9,0)</f>
        <v>#N/A</v>
      </c>
      <c r="AK251" s="78" t="e">
        <f>VLOOKUP(K251,[1]IOT!$A:$J,10,0)</f>
        <v>#N/A</v>
      </c>
      <c r="AL251" s="78" t="e">
        <f>VLOOKUP(K251,[1]IOT!$A:$K,11,0)</f>
        <v>#N/A</v>
      </c>
      <c r="AM251" s="78"/>
      <c r="AN251" s="78"/>
      <c r="AO251" s="79">
        <f t="shared" si="35"/>
        <v>0</v>
      </c>
      <c r="AP251" s="80">
        <f t="shared" si="36"/>
        <v>0</v>
      </c>
      <c r="AQ251" s="77"/>
      <c r="AR251" s="6" t="str">
        <f t="shared" si="37"/>
        <v/>
      </c>
    </row>
    <row r="252" spans="1:44" s="6" customFormat="1" ht="47.25" customHeight="1" x14ac:dyDescent="0.35">
      <c r="A252" s="71"/>
      <c r="B252" s="68"/>
      <c r="C252" s="25"/>
      <c r="D252" s="25"/>
      <c r="E252" s="67" t="str">
        <f t="shared" si="33"/>
        <v/>
      </c>
      <c r="F252" s="62"/>
      <c r="G252" s="14"/>
      <c r="H252" s="65"/>
      <c r="I252" s="70"/>
      <c r="J252" s="14"/>
      <c r="K252" s="69"/>
      <c r="L252" s="15"/>
      <c r="M252" s="16"/>
      <c r="N252" s="17"/>
      <c r="O252" s="72"/>
      <c r="P252" s="18"/>
      <c r="Q252" s="60"/>
      <c r="R252" s="19"/>
      <c r="S252" s="18"/>
      <c r="T252" s="75"/>
      <c r="U252" s="20"/>
      <c r="V252" s="21"/>
      <c r="W252" s="22"/>
      <c r="Y252" s="78" t="e">
        <f>VLOOKUP(V252,[1]IOT!$A:$B,2,0)</f>
        <v>#N/A</v>
      </c>
      <c r="Z252" s="78">
        <f>IF(ISNA(VLOOKUP(K252,[2]Sheet1!$A:$B,2,0)),0,(VLOOKUP(K252,[2]Sheet1!$A:$B,2,0)))</f>
        <v>0</v>
      </c>
      <c r="AA252" s="78">
        <f t="shared" si="34"/>
        <v>0</v>
      </c>
      <c r="AB252" s="78" t="e">
        <f>VLOOKUP(K252,[1]IOT!$A:$E,5,0)</f>
        <v>#N/A</v>
      </c>
      <c r="AC252" s="78"/>
      <c r="AD252" s="78" t="e">
        <f>VLOOKUP(K252,[1]IOT!$A:$F,6,0)</f>
        <v>#N/A</v>
      </c>
      <c r="AE252" s="78"/>
      <c r="AF252" s="78"/>
      <c r="AG252" s="78"/>
      <c r="AH252" s="78" t="e">
        <f>VLOOKUP(K252,[1]IOT!$A:$G,7,0)</f>
        <v>#N/A</v>
      </c>
      <c r="AI252" s="78" t="e">
        <f>VLOOKUP(K252,[1]IOT!$A:$H,8,0)</f>
        <v>#N/A</v>
      </c>
      <c r="AJ252" s="78" t="e">
        <f>VLOOKUP(K252,[1]IOT!$A:$I,9,0)</f>
        <v>#N/A</v>
      </c>
      <c r="AK252" s="78" t="e">
        <f>VLOOKUP(K252,[1]IOT!$A:$J,10,0)</f>
        <v>#N/A</v>
      </c>
      <c r="AL252" s="78" t="e">
        <f>VLOOKUP(K252,[1]IOT!$A:$K,11,0)</f>
        <v>#N/A</v>
      </c>
      <c r="AM252" s="78"/>
      <c r="AN252" s="78"/>
      <c r="AO252" s="79">
        <f t="shared" si="35"/>
        <v>0</v>
      </c>
      <c r="AP252" s="80">
        <f t="shared" si="36"/>
        <v>0</v>
      </c>
      <c r="AQ252" s="77"/>
      <c r="AR252" s="6" t="str">
        <f t="shared" si="37"/>
        <v/>
      </c>
    </row>
    <row r="253" spans="1:44" s="6" customFormat="1" ht="47.25" customHeight="1" x14ac:dyDescent="0.35">
      <c r="A253" s="71"/>
      <c r="B253" s="68"/>
      <c r="C253" s="25"/>
      <c r="D253" s="25"/>
      <c r="E253" s="67" t="str">
        <f t="shared" si="33"/>
        <v/>
      </c>
      <c r="F253" s="62"/>
      <c r="G253" s="14"/>
      <c r="H253" s="65"/>
      <c r="I253" s="70"/>
      <c r="J253" s="14"/>
      <c r="K253" s="69"/>
      <c r="L253" s="15"/>
      <c r="M253" s="16"/>
      <c r="N253" s="17"/>
      <c r="O253" s="72"/>
      <c r="P253" s="18"/>
      <c r="Q253" s="60"/>
      <c r="R253" s="19"/>
      <c r="S253" s="18"/>
      <c r="T253" s="75"/>
      <c r="U253" s="20"/>
      <c r="V253" s="21"/>
      <c r="W253" s="22"/>
      <c r="Y253" s="78" t="e">
        <f>VLOOKUP(V253,[1]IOT!$A:$B,2,0)</f>
        <v>#N/A</v>
      </c>
      <c r="Z253" s="78">
        <f>IF(ISNA(VLOOKUP(K253,[2]Sheet1!$A:$B,2,0)),0,(VLOOKUP(K253,[2]Sheet1!$A:$B,2,0)))</f>
        <v>0</v>
      </c>
      <c r="AA253" s="78">
        <f t="shared" si="34"/>
        <v>0</v>
      </c>
      <c r="AB253" s="78" t="e">
        <f>VLOOKUP(K253,[1]IOT!$A:$E,5,0)</f>
        <v>#N/A</v>
      </c>
      <c r="AC253" s="78"/>
      <c r="AD253" s="78" t="e">
        <f>VLOOKUP(K253,[1]IOT!$A:$F,6,0)</f>
        <v>#N/A</v>
      </c>
      <c r="AE253" s="78"/>
      <c r="AF253" s="78"/>
      <c r="AG253" s="78"/>
      <c r="AH253" s="78" t="e">
        <f>VLOOKUP(K253,[1]IOT!$A:$G,7,0)</f>
        <v>#N/A</v>
      </c>
      <c r="AI253" s="78" t="e">
        <f>VLOOKUP(K253,[1]IOT!$A:$H,8,0)</f>
        <v>#N/A</v>
      </c>
      <c r="AJ253" s="78" t="e">
        <f>VLOOKUP(K253,[1]IOT!$A:$I,9,0)</f>
        <v>#N/A</v>
      </c>
      <c r="AK253" s="78" t="e">
        <f>VLOOKUP(K253,[1]IOT!$A:$J,10,0)</f>
        <v>#N/A</v>
      </c>
      <c r="AL253" s="78" t="e">
        <f>VLOOKUP(K253,[1]IOT!$A:$K,11,0)</f>
        <v>#N/A</v>
      </c>
      <c r="AM253" s="78"/>
      <c r="AN253" s="78"/>
      <c r="AO253" s="79">
        <f t="shared" si="35"/>
        <v>0</v>
      </c>
      <c r="AP253" s="80">
        <f t="shared" si="36"/>
        <v>0</v>
      </c>
      <c r="AQ253" s="77"/>
      <c r="AR253" s="6" t="str">
        <f t="shared" si="37"/>
        <v/>
      </c>
    </row>
    <row r="254" spans="1:44" s="6" customFormat="1" ht="47.25" customHeight="1" x14ac:dyDescent="0.35">
      <c r="A254" s="71"/>
      <c r="B254" s="68"/>
      <c r="C254" s="25"/>
      <c r="D254" s="25"/>
      <c r="E254" s="67" t="str">
        <f t="shared" si="33"/>
        <v/>
      </c>
      <c r="F254" s="62"/>
      <c r="G254" s="14"/>
      <c r="H254" s="65"/>
      <c r="I254" s="70"/>
      <c r="J254" s="14"/>
      <c r="K254" s="69"/>
      <c r="L254" s="15"/>
      <c r="M254" s="16"/>
      <c r="N254" s="17"/>
      <c r="O254" s="72"/>
      <c r="P254" s="18"/>
      <c r="Q254" s="60"/>
      <c r="R254" s="19"/>
      <c r="S254" s="18"/>
      <c r="T254" s="75"/>
      <c r="U254" s="20"/>
      <c r="V254" s="21"/>
      <c r="W254" s="22"/>
      <c r="Y254" s="78" t="e">
        <f>VLOOKUP(V254,[1]IOT!$A:$B,2,0)</f>
        <v>#N/A</v>
      </c>
      <c r="Z254" s="78">
        <f>IF(ISNA(VLOOKUP(K254,[2]Sheet1!$A:$B,2,0)),0,(VLOOKUP(K254,[2]Sheet1!$A:$B,2,0)))</f>
        <v>0</v>
      </c>
      <c r="AA254" s="78">
        <f t="shared" si="34"/>
        <v>0</v>
      </c>
      <c r="AB254" s="78" t="e">
        <f>VLOOKUP(K254,[1]IOT!$A:$E,5,0)</f>
        <v>#N/A</v>
      </c>
      <c r="AC254" s="78"/>
      <c r="AD254" s="78" t="e">
        <f>VLOOKUP(K254,[1]IOT!$A:$F,6,0)</f>
        <v>#N/A</v>
      </c>
      <c r="AE254" s="78"/>
      <c r="AF254" s="78"/>
      <c r="AG254" s="78"/>
      <c r="AH254" s="78" t="e">
        <f>VLOOKUP(K254,[1]IOT!$A:$G,7,0)</f>
        <v>#N/A</v>
      </c>
      <c r="AI254" s="78" t="e">
        <f>VLOOKUP(K254,[1]IOT!$A:$H,8,0)</f>
        <v>#N/A</v>
      </c>
      <c r="AJ254" s="78" t="e">
        <f>VLOOKUP(K254,[1]IOT!$A:$I,9,0)</f>
        <v>#N/A</v>
      </c>
      <c r="AK254" s="78" t="e">
        <f>VLOOKUP(K254,[1]IOT!$A:$J,10,0)</f>
        <v>#N/A</v>
      </c>
      <c r="AL254" s="78" t="e">
        <f>VLOOKUP(K254,[1]IOT!$A:$K,11,0)</f>
        <v>#N/A</v>
      </c>
      <c r="AM254" s="78"/>
      <c r="AN254" s="78"/>
      <c r="AO254" s="79">
        <f t="shared" si="35"/>
        <v>0</v>
      </c>
      <c r="AP254" s="80">
        <f t="shared" si="36"/>
        <v>0</v>
      </c>
      <c r="AQ254" s="77"/>
      <c r="AR254" s="6" t="str">
        <f t="shared" si="37"/>
        <v/>
      </c>
    </row>
    <row r="255" spans="1:44" s="6" customFormat="1" ht="47.25" customHeight="1" x14ac:dyDescent="0.35">
      <c r="A255" s="71"/>
      <c r="B255" s="68"/>
      <c r="C255" s="25"/>
      <c r="D255" s="25"/>
      <c r="E255" s="67"/>
      <c r="F255" s="62"/>
      <c r="G255" s="14"/>
      <c r="H255" s="65"/>
      <c r="I255" s="70"/>
      <c r="J255" s="14"/>
      <c r="K255" s="69"/>
      <c r="L255" s="15"/>
      <c r="M255" s="16"/>
      <c r="N255" s="17"/>
      <c r="O255" s="72"/>
      <c r="P255" s="18"/>
      <c r="Q255" s="60"/>
      <c r="R255" s="19"/>
      <c r="S255" s="18"/>
      <c r="T255" s="75"/>
      <c r="U255" s="20"/>
      <c r="V255" s="21"/>
      <c r="W255" s="22"/>
      <c r="Y255" s="78" t="e">
        <f>VLOOKUP(V255,[1]IOT!$A:$B,2,0)</f>
        <v>#N/A</v>
      </c>
      <c r="Z255" s="78">
        <f>IF(ISNA(VLOOKUP(K255,[2]Sheet1!$A:$B,2,0)),0,(VLOOKUP(K255,[2]Sheet1!$A:$B,2,0)))</f>
        <v>0</v>
      </c>
      <c r="AA255" s="78">
        <f t="shared" ref="AA255:AA290" si="38">IF(ISNA(VLOOKUP(Y255,$Y$1:$Z$2,2,0)),0,(VLOOKUP(Y255,$Y$1:$Z$2,2,0)))</f>
        <v>0</v>
      </c>
      <c r="AB255" s="78" t="e">
        <f>VLOOKUP(K255,[1]IOT!$A:$E,5,0)</f>
        <v>#N/A</v>
      </c>
      <c r="AC255" s="78"/>
      <c r="AD255" s="78" t="e">
        <f>VLOOKUP(K255,[1]IOT!$A:$F,6,0)</f>
        <v>#N/A</v>
      </c>
      <c r="AE255" s="78"/>
      <c r="AF255" s="78"/>
      <c r="AG255" s="78"/>
      <c r="AH255" s="78" t="e">
        <f>VLOOKUP(K255,[1]IOT!$A:$G,7,0)</f>
        <v>#N/A</v>
      </c>
      <c r="AI255" s="78" t="e">
        <f>VLOOKUP(K255,[1]IOT!$A:$H,8,0)</f>
        <v>#N/A</v>
      </c>
      <c r="AJ255" s="78" t="e">
        <f>VLOOKUP(K255,[1]IOT!$A:$I,9,0)</f>
        <v>#N/A</v>
      </c>
      <c r="AK255" s="78" t="e">
        <f>VLOOKUP(K255,[1]IOT!$A:$J,10,0)</f>
        <v>#N/A</v>
      </c>
      <c r="AL255" s="78" t="e">
        <f>VLOOKUP(K255,[1]IOT!$A:$K,11,0)</f>
        <v>#N/A</v>
      </c>
      <c r="AM255" s="78"/>
      <c r="AN255" s="78"/>
      <c r="AO255" s="79">
        <f t="shared" ref="AO255:AO290" si="39">C255</f>
        <v>0</v>
      </c>
      <c r="AP255" s="80">
        <f t="shared" ref="AP255:AP290" si="40">M255</f>
        <v>0</v>
      </c>
      <c r="AQ255" s="77"/>
      <c r="AR255" s="6" t="str">
        <f t="shared" ref="AR255:AR290" si="41">B255&amp;K255</f>
        <v/>
      </c>
    </row>
    <row r="256" spans="1:44" s="6" customFormat="1" ht="47.25" customHeight="1" x14ac:dyDescent="0.35">
      <c r="A256" s="71"/>
      <c r="B256" s="68"/>
      <c r="C256" s="25"/>
      <c r="D256" s="25"/>
      <c r="E256" s="67"/>
      <c r="F256" s="62"/>
      <c r="G256" s="14"/>
      <c r="H256" s="65"/>
      <c r="I256" s="70"/>
      <c r="J256" s="14"/>
      <c r="K256" s="69"/>
      <c r="L256" s="15"/>
      <c r="M256" s="16"/>
      <c r="N256" s="17"/>
      <c r="O256" s="72"/>
      <c r="P256" s="18"/>
      <c r="Q256" s="60"/>
      <c r="R256" s="19"/>
      <c r="S256" s="18"/>
      <c r="T256" s="75"/>
      <c r="U256" s="20"/>
      <c r="V256" s="21"/>
      <c r="W256" s="22"/>
      <c r="Y256" s="78" t="e">
        <f>VLOOKUP(V256,[1]IOT!$A:$B,2,0)</f>
        <v>#N/A</v>
      </c>
      <c r="Z256" s="78">
        <f>IF(ISNA(VLOOKUP(K256,[2]Sheet1!$A:$B,2,0)),0,(VLOOKUP(K256,[2]Sheet1!$A:$B,2,0)))</f>
        <v>0</v>
      </c>
      <c r="AA256" s="78">
        <f t="shared" si="38"/>
        <v>0</v>
      </c>
      <c r="AB256" s="78" t="e">
        <f>VLOOKUP(K256,[1]IOT!$A:$E,5,0)</f>
        <v>#N/A</v>
      </c>
      <c r="AC256" s="78"/>
      <c r="AD256" s="78" t="e">
        <f>VLOOKUP(K256,[1]IOT!$A:$F,6,0)</f>
        <v>#N/A</v>
      </c>
      <c r="AE256" s="78"/>
      <c r="AF256" s="78"/>
      <c r="AG256" s="78"/>
      <c r="AH256" s="78" t="e">
        <f>VLOOKUP(K256,[1]IOT!$A:$G,7,0)</f>
        <v>#N/A</v>
      </c>
      <c r="AI256" s="78" t="e">
        <f>VLOOKUP(K256,[1]IOT!$A:$H,8,0)</f>
        <v>#N/A</v>
      </c>
      <c r="AJ256" s="78" t="e">
        <f>VLOOKUP(K256,[1]IOT!$A:$I,9,0)</f>
        <v>#N/A</v>
      </c>
      <c r="AK256" s="78" t="e">
        <f>VLOOKUP(K256,[1]IOT!$A:$J,10,0)</f>
        <v>#N/A</v>
      </c>
      <c r="AL256" s="78" t="e">
        <f>VLOOKUP(K256,[1]IOT!$A:$K,11,0)</f>
        <v>#N/A</v>
      </c>
      <c r="AM256" s="78"/>
      <c r="AN256" s="78"/>
      <c r="AO256" s="79">
        <f t="shared" si="39"/>
        <v>0</v>
      </c>
      <c r="AP256" s="80">
        <f t="shared" si="40"/>
        <v>0</v>
      </c>
      <c r="AQ256" s="77"/>
      <c r="AR256" s="6" t="str">
        <f t="shared" si="41"/>
        <v/>
      </c>
    </row>
    <row r="257" spans="1:44" s="6" customFormat="1" ht="47.25" customHeight="1" x14ac:dyDescent="0.35">
      <c r="A257" s="71"/>
      <c r="B257" s="68"/>
      <c r="C257" s="25"/>
      <c r="D257" s="25"/>
      <c r="E257" s="67"/>
      <c r="F257" s="62"/>
      <c r="G257" s="14"/>
      <c r="H257" s="65"/>
      <c r="I257" s="70"/>
      <c r="J257" s="14"/>
      <c r="K257" s="69"/>
      <c r="L257" s="15"/>
      <c r="M257" s="16"/>
      <c r="N257" s="17"/>
      <c r="O257" s="72"/>
      <c r="P257" s="18"/>
      <c r="Q257" s="60"/>
      <c r="R257" s="19"/>
      <c r="S257" s="18"/>
      <c r="T257" s="75"/>
      <c r="U257" s="20"/>
      <c r="V257" s="21"/>
      <c r="W257" s="22"/>
      <c r="Y257" s="78" t="e">
        <f>VLOOKUP(V257,[1]IOT!$A:$B,2,0)</f>
        <v>#N/A</v>
      </c>
      <c r="Z257" s="78">
        <f>IF(ISNA(VLOOKUP(K257,[2]Sheet1!$A:$B,2,0)),0,(VLOOKUP(K257,[2]Sheet1!$A:$B,2,0)))</f>
        <v>0</v>
      </c>
      <c r="AA257" s="78">
        <f t="shared" si="38"/>
        <v>0</v>
      </c>
      <c r="AB257" s="78" t="e">
        <f>VLOOKUP(K257,[1]IOT!$A:$E,5,0)</f>
        <v>#N/A</v>
      </c>
      <c r="AC257" s="78"/>
      <c r="AD257" s="78" t="e">
        <f>VLOOKUP(K257,[1]IOT!$A:$F,6,0)</f>
        <v>#N/A</v>
      </c>
      <c r="AE257" s="78"/>
      <c r="AF257" s="78"/>
      <c r="AG257" s="78"/>
      <c r="AH257" s="78" t="e">
        <f>VLOOKUP(K257,[1]IOT!$A:$G,7,0)</f>
        <v>#N/A</v>
      </c>
      <c r="AI257" s="78" t="e">
        <f>VLOOKUP(K257,[1]IOT!$A:$H,8,0)</f>
        <v>#N/A</v>
      </c>
      <c r="AJ257" s="78" t="e">
        <f>VLOOKUP(K257,[1]IOT!$A:$I,9,0)</f>
        <v>#N/A</v>
      </c>
      <c r="AK257" s="78" t="e">
        <f>VLOOKUP(K257,[1]IOT!$A:$J,10,0)</f>
        <v>#N/A</v>
      </c>
      <c r="AL257" s="78" t="e">
        <f>VLOOKUP(K257,[1]IOT!$A:$K,11,0)</f>
        <v>#N/A</v>
      </c>
      <c r="AM257" s="78"/>
      <c r="AN257" s="78"/>
      <c r="AO257" s="79">
        <f t="shared" si="39"/>
        <v>0</v>
      </c>
      <c r="AP257" s="80">
        <f t="shared" si="40"/>
        <v>0</v>
      </c>
      <c r="AQ257" s="77"/>
      <c r="AR257" s="6" t="str">
        <f t="shared" si="41"/>
        <v/>
      </c>
    </row>
    <row r="258" spans="1:44" s="6" customFormat="1" ht="47.25" customHeight="1" x14ac:dyDescent="0.35">
      <c r="A258" s="71"/>
      <c r="B258" s="68"/>
      <c r="C258" s="25"/>
      <c r="D258" s="25"/>
      <c r="E258" s="67"/>
      <c r="F258" s="62"/>
      <c r="G258" s="14"/>
      <c r="H258" s="65"/>
      <c r="I258" s="70"/>
      <c r="J258" s="14"/>
      <c r="K258" s="69"/>
      <c r="L258" s="15"/>
      <c r="M258" s="16"/>
      <c r="N258" s="17"/>
      <c r="O258" s="72"/>
      <c r="P258" s="18"/>
      <c r="Q258" s="60"/>
      <c r="R258" s="19"/>
      <c r="S258" s="18"/>
      <c r="T258" s="75"/>
      <c r="U258" s="20"/>
      <c r="V258" s="21"/>
      <c r="W258" s="22"/>
      <c r="Y258" s="78" t="e">
        <f>VLOOKUP(V258,[1]IOT!$A:$B,2,0)</f>
        <v>#N/A</v>
      </c>
      <c r="Z258" s="78">
        <f>IF(ISNA(VLOOKUP(K258,[2]Sheet1!$A:$B,2,0)),0,(VLOOKUP(K258,[2]Sheet1!$A:$B,2,0)))</f>
        <v>0</v>
      </c>
      <c r="AA258" s="78">
        <f t="shared" si="38"/>
        <v>0</v>
      </c>
      <c r="AB258" s="78" t="e">
        <f>VLOOKUP(K258,[1]IOT!$A:$E,5,0)</f>
        <v>#N/A</v>
      </c>
      <c r="AC258" s="78"/>
      <c r="AD258" s="78" t="e">
        <f>VLOOKUP(K258,[1]IOT!$A:$F,6,0)</f>
        <v>#N/A</v>
      </c>
      <c r="AE258" s="78"/>
      <c r="AF258" s="78"/>
      <c r="AG258" s="78"/>
      <c r="AH258" s="78" t="e">
        <f>VLOOKUP(K258,[1]IOT!$A:$G,7,0)</f>
        <v>#N/A</v>
      </c>
      <c r="AI258" s="78" t="e">
        <f>VLOOKUP(K258,[1]IOT!$A:$H,8,0)</f>
        <v>#N/A</v>
      </c>
      <c r="AJ258" s="78" t="e">
        <f>VLOOKUP(K258,[1]IOT!$A:$I,9,0)</f>
        <v>#N/A</v>
      </c>
      <c r="AK258" s="78" t="e">
        <f>VLOOKUP(K258,[1]IOT!$A:$J,10,0)</f>
        <v>#N/A</v>
      </c>
      <c r="AL258" s="78" t="e">
        <f>VLOOKUP(K258,[1]IOT!$A:$K,11,0)</f>
        <v>#N/A</v>
      </c>
      <c r="AM258" s="78"/>
      <c r="AN258" s="78"/>
      <c r="AO258" s="79">
        <f t="shared" si="39"/>
        <v>0</v>
      </c>
      <c r="AP258" s="80">
        <f t="shared" si="40"/>
        <v>0</v>
      </c>
      <c r="AQ258" s="77"/>
      <c r="AR258" s="6" t="str">
        <f t="shared" si="41"/>
        <v/>
      </c>
    </row>
    <row r="259" spans="1:44" s="6" customFormat="1" ht="47.25" customHeight="1" x14ac:dyDescent="0.35">
      <c r="A259" s="71"/>
      <c r="B259" s="68"/>
      <c r="C259" s="25"/>
      <c r="D259" s="25"/>
      <c r="E259" s="67"/>
      <c r="F259" s="62"/>
      <c r="G259" s="14"/>
      <c r="H259" s="65"/>
      <c r="I259" s="70"/>
      <c r="J259" s="14"/>
      <c r="K259" s="69"/>
      <c r="L259" s="15"/>
      <c r="M259" s="16"/>
      <c r="N259" s="17"/>
      <c r="O259" s="72"/>
      <c r="P259" s="18"/>
      <c r="Q259" s="60"/>
      <c r="R259" s="19"/>
      <c r="S259" s="18"/>
      <c r="T259" s="75"/>
      <c r="U259" s="20"/>
      <c r="V259" s="21"/>
      <c r="W259" s="22"/>
      <c r="Y259" s="78" t="e">
        <f>VLOOKUP(V259,[1]IOT!$A:$B,2,0)</f>
        <v>#N/A</v>
      </c>
      <c r="Z259" s="78">
        <f>IF(ISNA(VLOOKUP(K259,[2]Sheet1!$A:$B,2,0)),0,(VLOOKUP(K259,[2]Sheet1!$A:$B,2,0)))</f>
        <v>0</v>
      </c>
      <c r="AA259" s="78">
        <f t="shared" si="38"/>
        <v>0</v>
      </c>
      <c r="AB259" s="78" t="e">
        <f>VLOOKUP(K259,[1]IOT!$A:$E,5,0)</f>
        <v>#N/A</v>
      </c>
      <c r="AC259" s="78"/>
      <c r="AD259" s="78" t="e">
        <f>VLOOKUP(K259,[1]IOT!$A:$F,6,0)</f>
        <v>#N/A</v>
      </c>
      <c r="AE259" s="78"/>
      <c r="AF259" s="78"/>
      <c r="AG259" s="78"/>
      <c r="AH259" s="78" t="e">
        <f>VLOOKUP(K259,[1]IOT!$A:$G,7,0)</f>
        <v>#N/A</v>
      </c>
      <c r="AI259" s="78" t="e">
        <f>VLOOKUP(K259,[1]IOT!$A:$H,8,0)</f>
        <v>#N/A</v>
      </c>
      <c r="AJ259" s="78" t="e">
        <f>VLOOKUP(K259,[1]IOT!$A:$I,9,0)</f>
        <v>#N/A</v>
      </c>
      <c r="AK259" s="78" t="e">
        <f>VLOOKUP(K259,[1]IOT!$A:$J,10,0)</f>
        <v>#N/A</v>
      </c>
      <c r="AL259" s="78" t="e">
        <f>VLOOKUP(K259,[1]IOT!$A:$K,11,0)</f>
        <v>#N/A</v>
      </c>
      <c r="AM259" s="78"/>
      <c r="AN259" s="78"/>
      <c r="AO259" s="79">
        <f t="shared" si="39"/>
        <v>0</v>
      </c>
      <c r="AP259" s="80">
        <f t="shared" si="40"/>
        <v>0</v>
      </c>
      <c r="AQ259" s="77"/>
      <c r="AR259" s="6" t="str">
        <f t="shared" si="41"/>
        <v/>
      </c>
    </row>
    <row r="260" spans="1:44" s="6" customFormat="1" ht="47.25" customHeight="1" x14ac:dyDescent="0.35">
      <c r="A260" s="71"/>
      <c r="B260" s="68"/>
      <c r="C260" s="25"/>
      <c r="D260" s="25"/>
      <c r="E260" s="67"/>
      <c r="F260" s="62"/>
      <c r="G260" s="14"/>
      <c r="H260" s="65"/>
      <c r="I260" s="70"/>
      <c r="J260" s="14"/>
      <c r="K260" s="69"/>
      <c r="L260" s="15"/>
      <c r="M260" s="16"/>
      <c r="N260" s="17"/>
      <c r="O260" s="72"/>
      <c r="P260" s="18"/>
      <c r="Q260" s="60"/>
      <c r="R260" s="19"/>
      <c r="S260" s="18"/>
      <c r="T260" s="75"/>
      <c r="U260" s="20"/>
      <c r="V260" s="21"/>
      <c r="W260" s="22"/>
      <c r="Y260" s="78" t="e">
        <f>VLOOKUP(V260,[1]IOT!$A:$B,2,0)</f>
        <v>#N/A</v>
      </c>
      <c r="Z260" s="78">
        <f>IF(ISNA(VLOOKUP(K260,[2]Sheet1!$A:$B,2,0)),0,(VLOOKUP(K260,[2]Sheet1!$A:$B,2,0)))</f>
        <v>0</v>
      </c>
      <c r="AA260" s="78">
        <f t="shared" si="38"/>
        <v>0</v>
      </c>
      <c r="AB260" s="78" t="e">
        <f>VLOOKUP(K260,[1]IOT!$A:$E,5,0)</f>
        <v>#N/A</v>
      </c>
      <c r="AC260" s="78"/>
      <c r="AD260" s="78" t="e">
        <f>VLOOKUP(K260,[1]IOT!$A:$F,6,0)</f>
        <v>#N/A</v>
      </c>
      <c r="AE260" s="78"/>
      <c r="AF260" s="78"/>
      <c r="AG260" s="78"/>
      <c r="AH260" s="78" t="e">
        <f>VLOOKUP(K260,[1]IOT!$A:$G,7,0)</f>
        <v>#N/A</v>
      </c>
      <c r="AI260" s="78" t="e">
        <f>VLOOKUP(K260,[1]IOT!$A:$H,8,0)</f>
        <v>#N/A</v>
      </c>
      <c r="AJ260" s="78" t="e">
        <f>VLOOKUP(K260,[1]IOT!$A:$I,9,0)</f>
        <v>#N/A</v>
      </c>
      <c r="AK260" s="78" t="e">
        <f>VLOOKUP(K260,[1]IOT!$A:$J,10,0)</f>
        <v>#N/A</v>
      </c>
      <c r="AL260" s="78" t="e">
        <f>VLOOKUP(K260,[1]IOT!$A:$K,11,0)</f>
        <v>#N/A</v>
      </c>
      <c r="AM260" s="78"/>
      <c r="AN260" s="78"/>
      <c r="AO260" s="79">
        <f t="shared" si="39"/>
        <v>0</v>
      </c>
      <c r="AP260" s="80">
        <f t="shared" si="40"/>
        <v>0</v>
      </c>
      <c r="AQ260" s="77"/>
      <c r="AR260" s="6" t="str">
        <f t="shared" si="41"/>
        <v/>
      </c>
    </row>
    <row r="261" spans="1:44" s="6" customFormat="1" ht="47.25" customHeight="1" x14ac:dyDescent="0.35">
      <c r="A261" s="71"/>
      <c r="B261" s="68"/>
      <c r="C261" s="25"/>
      <c r="D261" s="25"/>
      <c r="E261" s="67"/>
      <c r="F261" s="62"/>
      <c r="G261" s="14"/>
      <c r="H261" s="65"/>
      <c r="I261" s="70"/>
      <c r="J261" s="14"/>
      <c r="K261" s="69"/>
      <c r="L261" s="15"/>
      <c r="M261" s="16"/>
      <c r="N261" s="17"/>
      <c r="O261" s="72"/>
      <c r="P261" s="18"/>
      <c r="Q261" s="60"/>
      <c r="R261" s="19"/>
      <c r="S261" s="18"/>
      <c r="T261" s="75"/>
      <c r="U261" s="20"/>
      <c r="V261" s="21"/>
      <c r="W261" s="22"/>
      <c r="Y261" s="78" t="e">
        <f>VLOOKUP(V261,[1]IOT!$A:$B,2,0)</f>
        <v>#N/A</v>
      </c>
      <c r="Z261" s="78">
        <f>IF(ISNA(VLOOKUP(K261,[2]Sheet1!$A:$B,2,0)),0,(VLOOKUP(K261,[2]Sheet1!$A:$B,2,0)))</f>
        <v>0</v>
      </c>
      <c r="AA261" s="78">
        <f t="shared" si="38"/>
        <v>0</v>
      </c>
      <c r="AB261" s="78" t="e">
        <f>VLOOKUP(K261,[1]IOT!$A:$E,5,0)</f>
        <v>#N/A</v>
      </c>
      <c r="AC261" s="78"/>
      <c r="AD261" s="78" t="e">
        <f>VLOOKUP(K261,[1]IOT!$A:$F,6,0)</f>
        <v>#N/A</v>
      </c>
      <c r="AE261" s="78"/>
      <c r="AF261" s="78"/>
      <c r="AG261" s="78"/>
      <c r="AH261" s="78" t="e">
        <f>VLOOKUP(K261,[1]IOT!$A:$G,7,0)</f>
        <v>#N/A</v>
      </c>
      <c r="AI261" s="78" t="e">
        <f>VLOOKUP(K261,[1]IOT!$A:$H,8,0)</f>
        <v>#N/A</v>
      </c>
      <c r="AJ261" s="78" t="e">
        <f>VLOOKUP(K261,[1]IOT!$A:$I,9,0)</f>
        <v>#N/A</v>
      </c>
      <c r="AK261" s="78" t="e">
        <f>VLOOKUP(K261,[1]IOT!$A:$J,10,0)</f>
        <v>#N/A</v>
      </c>
      <c r="AL261" s="78" t="e">
        <f>VLOOKUP(K261,[1]IOT!$A:$K,11,0)</f>
        <v>#N/A</v>
      </c>
      <c r="AM261" s="78"/>
      <c r="AN261" s="78"/>
      <c r="AO261" s="79">
        <f t="shared" si="39"/>
        <v>0</v>
      </c>
      <c r="AP261" s="80">
        <f t="shared" si="40"/>
        <v>0</v>
      </c>
      <c r="AQ261" s="77"/>
      <c r="AR261" s="6" t="str">
        <f t="shared" si="41"/>
        <v/>
      </c>
    </row>
    <row r="262" spans="1:44" s="6" customFormat="1" ht="47.25" customHeight="1" x14ac:dyDescent="0.35">
      <c r="A262" s="71"/>
      <c r="B262" s="68"/>
      <c r="C262" s="25"/>
      <c r="D262" s="25"/>
      <c r="E262" s="67"/>
      <c r="F262" s="62"/>
      <c r="G262" s="14"/>
      <c r="H262" s="65"/>
      <c r="I262" s="70"/>
      <c r="J262" s="14"/>
      <c r="K262" s="69"/>
      <c r="L262" s="15"/>
      <c r="M262" s="16"/>
      <c r="N262" s="17"/>
      <c r="O262" s="72"/>
      <c r="P262" s="18"/>
      <c r="Q262" s="60"/>
      <c r="R262" s="19"/>
      <c r="S262" s="18"/>
      <c r="T262" s="75"/>
      <c r="U262" s="20"/>
      <c r="V262" s="21"/>
      <c r="W262" s="22"/>
      <c r="Y262" s="78" t="e">
        <f>VLOOKUP(V262,[1]IOT!$A:$B,2,0)</f>
        <v>#N/A</v>
      </c>
      <c r="Z262" s="78">
        <f>IF(ISNA(VLOOKUP(K262,[2]Sheet1!$A:$B,2,0)),0,(VLOOKUP(K262,[2]Sheet1!$A:$B,2,0)))</f>
        <v>0</v>
      </c>
      <c r="AA262" s="78">
        <f t="shared" si="38"/>
        <v>0</v>
      </c>
      <c r="AB262" s="78" t="e">
        <f>VLOOKUP(K262,[1]IOT!$A:$E,5,0)</f>
        <v>#N/A</v>
      </c>
      <c r="AC262" s="78"/>
      <c r="AD262" s="78" t="e">
        <f>VLOOKUP(K262,[1]IOT!$A:$F,6,0)</f>
        <v>#N/A</v>
      </c>
      <c r="AE262" s="78"/>
      <c r="AF262" s="78"/>
      <c r="AG262" s="78"/>
      <c r="AH262" s="78" t="e">
        <f>VLOOKUP(K262,[1]IOT!$A:$G,7,0)</f>
        <v>#N/A</v>
      </c>
      <c r="AI262" s="78" t="e">
        <f>VLOOKUP(K262,[1]IOT!$A:$H,8,0)</f>
        <v>#N/A</v>
      </c>
      <c r="AJ262" s="78" t="e">
        <f>VLOOKUP(K262,[1]IOT!$A:$I,9,0)</f>
        <v>#N/A</v>
      </c>
      <c r="AK262" s="78" t="e">
        <f>VLOOKUP(K262,[1]IOT!$A:$J,10,0)</f>
        <v>#N/A</v>
      </c>
      <c r="AL262" s="78" t="e">
        <f>VLOOKUP(K262,[1]IOT!$A:$K,11,0)</f>
        <v>#N/A</v>
      </c>
      <c r="AM262" s="78"/>
      <c r="AN262" s="78"/>
      <c r="AO262" s="79">
        <f t="shared" si="39"/>
        <v>0</v>
      </c>
      <c r="AP262" s="80">
        <f t="shared" si="40"/>
        <v>0</v>
      </c>
      <c r="AQ262" s="77"/>
      <c r="AR262" s="6" t="str">
        <f t="shared" si="41"/>
        <v/>
      </c>
    </row>
    <row r="263" spans="1:44" s="6" customFormat="1" ht="47.25" customHeight="1" x14ac:dyDescent="0.35">
      <c r="A263" s="71"/>
      <c r="B263" s="68"/>
      <c r="C263" s="25"/>
      <c r="D263" s="25"/>
      <c r="E263" s="67"/>
      <c r="F263" s="62"/>
      <c r="G263" s="14"/>
      <c r="H263" s="65"/>
      <c r="I263" s="70"/>
      <c r="J263" s="14"/>
      <c r="K263" s="69"/>
      <c r="L263" s="15"/>
      <c r="M263" s="16"/>
      <c r="N263" s="17"/>
      <c r="O263" s="72"/>
      <c r="P263" s="18"/>
      <c r="Q263" s="60"/>
      <c r="R263" s="19"/>
      <c r="S263" s="18"/>
      <c r="T263" s="75"/>
      <c r="U263" s="20"/>
      <c r="V263" s="21"/>
      <c r="W263" s="22"/>
      <c r="Y263" s="78" t="e">
        <f>VLOOKUP(V263,[1]IOT!$A:$B,2,0)</f>
        <v>#N/A</v>
      </c>
      <c r="Z263" s="78">
        <f>IF(ISNA(VLOOKUP(K263,[2]Sheet1!$A:$B,2,0)),0,(VLOOKUP(K263,[2]Sheet1!$A:$B,2,0)))</f>
        <v>0</v>
      </c>
      <c r="AA263" s="78">
        <f t="shared" si="38"/>
        <v>0</v>
      </c>
      <c r="AB263" s="78" t="e">
        <f>VLOOKUP(K263,[1]IOT!$A:$E,5,0)</f>
        <v>#N/A</v>
      </c>
      <c r="AC263" s="78"/>
      <c r="AD263" s="78" t="e">
        <f>VLOOKUP(K263,[1]IOT!$A:$F,6,0)</f>
        <v>#N/A</v>
      </c>
      <c r="AE263" s="78"/>
      <c r="AF263" s="78"/>
      <c r="AG263" s="78"/>
      <c r="AH263" s="78" t="e">
        <f>VLOOKUP(K263,[1]IOT!$A:$G,7,0)</f>
        <v>#N/A</v>
      </c>
      <c r="AI263" s="78" t="e">
        <f>VLOOKUP(K263,[1]IOT!$A:$H,8,0)</f>
        <v>#N/A</v>
      </c>
      <c r="AJ263" s="78" t="e">
        <f>VLOOKUP(K263,[1]IOT!$A:$I,9,0)</f>
        <v>#N/A</v>
      </c>
      <c r="AK263" s="78" t="e">
        <f>VLOOKUP(K263,[1]IOT!$A:$J,10,0)</f>
        <v>#N/A</v>
      </c>
      <c r="AL263" s="78" t="e">
        <f>VLOOKUP(K263,[1]IOT!$A:$K,11,0)</f>
        <v>#N/A</v>
      </c>
      <c r="AM263" s="78"/>
      <c r="AN263" s="78"/>
      <c r="AO263" s="79">
        <f t="shared" si="39"/>
        <v>0</v>
      </c>
      <c r="AP263" s="80">
        <f t="shared" si="40"/>
        <v>0</v>
      </c>
      <c r="AQ263" s="77"/>
      <c r="AR263" s="6" t="str">
        <f t="shared" si="41"/>
        <v/>
      </c>
    </row>
    <row r="264" spans="1:44" s="6" customFormat="1" ht="47.25" customHeight="1" x14ac:dyDescent="0.35">
      <c r="A264" s="71"/>
      <c r="B264" s="68"/>
      <c r="C264" s="25"/>
      <c r="D264" s="25"/>
      <c r="E264" s="67"/>
      <c r="F264" s="62"/>
      <c r="G264" s="14"/>
      <c r="H264" s="65"/>
      <c r="I264" s="70"/>
      <c r="J264" s="14"/>
      <c r="K264" s="69"/>
      <c r="L264" s="15"/>
      <c r="M264" s="16"/>
      <c r="N264" s="17"/>
      <c r="O264" s="72"/>
      <c r="P264" s="18"/>
      <c r="Q264" s="60"/>
      <c r="R264" s="19"/>
      <c r="S264" s="18"/>
      <c r="T264" s="75"/>
      <c r="U264" s="20"/>
      <c r="V264" s="21"/>
      <c r="W264" s="22"/>
      <c r="Y264" s="78" t="e">
        <f>VLOOKUP(V264,[1]IOT!$A:$B,2,0)</f>
        <v>#N/A</v>
      </c>
      <c r="Z264" s="78">
        <f>IF(ISNA(VLOOKUP(K264,[2]Sheet1!$A:$B,2,0)),0,(VLOOKUP(K264,[2]Sheet1!$A:$B,2,0)))</f>
        <v>0</v>
      </c>
      <c r="AA264" s="78">
        <f t="shared" si="38"/>
        <v>0</v>
      </c>
      <c r="AB264" s="78" t="e">
        <f>VLOOKUP(K264,[1]IOT!$A:$E,5,0)</f>
        <v>#N/A</v>
      </c>
      <c r="AC264" s="78"/>
      <c r="AD264" s="78" t="e">
        <f>VLOOKUP(K264,[1]IOT!$A:$F,6,0)</f>
        <v>#N/A</v>
      </c>
      <c r="AE264" s="78"/>
      <c r="AF264" s="78"/>
      <c r="AG264" s="78"/>
      <c r="AH264" s="78" t="e">
        <f>VLOOKUP(K264,[1]IOT!$A:$G,7,0)</f>
        <v>#N/A</v>
      </c>
      <c r="AI264" s="78" t="e">
        <f>VLOOKUP(K264,[1]IOT!$A:$H,8,0)</f>
        <v>#N/A</v>
      </c>
      <c r="AJ264" s="78" t="e">
        <f>VLOOKUP(K264,[1]IOT!$A:$I,9,0)</f>
        <v>#N/A</v>
      </c>
      <c r="AK264" s="78" t="e">
        <f>VLOOKUP(K264,[1]IOT!$A:$J,10,0)</f>
        <v>#N/A</v>
      </c>
      <c r="AL264" s="78" t="e">
        <f>VLOOKUP(K264,[1]IOT!$A:$K,11,0)</f>
        <v>#N/A</v>
      </c>
      <c r="AM264" s="78"/>
      <c r="AN264" s="78"/>
      <c r="AO264" s="79">
        <f t="shared" si="39"/>
        <v>0</v>
      </c>
      <c r="AP264" s="80">
        <f t="shared" si="40"/>
        <v>0</v>
      </c>
      <c r="AQ264" s="77"/>
      <c r="AR264" s="6" t="str">
        <f t="shared" si="41"/>
        <v/>
      </c>
    </row>
    <row r="265" spans="1:44" s="6" customFormat="1" ht="47.25" customHeight="1" x14ac:dyDescent="0.35">
      <c r="A265" s="71"/>
      <c r="B265" s="68"/>
      <c r="C265" s="25"/>
      <c r="D265" s="25"/>
      <c r="E265" s="67"/>
      <c r="F265" s="62"/>
      <c r="G265" s="14"/>
      <c r="H265" s="65"/>
      <c r="I265" s="70"/>
      <c r="J265" s="14"/>
      <c r="K265" s="69"/>
      <c r="L265" s="15"/>
      <c r="M265" s="16"/>
      <c r="N265" s="17"/>
      <c r="O265" s="72"/>
      <c r="P265" s="18"/>
      <c r="Q265" s="60"/>
      <c r="R265" s="19"/>
      <c r="S265" s="18"/>
      <c r="T265" s="75"/>
      <c r="U265" s="20"/>
      <c r="V265" s="21"/>
      <c r="W265" s="22"/>
      <c r="Y265" s="78" t="e">
        <f>VLOOKUP(V265,[1]IOT!$A:$B,2,0)</f>
        <v>#N/A</v>
      </c>
      <c r="Z265" s="78">
        <f>IF(ISNA(VLOOKUP(K265,[2]Sheet1!$A:$B,2,0)),0,(VLOOKUP(K265,[2]Sheet1!$A:$B,2,0)))</f>
        <v>0</v>
      </c>
      <c r="AA265" s="78">
        <f t="shared" si="38"/>
        <v>0</v>
      </c>
      <c r="AB265" s="78" t="e">
        <f>VLOOKUP(K265,[1]IOT!$A:$E,5,0)</f>
        <v>#N/A</v>
      </c>
      <c r="AC265" s="78"/>
      <c r="AD265" s="78" t="e">
        <f>VLOOKUP(K265,[1]IOT!$A:$F,6,0)</f>
        <v>#N/A</v>
      </c>
      <c r="AE265" s="78"/>
      <c r="AF265" s="78"/>
      <c r="AG265" s="78"/>
      <c r="AH265" s="78" t="e">
        <f>VLOOKUP(K265,[1]IOT!$A:$G,7,0)</f>
        <v>#N/A</v>
      </c>
      <c r="AI265" s="78" t="e">
        <f>VLOOKUP(K265,[1]IOT!$A:$H,8,0)</f>
        <v>#N/A</v>
      </c>
      <c r="AJ265" s="78" t="e">
        <f>VLOOKUP(K265,[1]IOT!$A:$I,9,0)</f>
        <v>#N/A</v>
      </c>
      <c r="AK265" s="78" t="e">
        <f>VLOOKUP(K265,[1]IOT!$A:$J,10,0)</f>
        <v>#N/A</v>
      </c>
      <c r="AL265" s="78" t="e">
        <f>VLOOKUP(K265,[1]IOT!$A:$K,11,0)</f>
        <v>#N/A</v>
      </c>
      <c r="AM265" s="78"/>
      <c r="AN265" s="78"/>
      <c r="AO265" s="79">
        <f t="shared" si="39"/>
        <v>0</v>
      </c>
      <c r="AP265" s="80">
        <f t="shared" si="40"/>
        <v>0</v>
      </c>
      <c r="AQ265" s="77"/>
      <c r="AR265" s="6" t="str">
        <f t="shared" si="41"/>
        <v/>
      </c>
    </row>
    <row r="266" spans="1:44" s="6" customFormat="1" ht="47.25" customHeight="1" x14ac:dyDescent="0.35">
      <c r="A266" s="71"/>
      <c r="B266" s="68"/>
      <c r="C266" s="25"/>
      <c r="D266" s="25"/>
      <c r="E266" s="67"/>
      <c r="F266" s="62"/>
      <c r="G266" s="14"/>
      <c r="H266" s="65"/>
      <c r="I266" s="70"/>
      <c r="J266" s="14"/>
      <c r="K266" s="69"/>
      <c r="L266" s="15"/>
      <c r="M266" s="16"/>
      <c r="N266" s="17"/>
      <c r="O266" s="72"/>
      <c r="P266" s="18"/>
      <c r="Q266" s="60"/>
      <c r="R266" s="19"/>
      <c r="S266" s="18"/>
      <c r="T266" s="75"/>
      <c r="U266" s="20"/>
      <c r="V266" s="21"/>
      <c r="W266" s="22"/>
      <c r="Y266" s="78" t="e">
        <f>VLOOKUP(V266,[1]IOT!$A:$B,2,0)</f>
        <v>#N/A</v>
      </c>
      <c r="Z266" s="78">
        <f>IF(ISNA(VLOOKUP(K266,[2]Sheet1!$A:$B,2,0)),0,(VLOOKUP(K266,[2]Sheet1!$A:$B,2,0)))</f>
        <v>0</v>
      </c>
      <c r="AA266" s="78">
        <f t="shared" si="38"/>
        <v>0</v>
      </c>
      <c r="AB266" s="78" t="e">
        <f>VLOOKUP(K266,[1]IOT!$A:$E,5,0)</f>
        <v>#N/A</v>
      </c>
      <c r="AC266" s="78"/>
      <c r="AD266" s="78" t="e">
        <f>VLOOKUP(K266,[1]IOT!$A:$F,6,0)</f>
        <v>#N/A</v>
      </c>
      <c r="AE266" s="78"/>
      <c r="AF266" s="78"/>
      <c r="AG266" s="78"/>
      <c r="AH266" s="78" t="e">
        <f>VLOOKUP(K266,[1]IOT!$A:$G,7,0)</f>
        <v>#N/A</v>
      </c>
      <c r="AI266" s="78" t="e">
        <f>VLOOKUP(K266,[1]IOT!$A:$H,8,0)</f>
        <v>#N/A</v>
      </c>
      <c r="AJ266" s="78" t="e">
        <f>VLOOKUP(K266,[1]IOT!$A:$I,9,0)</f>
        <v>#N/A</v>
      </c>
      <c r="AK266" s="78" t="e">
        <f>VLOOKUP(K266,[1]IOT!$A:$J,10,0)</f>
        <v>#N/A</v>
      </c>
      <c r="AL266" s="78" t="e">
        <f>VLOOKUP(K266,[1]IOT!$A:$K,11,0)</f>
        <v>#N/A</v>
      </c>
      <c r="AM266" s="78"/>
      <c r="AN266" s="78"/>
      <c r="AO266" s="79">
        <f t="shared" si="39"/>
        <v>0</v>
      </c>
      <c r="AP266" s="80">
        <f t="shared" si="40"/>
        <v>0</v>
      </c>
      <c r="AQ266" s="77"/>
      <c r="AR266" s="6" t="str">
        <f t="shared" si="41"/>
        <v/>
      </c>
    </row>
    <row r="267" spans="1:44" s="6" customFormat="1" ht="47.25" customHeight="1" x14ac:dyDescent="0.35">
      <c r="A267" s="71"/>
      <c r="B267" s="68"/>
      <c r="C267" s="25"/>
      <c r="D267" s="25"/>
      <c r="E267" s="67"/>
      <c r="F267" s="62"/>
      <c r="G267" s="14"/>
      <c r="H267" s="65"/>
      <c r="I267" s="70"/>
      <c r="J267" s="14"/>
      <c r="K267" s="69"/>
      <c r="L267" s="15"/>
      <c r="M267" s="16"/>
      <c r="N267" s="17"/>
      <c r="O267" s="72"/>
      <c r="P267" s="18"/>
      <c r="Q267" s="60"/>
      <c r="R267" s="19"/>
      <c r="S267" s="18"/>
      <c r="T267" s="75"/>
      <c r="U267" s="20"/>
      <c r="V267" s="21"/>
      <c r="W267" s="22"/>
      <c r="Y267" s="78" t="e">
        <f>VLOOKUP(V267,[1]IOT!$A:$B,2,0)</f>
        <v>#N/A</v>
      </c>
      <c r="Z267" s="78">
        <f>IF(ISNA(VLOOKUP(K267,[2]Sheet1!$A:$B,2,0)),0,(VLOOKUP(K267,[2]Sheet1!$A:$B,2,0)))</f>
        <v>0</v>
      </c>
      <c r="AA267" s="78">
        <f t="shared" si="38"/>
        <v>0</v>
      </c>
      <c r="AB267" s="78" t="e">
        <f>VLOOKUP(K267,[1]IOT!$A:$E,5,0)</f>
        <v>#N/A</v>
      </c>
      <c r="AC267" s="78"/>
      <c r="AD267" s="78" t="e">
        <f>VLOOKUP(K267,[1]IOT!$A:$F,6,0)</f>
        <v>#N/A</v>
      </c>
      <c r="AE267" s="78"/>
      <c r="AF267" s="78"/>
      <c r="AG267" s="78"/>
      <c r="AH267" s="78" t="e">
        <f>VLOOKUP(K267,[1]IOT!$A:$G,7,0)</f>
        <v>#N/A</v>
      </c>
      <c r="AI267" s="78" t="e">
        <f>VLOOKUP(K267,[1]IOT!$A:$H,8,0)</f>
        <v>#N/A</v>
      </c>
      <c r="AJ267" s="78" t="e">
        <f>VLOOKUP(K267,[1]IOT!$A:$I,9,0)</f>
        <v>#N/A</v>
      </c>
      <c r="AK267" s="78" t="e">
        <f>VLOOKUP(K267,[1]IOT!$A:$J,10,0)</f>
        <v>#N/A</v>
      </c>
      <c r="AL267" s="78" t="e">
        <f>VLOOKUP(K267,[1]IOT!$A:$K,11,0)</f>
        <v>#N/A</v>
      </c>
      <c r="AM267" s="78"/>
      <c r="AN267" s="78"/>
      <c r="AO267" s="79">
        <f t="shared" si="39"/>
        <v>0</v>
      </c>
      <c r="AP267" s="80">
        <f t="shared" si="40"/>
        <v>0</v>
      </c>
      <c r="AQ267" s="77"/>
      <c r="AR267" s="6" t="str">
        <f t="shared" si="41"/>
        <v/>
      </c>
    </row>
    <row r="268" spans="1:44" s="6" customFormat="1" ht="47.25" customHeight="1" x14ac:dyDescent="0.35">
      <c r="A268" s="71"/>
      <c r="B268" s="68"/>
      <c r="C268" s="25"/>
      <c r="D268" s="25"/>
      <c r="E268" s="67"/>
      <c r="F268" s="62"/>
      <c r="G268" s="14"/>
      <c r="H268" s="65"/>
      <c r="I268" s="70"/>
      <c r="J268" s="14"/>
      <c r="K268" s="69"/>
      <c r="L268" s="15"/>
      <c r="M268" s="16"/>
      <c r="N268" s="17"/>
      <c r="O268" s="72"/>
      <c r="P268" s="18"/>
      <c r="Q268" s="60"/>
      <c r="R268" s="19"/>
      <c r="S268" s="18"/>
      <c r="T268" s="75"/>
      <c r="U268" s="20"/>
      <c r="V268" s="21"/>
      <c r="W268" s="22"/>
      <c r="Y268" s="78" t="e">
        <f>VLOOKUP(V268,[1]IOT!$A:$B,2,0)</f>
        <v>#N/A</v>
      </c>
      <c r="Z268" s="78">
        <f>IF(ISNA(VLOOKUP(K268,[2]Sheet1!$A:$B,2,0)),0,(VLOOKUP(K268,[2]Sheet1!$A:$B,2,0)))</f>
        <v>0</v>
      </c>
      <c r="AA268" s="78">
        <f t="shared" si="38"/>
        <v>0</v>
      </c>
      <c r="AB268" s="78" t="e">
        <f>VLOOKUP(K268,[1]IOT!$A:$E,5,0)</f>
        <v>#N/A</v>
      </c>
      <c r="AC268" s="78"/>
      <c r="AD268" s="78" t="e">
        <f>VLOOKUP(K268,[1]IOT!$A:$F,6,0)</f>
        <v>#N/A</v>
      </c>
      <c r="AE268" s="78"/>
      <c r="AF268" s="78"/>
      <c r="AG268" s="78"/>
      <c r="AH268" s="78" t="e">
        <f>VLOOKUP(K268,[1]IOT!$A:$G,7,0)</f>
        <v>#N/A</v>
      </c>
      <c r="AI268" s="78" t="e">
        <f>VLOOKUP(K268,[1]IOT!$A:$H,8,0)</f>
        <v>#N/A</v>
      </c>
      <c r="AJ268" s="78" t="e">
        <f>VLOOKUP(K268,[1]IOT!$A:$I,9,0)</f>
        <v>#N/A</v>
      </c>
      <c r="AK268" s="78" t="e">
        <f>VLOOKUP(K268,[1]IOT!$A:$J,10,0)</f>
        <v>#N/A</v>
      </c>
      <c r="AL268" s="78" t="e">
        <f>VLOOKUP(K268,[1]IOT!$A:$K,11,0)</f>
        <v>#N/A</v>
      </c>
      <c r="AM268" s="78"/>
      <c r="AN268" s="78"/>
      <c r="AO268" s="79">
        <f t="shared" si="39"/>
        <v>0</v>
      </c>
      <c r="AP268" s="80">
        <f t="shared" si="40"/>
        <v>0</v>
      </c>
      <c r="AQ268" s="77"/>
      <c r="AR268" s="6" t="str">
        <f t="shared" si="41"/>
        <v/>
      </c>
    </row>
    <row r="269" spans="1:44" s="6" customFormat="1" ht="47.25" customHeight="1" x14ac:dyDescent="0.35">
      <c r="A269" s="71"/>
      <c r="B269" s="68"/>
      <c r="C269" s="25"/>
      <c r="D269" s="25"/>
      <c r="E269" s="67"/>
      <c r="F269" s="62"/>
      <c r="G269" s="14"/>
      <c r="H269" s="65"/>
      <c r="I269" s="70"/>
      <c r="J269" s="14"/>
      <c r="K269" s="69"/>
      <c r="L269" s="15"/>
      <c r="M269" s="16"/>
      <c r="N269" s="17"/>
      <c r="O269" s="72"/>
      <c r="P269" s="18"/>
      <c r="Q269" s="60"/>
      <c r="R269" s="19"/>
      <c r="S269" s="18"/>
      <c r="T269" s="75"/>
      <c r="U269" s="20"/>
      <c r="V269" s="21"/>
      <c r="W269" s="22"/>
      <c r="Y269" s="78" t="e">
        <f>VLOOKUP(V269,[1]IOT!$A:$B,2,0)</f>
        <v>#N/A</v>
      </c>
      <c r="Z269" s="78">
        <f>IF(ISNA(VLOOKUP(K269,[2]Sheet1!$A:$B,2,0)),0,(VLOOKUP(K269,[2]Sheet1!$A:$B,2,0)))</f>
        <v>0</v>
      </c>
      <c r="AA269" s="78">
        <f t="shared" si="38"/>
        <v>0</v>
      </c>
      <c r="AB269" s="78" t="e">
        <f>VLOOKUP(K269,[1]IOT!$A:$E,5,0)</f>
        <v>#N/A</v>
      </c>
      <c r="AC269" s="78"/>
      <c r="AD269" s="78" t="e">
        <f>VLOOKUP(K269,[1]IOT!$A:$F,6,0)</f>
        <v>#N/A</v>
      </c>
      <c r="AE269" s="78"/>
      <c r="AF269" s="78"/>
      <c r="AG269" s="78"/>
      <c r="AH269" s="78" t="e">
        <f>VLOOKUP(K269,[1]IOT!$A:$G,7,0)</f>
        <v>#N/A</v>
      </c>
      <c r="AI269" s="78" t="e">
        <f>VLOOKUP(K269,[1]IOT!$A:$H,8,0)</f>
        <v>#N/A</v>
      </c>
      <c r="AJ269" s="78" t="e">
        <f>VLOOKUP(K269,[1]IOT!$A:$I,9,0)</f>
        <v>#N/A</v>
      </c>
      <c r="AK269" s="78" t="e">
        <f>VLOOKUP(K269,[1]IOT!$A:$J,10,0)</f>
        <v>#N/A</v>
      </c>
      <c r="AL269" s="78" t="e">
        <f>VLOOKUP(K269,[1]IOT!$A:$K,11,0)</f>
        <v>#N/A</v>
      </c>
      <c r="AM269" s="78"/>
      <c r="AN269" s="78"/>
      <c r="AO269" s="79">
        <f t="shared" si="39"/>
        <v>0</v>
      </c>
      <c r="AP269" s="80">
        <f t="shared" si="40"/>
        <v>0</v>
      </c>
      <c r="AQ269" s="77"/>
      <c r="AR269" s="6" t="str">
        <f t="shared" si="41"/>
        <v/>
      </c>
    </row>
    <row r="270" spans="1:44" s="6" customFormat="1" ht="47.25" customHeight="1" x14ac:dyDescent="0.35">
      <c r="A270" s="71"/>
      <c r="B270" s="68"/>
      <c r="C270" s="25"/>
      <c r="D270" s="25"/>
      <c r="E270" s="67"/>
      <c r="F270" s="62"/>
      <c r="G270" s="14"/>
      <c r="H270" s="65"/>
      <c r="I270" s="70"/>
      <c r="J270" s="14"/>
      <c r="K270" s="69"/>
      <c r="L270" s="15"/>
      <c r="M270" s="16"/>
      <c r="N270" s="17"/>
      <c r="O270" s="72"/>
      <c r="P270" s="18"/>
      <c r="Q270" s="60"/>
      <c r="R270" s="19"/>
      <c r="S270" s="18"/>
      <c r="T270" s="75"/>
      <c r="U270" s="20"/>
      <c r="V270" s="21"/>
      <c r="W270" s="22"/>
      <c r="Y270" s="78" t="e">
        <f>VLOOKUP(V270,[1]IOT!$A:$B,2,0)</f>
        <v>#N/A</v>
      </c>
      <c r="Z270" s="78">
        <f>IF(ISNA(VLOOKUP(K270,[2]Sheet1!$A:$B,2,0)),0,(VLOOKUP(K270,[2]Sheet1!$A:$B,2,0)))</f>
        <v>0</v>
      </c>
      <c r="AA270" s="78">
        <f t="shared" si="38"/>
        <v>0</v>
      </c>
      <c r="AB270" s="78" t="e">
        <f>VLOOKUP(K270,[1]IOT!$A:$E,5,0)</f>
        <v>#N/A</v>
      </c>
      <c r="AC270" s="78"/>
      <c r="AD270" s="78" t="e">
        <f>VLOOKUP(K270,[1]IOT!$A:$F,6,0)</f>
        <v>#N/A</v>
      </c>
      <c r="AE270" s="78"/>
      <c r="AF270" s="78"/>
      <c r="AG270" s="78"/>
      <c r="AH270" s="78" t="e">
        <f>VLOOKUP(K270,[1]IOT!$A:$G,7,0)</f>
        <v>#N/A</v>
      </c>
      <c r="AI270" s="78" t="e">
        <f>VLOOKUP(K270,[1]IOT!$A:$H,8,0)</f>
        <v>#N/A</v>
      </c>
      <c r="AJ270" s="78" t="e">
        <f>VLOOKUP(K270,[1]IOT!$A:$I,9,0)</f>
        <v>#N/A</v>
      </c>
      <c r="AK270" s="78" t="e">
        <f>VLOOKUP(K270,[1]IOT!$A:$J,10,0)</f>
        <v>#N/A</v>
      </c>
      <c r="AL270" s="78" t="e">
        <f>VLOOKUP(K270,[1]IOT!$A:$K,11,0)</f>
        <v>#N/A</v>
      </c>
      <c r="AM270" s="78"/>
      <c r="AN270" s="78"/>
      <c r="AO270" s="79">
        <f t="shared" si="39"/>
        <v>0</v>
      </c>
      <c r="AP270" s="80">
        <f t="shared" si="40"/>
        <v>0</v>
      </c>
      <c r="AQ270" s="77"/>
      <c r="AR270" s="6" t="str">
        <f t="shared" si="41"/>
        <v/>
      </c>
    </row>
    <row r="271" spans="1:44" s="6" customFormat="1" ht="47.25" customHeight="1" x14ac:dyDescent="0.35">
      <c r="A271" s="71"/>
      <c r="B271" s="68"/>
      <c r="C271" s="25"/>
      <c r="D271" s="25"/>
      <c r="E271" s="67"/>
      <c r="F271" s="62"/>
      <c r="G271" s="14"/>
      <c r="H271" s="65"/>
      <c r="I271" s="70"/>
      <c r="J271" s="14"/>
      <c r="K271" s="69"/>
      <c r="L271" s="15"/>
      <c r="M271" s="16"/>
      <c r="N271" s="17"/>
      <c r="O271" s="72"/>
      <c r="P271" s="18"/>
      <c r="Q271" s="60"/>
      <c r="R271" s="19"/>
      <c r="S271" s="18"/>
      <c r="T271" s="75"/>
      <c r="U271" s="20"/>
      <c r="V271" s="21"/>
      <c r="W271" s="22"/>
      <c r="Y271" s="78" t="e">
        <f>VLOOKUP(V271,[1]IOT!$A:$B,2,0)</f>
        <v>#N/A</v>
      </c>
      <c r="Z271" s="78">
        <f>IF(ISNA(VLOOKUP(K271,[2]Sheet1!$A:$B,2,0)),0,(VLOOKUP(K271,[2]Sheet1!$A:$B,2,0)))</f>
        <v>0</v>
      </c>
      <c r="AA271" s="78">
        <f t="shared" si="38"/>
        <v>0</v>
      </c>
      <c r="AB271" s="78" t="e">
        <f>VLOOKUP(K271,[1]IOT!$A:$E,5,0)</f>
        <v>#N/A</v>
      </c>
      <c r="AC271" s="78"/>
      <c r="AD271" s="78" t="e">
        <f>VLOOKUP(K271,[1]IOT!$A:$F,6,0)</f>
        <v>#N/A</v>
      </c>
      <c r="AE271" s="78"/>
      <c r="AF271" s="78"/>
      <c r="AG271" s="78"/>
      <c r="AH271" s="78" t="e">
        <f>VLOOKUP(K271,[1]IOT!$A:$G,7,0)</f>
        <v>#N/A</v>
      </c>
      <c r="AI271" s="78" t="e">
        <f>VLOOKUP(K271,[1]IOT!$A:$H,8,0)</f>
        <v>#N/A</v>
      </c>
      <c r="AJ271" s="78" t="e">
        <f>VLOOKUP(K271,[1]IOT!$A:$I,9,0)</f>
        <v>#N/A</v>
      </c>
      <c r="AK271" s="78" t="e">
        <f>VLOOKUP(K271,[1]IOT!$A:$J,10,0)</f>
        <v>#N/A</v>
      </c>
      <c r="AL271" s="78" t="e">
        <f>VLOOKUP(K271,[1]IOT!$A:$K,11,0)</f>
        <v>#N/A</v>
      </c>
      <c r="AM271" s="78"/>
      <c r="AN271" s="78"/>
      <c r="AO271" s="79">
        <f t="shared" si="39"/>
        <v>0</v>
      </c>
      <c r="AP271" s="80">
        <f t="shared" si="40"/>
        <v>0</v>
      </c>
      <c r="AQ271" s="77"/>
      <c r="AR271" s="6" t="str">
        <f t="shared" si="41"/>
        <v/>
      </c>
    </row>
    <row r="272" spans="1:44" s="6" customFormat="1" ht="47.25" customHeight="1" x14ac:dyDescent="0.35">
      <c r="A272" s="71"/>
      <c r="B272" s="68"/>
      <c r="C272" s="25"/>
      <c r="D272" s="25"/>
      <c r="E272" s="67"/>
      <c r="F272" s="62"/>
      <c r="G272" s="14"/>
      <c r="H272" s="65"/>
      <c r="I272" s="70"/>
      <c r="J272" s="14"/>
      <c r="K272" s="69"/>
      <c r="L272" s="15"/>
      <c r="M272" s="16"/>
      <c r="N272" s="17"/>
      <c r="O272" s="72"/>
      <c r="P272" s="18"/>
      <c r="Q272" s="60"/>
      <c r="R272" s="19"/>
      <c r="S272" s="18"/>
      <c r="T272" s="75"/>
      <c r="U272" s="20"/>
      <c r="V272" s="21"/>
      <c r="W272" s="22"/>
      <c r="Y272" s="78" t="e">
        <f>VLOOKUP(V272,[1]IOT!$A:$B,2,0)</f>
        <v>#N/A</v>
      </c>
      <c r="Z272" s="78">
        <f>IF(ISNA(VLOOKUP(K272,[2]Sheet1!$A:$B,2,0)),0,(VLOOKUP(K272,[2]Sheet1!$A:$B,2,0)))</f>
        <v>0</v>
      </c>
      <c r="AA272" s="78">
        <f t="shared" si="38"/>
        <v>0</v>
      </c>
      <c r="AB272" s="78" t="e">
        <f>VLOOKUP(K272,[1]IOT!$A:$E,5,0)</f>
        <v>#N/A</v>
      </c>
      <c r="AC272" s="78"/>
      <c r="AD272" s="78" t="e">
        <f>VLOOKUP(K272,[1]IOT!$A:$F,6,0)</f>
        <v>#N/A</v>
      </c>
      <c r="AE272" s="78"/>
      <c r="AF272" s="78"/>
      <c r="AG272" s="78"/>
      <c r="AH272" s="78" t="e">
        <f>VLOOKUP(K272,[1]IOT!$A:$G,7,0)</f>
        <v>#N/A</v>
      </c>
      <c r="AI272" s="78" t="e">
        <f>VLOOKUP(K272,[1]IOT!$A:$H,8,0)</f>
        <v>#N/A</v>
      </c>
      <c r="AJ272" s="78" t="e">
        <f>VLOOKUP(K272,[1]IOT!$A:$I,9,0)</f>
        <v>#N/A</v>
      </c>
      <c r="AK272" s="78" t="e">
        <f>VLOOKUP(K272,[1]IOT!$A:$J,10,0)</f>
        <v>#N/A</v>
      </c>
      <c r="AL272" s="78" t="e">
        <f>VLOOKUP(K272,[1]IOT!$A:$K,11,0)</f>
        <v>#N/A</v>
      </c>
      <c r="AM272" s="78"/>
      <c r="AN272" s="78"/>
      <c r="AO272" s="79">
        <f t="shared" si="39"/>
        <v>0</v>
      </c>
      <c r="AP272" s="80">
        <f t="shared" si="40"/>
        <v>0</v>
      </c>
      <c r="AQ272" s="77"/>
      <c r="AR272" s="6" t="str">
        <f t="shared" si="41"/>
        <v/>
      </c>
    </row>
    <row r="273" spans="1:44" s="6" customFormat="1" ht="47.25" customHeight="1" x14ac:dyDescent="0.35">
      <c r="A273" s="71"/>
      <c r="B273" s="68"/>
      <c r="C273" s="25"/>
      <c r="D273" s="25"/>
      <c r="E273" s="67"/>
      <c r="F273" s="62"/>
      <c r="G273" s="14"/>
      <c r="H273" s="65"/>
      <c r="I273" s="70"/>
      <c r="J273" s="14"/>
      <c r="K273" s="69"/>
      <c r="L273" s="15"/>
      <c r="M273" s="16"/>
      <c r="N273" s="17"/>
      <c r="O273" s="72"/>
      <c r="P273" s="18"/>
      <c r="Q273" s="60"/>
      <c r="R273" s="19"/>
      <c r="S273" s="18"/>
      <c r="T273" s="75"/>
      <c r="U273" s="20"/>
      <c r="V273" s="21"/>
      <c r="W273" s="22"/>
      <c r="Y273" s="78" t="e">
        <f>VLOOKUP(V273,[1]IOT!$A:$B,2,0)</f>
        <v>#N/A</v>
      </c>
      <c r="Z273" s="78">
        <f>IF(ISNA(VLOOKUP(K273,[2]Sheet1!$A:$B,2,0)),0,(VLOOKUP(K273,[2]Sheet1!$A:$B,2,0)))</f>
        <v>0</v>
      </c>
      <c r="AA273" s="78">
        <f t="shared" si="38"/>
        <v>0</v>
      </c>
      <c r="AB273" s="78" t="e">
        <f>VLOOKUP(K273,[1]IOT!$A:$E,5,0)</f>
        <v>#N/A</v>
      </c>
      <c r="AC273" s="78"/>
      <c r="AD273" s="78" t="e">
        <f>VLOOKUP(K273,[1]IOT!$A:$F,6,0)</f>
        <v>#N/A</v>
      </c>
      <c r="AE273" s="78"/>
      <c r="AF273" s="78"/>
      <c r="AG273" s="78"/>
      <c r="AH273" s="78" t="e">
        <f>VLOOKUP(K273,[1]IOT!$A:$G,7,0)</f>
        <v>#N/A</v>
      </c>
      <c r="AI273" s="78" t="e">
        <f>VLOOKUP(K273,[1]IOT!$A:$H,8,0)</f>
        <v>#N/A</v>
      </c>
      <c r="AJ273" s="78" t="e">
        <f>VLOOKUP(K273,[1]IOT!$A:$I,9,0)</f>
        <v>#N/A</v>
      </c>
      <c r="AK273" s="78" t="e">
        <f>VLOOKUP(K273,[1]IOT!$A:$J,10,0)</f>
        <v>#N/A</v>
      </c>
      <c r="AL273" s="78" t="e">
        <f>VLOOKUP(K273,[1]IOT!$A:$K,11,0)</f>
        <v>#N/A</v>
      </c>
      <c r="AM273" s="78"/>
      <c r="AN273" s="78"/>
      <c r="AO273" s="79">
        <f t="shared" si="39"/>
        <v>0</v>
      </c>
      <c r="AP273" s="80">
        <f t="shared" si="40"/>
        <v>0</v>
      </c>
      <c r="AQ273" s="77"/>
      <c r="AR273" s="6" t="str">
        <f t="shared" si="41"/>
        <v/>
      </c>
    </row>
    <row r="274" spans="1:44" s="6" customFormat="1" ht="47.25" customHeight="1" x14ac:dyDescent="0.35">
      <c r="A274" s="71"/>
      <c r="B274" s="68"/>
      <c r="C274" s="25"/>
      <c r="D274" s="25"/>
      <c r="E274" s="67"/>
      <c r="F274" s="62"/>
      <c r="G274" s="14"/>
      <c r="H274" s="65"/>
      <c r="I274" s="70"/>
      <c r="J274" s="14"/>
      <c r="K274" s="69"/>
      <c r="L274" s="15"/>
      <c r="M274" s="16"/>
      <c r="N274" s="17"/>
      <c r="O274" s="72"/>
      <c r="P274" s="18"/>
      <c r="Q274" s="60"/>
      <c r="R274" s="19"/>
      <c r="S274" s="18"/>
      <c r="T274" s="75"/>
      <c r="U274" s="20"/>
      <c r="V274" s="21"/>
      <c r="W274" s="22"/>
      <c r="Y274" s="78" t="e">
        <f>VLOOKUP(V274,[1]IOT!$A:$B,2,0)</f>
        <v>#N/A</v>
      </c>
      <c r="Z274" s="78">
        <f>IF(ISNA(VLOOKUP(K274,[2]Sheet1!$A:$B,2,0)),0,(VLOOKUP(K274,[2]Sheet1!$A:$B,2,0)))</f>
        <v>0</v>
      </c>
      <c r="AA274" s="78">
        <f t="shared" si="38"/>
        <v>0</v>
      </c>
      <c r="AB274" s="78" t="e">
        <f>VLOOKUP(K274,[1]IOT!$A:$E,5,0)</f>
        <v>#N/A</v>
      </c>
      <c r="AC274" s="78"/>
      <c r="AD274" s="78" t="e">
        <f>VLOOKUP(K274,[1]IOT!$A:$F,6,0)</f>
        <v>#N/A</v>
      </c>
      <c r="AE274" s="78"/>
      <c r="AF274" s="78"/>
      <c r="AG274" s="78"/>
      <c r="AH274" s="78" t="e">
        <f>VLOOKUP(K274,[1]IOT!$A:$G,7,0)</f>
        <v>#N/A</v>
      </c>
      <c r="AI274" s="78" t="e">
        <f>VLOOKUP(K274,[1]IOT!$A:$H,8,0)</f>
        <v>#N/A</v>
      </c>
      <c r="AJ274" s="78" t="e">
        <f>VLOOKUP(K274,[1]IOT!$A:$I,9,0)</f>
        <v>#N/A</v>
      </c>
      <c r="AK274" s="78" t="e">
        <f>VLOOKUP(K274,[1]IOT!$A:$J,10,0)</f>
        <v>#N/A</v>
      </c>
      <c r="AL274" s="78" t="e">
        <f>VLOOKUP(K274,[1]IOT!$A:$K,11,0)</f>
        <v>#N/A</v>
      </c>
      <c r="AM274" s="78"/>
      <c r="AN274" s="78"/>
      <c r="AO274" s="79">
        <f t="shared" si="39"/>
        <v>0</v>
      </c>
      <c r="AP274" s="80">
        <f t="shared" si="40"/>
        <v>0</v>
      </c>
      <c r="AQ274" s="77"/>
      <c r="AR274" s="6" t="str">
        <f t="shared" si="41"/>
        <v/>
      </c>
    </row>
    <row r="275" spans="1:44" s="6" customFormat="1" ht="47.25" customHeight="1" x14ac:dyDescent="0.35">
      <c r="A275" s="71"/>
      <c r="B275" s="68"/>
      <c r="C275" s="25"/>
      <c r="D275" s="25"/>
      <c r="E275" s="67"/>
      <c r="F275" s="62"/>
      <c r="G275" s="14"/>
      <c r="H275" s="65"/>
      <c r="I275" s="70"/>
      <c r="J275" s="14"/>
      <c r="K275" s="69"/>
      <c r="L275" s="15"/>
      <c r="M275" s="16"/>
      <c r="N275" s="17"/>
      <c r="O275" s="72"/>
      <c r="P275" s="18"/>
      <c r="Q275" s="60"/>
      <c r="R275" s="19"/>
      <c r="S275" s="18"/>
      <c r="T275" s="75"/>
      <c r="U275" s="20"/>
      <c r="V275" s="21"/>
      <c r="W275" s="22"/>
      <c r="Y275" s="78" t="e">
        <f>VLOOKUP(V275,[1]IOT!$A:$B,2,0)</f>
        <v>#N/A</v>
      </c>
      <c r="Z275" s="78">
        <f>IF(ISNA(VLOOKUP(K275,[2]Sheet1!$A:$B,2,0)),0,(VLOOKUP(K275,[2]Sheet1!$A:$B,2,0)))</f>
        <v>0</v>
      </c>
      <c r="AA275" s="78">
        <f t="shared" si="38"/>
        <v>0</v>
      </c>
      <c r="AB275" s="78" t="e">
        <f>VLOOKUP(K275,[1]IOT!$A:$E,5,0)</f>
        <v>#N/A</v>
      </c>
      <c r="AC275" s="78"/>
      <c r="AD275" s="78" t="e">
        <f>VLOOKUP(K275,[1]IOT!$A:$F,6,0)</f>
        <v>#N/A</v>
      </c>
      <c r="AE275" s="78"/>
      <c r="AF275" s="78"/>
      <c r="AG275" s="78"/>
      <c r="AH275" s="78" t="e">
        <f>VLOOKUP(K275,[1]IOT!$A:$G,7,0)</f>
        <v>#N/A</v>
      </c>
      <c r="AI275" s="78" t="e">
        <f>VLOOKUP(K275,[1]IOT!$A:$H,8,0)</f>
        <v>#N/A</v>
      </c>
      <c r="AJ275" s="78" t="e">
        <f>VLOOKUP(K275,[1]IOT!$A:$I,9,0)</f>
        <v>#N/A</v>
      </c>
      <c r="AK275" s="78" t="e">
        <f>VLOOKUP(K275,[1]IOT!$A:$J,10,0)</f>
        <v>#N/A</v>
      </c>
      <c r="AL275" s="78" t="e">
        <f>VLOOKUP(K275,[1]IOT!$A:$K,11,0)</f>
        <v>#N/A</v>
      </c>
      <c r="AM275" s="78"/>
      <c r="AN275" s="78"/>
      <c r="AO275" s="79">
        <f t="shared" si="39"/>
        <v>0</v>
      </c>
      <c r="AP275" s="80">
        <f t="shared" si="40"/>
        <v>0</v>
      </c>
      <c r="AQ275" s="77"/>
      <c r="AR275" s="6" t="str">
        <f t="shared" si="41"/>
        <v/>
      </c>
    </row>
    <row r="276" spans="1:44" s="6" customFormat="1" ht="47.25" customHeight="1" x14ac:dyDescent="0.35">
      <c r="A276" s="71"/>
      <c r="B276" s="68"/>
      <c r="C276" s="25"/>
      <c r="D276" s="25"/>
      <c r="E276" s="67"/>
      <c r="F276" s="62"/>
      <c r="G276" s="14"/>
      <c r="H276" s="65"/>
      <c r="I276" s="70"/>
      <c r="J276" s="14"/>
      <c r="K276" s="69"/>
      <c r="L276" s="15"/>
      <c r="M276" s="16"/>
      <c r="N276" s="17"/>
      <c r="O276" s="72"/>
      <c r="P276" s="18"/>
      <c r="Q276" s="60"/>
      <c r="R276" s="19"/>
      <c r="S276" s="18"/>
      <c r="T276" s="75"/>
      <c r="U276" s="20"/>
      <c r="V276" s="21"/>
      <c r="W276" s="22"/>
      <c r="Y276" s="78" t="e">
        <f>VLOOKUP(V276,[1]IOT!$A:$B,2,0)</f>
        <v>#N/A</v>
      </c>
      <c r="Z276" s="78">
        <f>IF(ISNA(VLOOKUP(K276,[2]Sheet1!$A:$B,2,0)),0,(VLOOKUP(K276,[2]Sheet1!$A:$B,2,0)))</f>
        <v>0</v>
      </c>
      <c r="AA276" s="78">
        <f t="shared" si="38"/>
        <v>0</v>
      </c>
      <c r="AB276" s="78" t="e">
        <f>VLOOKUP(K276,[1]IOT!$A:$E,5,0)</f>
        <v>#N/A</v>
      </c>
      <c r="AC276" s="78"/>
      <c r="AD276" s="78" t="e">
        <f>VLOOKUP(K276,[1]IOT!$A:$F,6,0)</f>
        <v>#N/A</v>
      </c>
      <c r="AE276" s="78"/>
      <c r="AF276" s="78"/>
      <c r="AG276" s="78"/>
      <c r="AH276" s="78" t="e">
        <f>VLOOKUP(K276,[1]IOT!$A:$G,7,0)</f>
        <v>#N/A</v>
      </c>
      <c r="AI276" s="78" t="e">
        <f>VLOOKUP(K276,[1]IOT!$A:$H,8,0)</f>
        <v>#N/A</v>
      </c>
      <c r="AJ276" s="78" t="e">
        <f>VLOOKUP(K276,[1]IOT!$A:$I,9,0)</f>
        <v>#N/A</v>
      </c>
      <c r="AK276" s="78" t="e">
        <f>VLOOKUP(K276,[1]IOT!$A:$J,10,0)</f>
        <v>#N/A</v>
      </c>
      <c r="AL276" s="78" t="e">
        <f>VLOOKUP(K276,[1]IOT!$A:$K,11,0)</f>
        <v>#N/A</v>
      </c>
      <c r="AM276" s="78"/>
      <c r="AN276" s="78"/>
      <c r="AO276" s="79">
        <f t="shared" si="39"/>
        <v>0</v>
      </c>
      <c r="AP276" s="80">
        <f t="shared" si="40"/>
        <v>0</v>
      </c>
      <c r="AQ276" s="77"/>
      <c r="AR276" s="6" t="str">
        <f t="shared" si="41"/>
        <v/>
      </c>
    </row>
    <row r="277" spans="1:44" s="6" customFormat="1" ht="47.25" customHeight="1" x14ac:dyDescent="0.35">
      <c r="A277" s="71"/>
      <c r="B277" s="68"/>
      <c r="C277" s="25"/>
      <c r="D277" s="25"/>
      <c r="E277" s="67"/>
      <c r="F277" s="62"/>
      <c r="G277" s="14"/>
      <c r="H277" s="65"/>
      <c r="I277" s="70"/>
      <c r="J277" s="14"/>
      <c r="K277" s="69"/>
      <c r="L277" s="15"/>
      <c r="M277" s="16"/>
      <c r="N277" s="17"/>
      <c r="O277" s="72"/>
      <c r="P277" s="18"/>
      <c r="Q277" s="60"/>
      <c r="R277" s="19"/>
      <c r="S277" s="18"/>
      <c r="T277" s="75"/>
      <c r="U277" s="20"/>
      <c r="V277" s="21"/>
      <c r="W277" s="22"/>
      <c r="Y277" s="78" t="e">
        <f>VLOOKUP(V277,[1]IOT!$A:$B,2,0)</f>
        <v>#N/A</v>
      </c>
      <c r="Z277" s="78">
        <f>IF(ISNA(VLOOKUP(K277,[2]Sheet1!$A:$B,2,0)),0,(VLOOKUP(K277,[2]Sheet1!$A:$B,2,0)))</f>
        <v>0</v>
      </c>
      <c r="AA277" s="78">
        <f t="shared" si="38"/>
        <v>0</v>
      </c>
      <c r="AB277" s="78" t="e">
        <f>VLOOKUP(K277,[1]IOT!$A:$E,5,0)</f>
        <v>#N/A</v>
      </c>
      <c r="AC277" s="78"/>
      <c r="AD277" s="78" t="e">
        <f>VLOOKUP(K277,[1]IOT!$A:$F,6,0)</f>
        <v>#N/A</v>
      </c>
      <c r="AE277" s="78"/>
      <c r="AF277" s="78"/>
      <c r="AG277" s="78"/>
      <c r="AH277" s="78" t="e">
        <f>VLOOKUP(K277,[1]IOT!$A:$G,7,0)</f>
        <v>#N/A</v>
      </c>
      <c r="AI277" s="78" t="e">
        <f>VLOOKUP(K277,[1]IOT!$A:$H,8,0)</f>
        <v>#N/A</v>
      </c>
      <c r="AJ277" s="78" t="e">
        <f>VLOOKUP(K277,[1]IOT!$A:$I,9,0)</f>
        <v>#N/A</v>
      </c>
      <c r="AK277" s="78" t="e">
        <f>VLOOKUP(K277,[1]IOT!$A:$J,10,0)</f>
        <v>#N/A</v>
      </c>
      <c r="AL277" s="78" t="e">
        <f>VLOOKUP(K277,[1]IOT!$A:$K,11,0)</f>
        <v>#N/A</v>
      </c>
      <c r="AM277" s="78"/>
      <c r="AN277" s="78"/>
      <c r="AO277" s="79">
        <f t="shared" si="39"/>
        <v>0</v>
      </c>
      <c r="AP277" s="80">
        <f t="shared" si="40"/>
        <v>0</v>
      </c>
      <c r="AQ277" s="77"/>
      <c r="AR277" s="6" t="str">
        <f t="shared" si="41"/>
        <v/>
      </c>
    </row>
    <row r="278" spans="1:44" s="6" customFormat="1" ht="47.25" customHeight="1" x14ac:dyDescent="0.35">
      <c r="A278" s="71"/>
      <c r="B278" s="68"/>
      <c r="C278" s="25"/>
      <c r="D278" s="25"/>
      <c r="E278" s="67"/>
      <c r="F278" s="62"/>
      <c r="G278" s="14"/>
      <c r="H278" s="65"/>
      <c r="I278" s="70"/>
      <c r="J278" s="14"/>
      <c r="K278" s="69"/>
      <c r="L278" s="15"/>
      <c r="M278" s="16"/>
      <c r="N278" s="17"/>
      <c r="O278" s="72"/>
      <c r="P278" s="18"/>
      <c r="Q278" s="60"/>
      <c r="R278" s="19"/>
      <c r="S278" s="18"/>
      <c r="T278" s="75"/>
      <c r="U278" s="20"/>
      <c r="V278" s="21"/>
      <c r="W278" s="22"/>
      <c r="Y278" s="78" t="e">
        <f>VLOOKUP(V278,[1]IOT!$A:$B,2,0)</f>
        <v>#N/A</v>
      </c>
      <c r="Z278" s="78">
        <f>IF(ISNA(VLOOKUP(K278,[2]Sheet1!$A:$B,2,0)),0,(VLOOKUP(K278,[2]Sheet1!$A:$B,2,0)))</f>
        <v>0</v>
      </c>
      <c r="AA278" s="78">
        <f t="shared" si="38"/>
        <v>0</v>
      </c>
      <c r="AB278" s="78" t="e">
        <f>VLOOKUP(K278,[1]IOT!$A:$E,5,0)</f>
        <v>#N/A</v>
      </c>
      <c r="AC278" s="78"/>
      <c r="AD278" s="78" t="e">
        <f>VLOOKUP(K278,[1]IOT!$A:$F,6,0)</f>
        <v>#N/A</v>
      </c>
      <c r="AE278" s="78"/>
      <c r="AF278" s="78"/>
      <c r="AG278" s="78"/>
      <c r="AH278" s="78" t="e">
        <f>VLOOKUP(K278,[1]IOT!$A:$G,7,0)</f>
        <v>#N/A</v>
      </c>
      <c r="AI278" s="78" t="e">
        <f>VLOOKUP(K278,[1]IOT!$A:$H,8,0)</f>
        <v>#N/A</v>
      </c>
      <c r="AJ278" s="78" t="e">
        <f>VLOOKUP(K278,[1]IOT!$A:$I,9,0)</f>
        <v>#N/A</v>
      </c>
      <c r="AK278" s="78" t="e">
        <f>VLOOKUP(K278,[1]IOT!$A:$J,10,0)</f>
        <v>#N/A</v>
      </c>
      <c r="AL278" s="78" t="e">
        <f>VLOOKUP(K278,[1]IOT!$A:$K,11,0)</f>
        <v>#N/A</v>
      </c>
      <c r="AM278" s="78"/>
      <c r="AN278" s="78"/>
      <c r="AO278" s="79">
        <f t="shared" si="39"/>
        <v>0</v>
      </c>
      <c r="AP278" s="80">
        <f t="shared" si="40"/>
        <v>0</v>
      </c>
      <c r="AQ278" s="77"/>
      <c r="AR278" s="6" t="str">
        <f t="shared" si="41"/>
        <v/>
      </c>
    </row>
    <row r="279" spans="1:44" s="6" customFormat="1" ht="47.25" customHeight="1" x14ac:dyDescent="0.35">
      <c r="A279" s="71"/>
      <c r="B279" s="68"/>
      <c r="C279" s="25"/>
      <c r="D279" s="25"/>
      <c r="E279" s="67"/>
      <c r="F279" s="62"/>
      <c r="G279" s="14"/>
      <c r="H279" s="65"/>
      <c r="I279" s="70"/>
      <c r="J279" s="14"/>
      <c r="K279" s="69"/>
      <c r="L279" s="15"/>
      <c r="M279" s="16"/>
      <c r="N279" s="17"/>
      <c r="O279" s="72"/>
      <c r="P279" s="18"/>
      <c r="Q279" s="60"/>
      <c r="R279" s="19"/>
      <c r="S279" s="18"/>
      <c r="T279" s="75"/>
      <c r="U279" s="20"/>
      <c r="V279" s="21"/>
      <c r="W279" s="22"/>
      <c r="Y279" s="78" t="e">
        <f>VLOOKUP(V279,[1]IOT!$A:$B,2,0)</f>
        <v>#N/A</v>
      </c>
      <c r="Z279" s="78">
        <f>IF(ISNA(VLOOKUP(K279,[2]Sheet1!$A:$B,2,0)),0,(VLOOKUP(K279,[2]Sheet1!$A:$B,2,0)))</f>
        <v>0</v>
      </c>
      <c r="AA279" s="78">
        <f t="shared" si="38"/>
        <v>0</v>
      </c>
      <c r="AB279" s="78" t="e">
        <f>VLOOKUP(K279,[1]IOT!$A:$E,5,0)</f>
        <v>#N/A</v>
      </c>
      <c r="AC279" s="78"/>
      <c r="AD279" s="78" t="e">
        <f>VLOOKUP(K279,[1]IOT!$A:$F,6,0)</f>
        <v>#N/A</v>
      </c>
      <c r="AE279" s="78"/>
      <c r="AF279" s="78"/>
      <c r="AG279" s="78"/>
      <c r="AH279" s="78" t="e">
        <f>VLOOKUP(K279,[1]IOT!$A:$G,7,0)</f>
        <v>#N/A</v>
      </c>
      <c r="AI279" s="78" t="e">
        <f>VLOOKUP(K279,[1]IOT!$A:$H,8,0)</f>
        <v>#N/A</v>
      </c>
      <c r="AJ279" s="78" t="e">
        <f>VLOOKUP(K279,[1]IOT!$A:$I,9,0)</f>
        <v>#N/A</v>
      </c>
      <c r="AK279" s="78" t="e">
        <f>VLOOKUP(K279,[1]IOT!$A:$J,10,0)</f>
        <v>#N/A</v>
      </c>
      <c r="AL279" s="78" t="e">
        <f>VLOOKUP(K279,[1]IOT!$A:$K,11,0)</f>
        <v>#N/A</v>
      </c>
      <c r="AM279" s="78"/>
      <c r="AN279" s="78"/>
      <c r="AO279" s="79">
        <f t="shared" si="39"/>
        <v>0</v>
      </c>
      <c r="AP279" s="80">
        <f t="shared" si="40"/>
        <v>0</v>
      </c>
      <c r="AQ279" s="77"/>
      <c r="AR279" s="6" t="str">
        <f t="shared" si="41"/>
        <v/>
      </c>
    </row>
    <row r="280" spans="1:44" s="6" customFormat="1" ht="47.25" customHeight="1" x14ac:dyDescent="0.35">
      <c r="A280" s="71"/>
      <c r="B280" s="68"/>
      <c r="C280" s="25"/>
      <c r="D280" s="25"/>
      <c r="E280" s="67"/>
      <c r="F280" s="62"/>
      <c r="G280" s="14"/>
      <c r="H280" s="65"/>
      <c r="I280" s="70"/>
      <c r="J280" s="14"/>
      <c r="K280" s="69"/>
      <c r="L280" s="15"/>
      <c r="M280" s="16"/>
      <c r="N280" s="17"/>
      <c r="O280" s="72"/>
      <c r="P280" s="18"/>
      <c r="Q280" s="60"/>
      <c r="R280" s="19"/>
      <c r="S280" s="18"/>
      <c r="T280" s="75"/>
      <c r="U280" s="20"/>
      <c r="V280" s="21"/>
      <c r="W280" s="22"/>
      <c r="Y280" s="78" t="e">
        <f>VLOOKUP(V280,[1]IOT!$A:$B,2,0)</f>
        <v>#N/A</v>
      </c>
      <c r="Z280" s="78">
        <f>IF(ISNA(VLOOKUP(K280,[2]Sheet1!$A:$B,2,0)),0,(VLOOKUP(K280,[2]Sheet1!$A:$B,2,0)))</f>
        <v>0</v>
      </c>
      <c r="AA280" s="78">
        <f t="shared" si="38"/>
        <v>0</v>
      </c>
      <c r="AB280" s="78" t="e">
        <f>VLOOKUP(K280,[1]IOT!$A:$E,5,0)</f>
        <v>#N/A</v>
      </c>
      <c r="AC280" s="78"/>
      <c r="AD280" s="78" t="e">
        <f>VLOOKUP(K280,[1]IOT!$A:$F,6,0)</f>
        <v>#N/A</v>
      </c>
      <c r="AE280" s="78"/>
      <c r="AF280" s="78"/>
      <c r="AG280" s="78"/>
      <c r="AH280" s="78" t="e">
        <f>VLOOKUP(K280,[1]IOT!$A:$G,7,0)</f>
        <v>#N/A</v>
      </c>
      <c r="AI280" s="78" t="e">
        <f>VLOOKUP(K280,[1]IOT!$A:$H,8,0)</f>
        <v>#N/A</v>
      </c>
      <c r="AJ280" s="78" t="e">
        <f>VLOOKUP(K280,[1]IOT!$A:$I,9,0)</f>
        <v>#N/A</v>
      </c>
      <c r="AK280" s="78" t="e">
        <f>VLOOKUP(K280,[1]IOT!$A:$J,10,0)</f>
        <v>#N/A</v>
      </c>
      <c r="AL280" s="78" t="e">
        <f>VLOOKUP(K280,[1]IOT!$A:$K,11,0)</f>
        <v>#N/A</v>
      </c>
      <c r="AM280" s="78"/>
      <c r="AN280" s="78"/>
      <c r="AO280" s="79">
        <f t="shared" si="39"/>
        <v>0</v>
      </c>
      <c r="AP280" s="80">
        <f t="shared" si="40"/>
        <v>0</v>
      </c>
      <c r="AQ280" s="77"/>
      <c r="AR280" s="6" t="str">
        <f t="shared" si="41"/>
        <v/>
      </c>
    </row>
    <row r="281" spans="1:44" s="6" customFormat="1" ht="47.25" customHeight="1" x14ac:dyDescent="0.35">
      <c r="A281" s="71"/>
      <c r="B281" s="68"/>
      <c r="C281" s="25"/>
      <c r="D281" s="25"/>
      <c r="E281" s="67"/>
      <c r="F281" s="62"/>
      <c r="G281" s="14"/>
      <c r="H281" s="65"/>
      <c r="I281" s="70"/>
      <c r="J281" s="14"/>
      <c r="K281" s="69"/>
      <c r="L281" s="15"/>
      <c r="M281" s="16"/>
      <c r="N281" s="17"/>
      <c r="O281" s="72"/>
      <c r="P281" s="18"/>
      <c r="Q281" s="60"/>
      <c r="R281" s="19"/>
      <c r="S281" s="18"/>
      <c r="T281" s="75"/>
      <c r="U281" s="20"/>
      <c r="V281" s="21"/>
      <c r="W281" s="22"/>
      <c r="Y281" s="78" t="e">
        <f>VLOOKUP(V281,[1]IOT!$A:$B,2,0)</f>
        <v>#N/A</v>
      </c>
      <c r="Z281" s="78">
        <f>IF(ISNA(VLOOKUP(K281,[2]Sheet1!$A:$B,2,0)),0,(VLOOKUP(K281,[2]Sheet1!$A:$B,2,0)))</f>
        <v>0</v>
      </c>
      <c r="AA281" s="78">
        <f t="shared" si="38"/>
        <v>0</v>
      </c>
      <c r="AB281" s="78" t="e">
        <f>VLOOKUP(K281,[1]IOT!$A:$E,5,0)</f>
        <v>#N/A</v>
      </c>
      <c r="AC281" s="78"/>
      <c r="AD281" s="78" t="e">
        <f>VLOOKUP(K281,[1]IOT!$A:$F,6,0)</f>
        <v>#N/A</v>
      </c>
      <c r="AE281" s="78"/>
      <c r="AF281" s="78"/>
      <c r="AG281" s="78"/>
      <c r="AH281" s="78" t="e">
        <f>VLOOKUP(K281,[1]IOT!$A:$G,7,0)</f>
        <v>#N/A</v>
      </c>
      <c r="AI281" s="78" t="e">
        <f>VLOOKUP(K281,[1]IOT!$A:$H,8,0)</f>
        <v>#N/A</v>
      </c>
      <c r="AJ281" s="78" t="e">
        <f>VLOOKUP(K281,[1]IOT!$A:$I,9,0)</f>
        <v>#N/A</v>
      </c>
      <c r="AK281" s="78" t="e">
        <f>VLOOKUP(K281,[1]IOT!$A:$J,10,0)</f>
        <v>#N/A</v>
      </c>
      <c r="AL281" s="78" t="e">
        <f>VLOOKUP(K281,[1]IOT!$A:$K,11,0)</f>
        <v>#N/A</v>
      </c>
      <c r="AM281" s="78"/>
      <c r="AN281" s="78"/>
      <c r="AO281" s="79">
        <f t="shared" si="39"/>
        <v>0</v>
      </c>
      <c r="AP281" s="80">
        <f t="shared" si="40"/>
        <v>0</v>
      </c>
      <c r="AQ281" s="77"/>
      <c r="AR281" s="6" t="str">
        <f t="shared" si="41"/>
        <v/>
      </c>
    </row>
    <row r="282" spans="1:44" s="6" customFormat="1" ht="47.25" customHeight="1" x14ac:dyDescent="0.35">
      <c r="A282" s="71"/>
      <c r="B282" s="68"/>
      <c r="C282" s="25"/>
      <c r="D282" s="25"/>
      <c r="E282" s="67"/>
      <c r="F282" s="62"/>
      <c r="G282" s="14"/>
      <c r="H282" s="65"/>
      <c r="I282" s="70"/>
      <c r="J282" s="14"/>
      <c r="K282" s="69"/>
      <c r="L282" s="15"/>
      <c r="M282" s="16"/>
      <c r="N282" s="17"/>
      <c r="O282" s="72"/>
      <c r="P282" s="18"/>
      <c r="Q282" s="60"/>
      <c r="R282" s="19"/>
      <c r="S282" s="18"/>
      <c r="T282" s="75"/>
      <c r="U282" s="20"/>
      <c r="V282" s="21"/>
      <c r="W282" s="22"/>
      <c r="Y282" s="78" t="e">
        <f>VLOOKUP(V282,[1]IOT!$A:$B,2,0)</f>
        <v>#N/A</v>
      </c>
      <c r="Z282" s="78">
        <f>IF(ISNA(VLOOKUP(K282,[2]Sheet1!$A:$B,2,0)),0,(VLOOKUP(K282,[2]Sheet1!$A:$B,2,0)))</f>
        <v>0</v>
      </c>
      <c r="AA282" s="78">
        <f t="shared" si="38"/>
        <v>0</v>
      </c>
      <c r="AB282" s="78" t="e">
        <f>VLOOKUP(K282,[1]IOT!$A:$E,5,0)</f>
        <v>#N/A</v>
      </c>
      <c r="AC282" s="78"/>
      <c r="AD282" s="78" t="e">
        <f>VLOOKUP(K282,[1]IOT!$A:$F,6,0)</f>
        <v>#N/A</v>
      </c>
      <c r="AE282" s="78"/>
      <c r="AF282" s="78"/>
      <c r="AG282" s="78"/>
      <c r="AH282" s="78" t="e">
        <f>VLOOKUP(K282,[1]IOT!$A:$G,7,0)</f>
        <v>#N/A</v>
      </c>
      <c r="AI282" s="78" t="e">
        <f>VLOOKUP(K282,[1]IOT!$A:$H,8,0)</f>
        <v>#N/A</v>
      </c>
      <c r="AJ282" s="78" t="e">
        <f>VLOOKUP(K282,[1]IOT!$A:$I,9,0)</f>
        <v>#N/A</v>
      </c>
      <c r="AK282" s="78" t="e">
        <f>VLOOKUP(K282,[1]IOT!$A:$J,10,0)</f>
        <v>#N/A</v>
      </c>
      <c r="AL282" s="78" t="e">
        <f>VLOOKUP(K282,[1]IOT!$A:$K,11,0)</f>
        <v>#N/A</v>
      </c>
      <c r="AM282" s="78"/>
      <c r="AN282" s="78"/>
      <c r="AO282" s="79">
        <f t="shared" si="39"/>
        <v>0</v>
      </c>
      <c r="AP282" s="80">
        <f t="shared" si="40"/>
        <v>0</v>
      </c>
      <c r="AQ282" s="77"/>
      <c r="AR282" s="6" t="str">
        <f t="shared" si="41"/>
        <v/>
      </c>
    </row>
    <row r="283" spans="1:44" s="6" customFormat="1" ht="47.25" customHeight="1" x14ac:dyDescent="0.35">
      <c r="A283" s="71"/>
      <c r="B283" s="68"/>
      <c r="C283" s="25"/>
      <c r="D283" s="25"/>
      <c r="E283" s="67"/>
      <c r="F283" s="62"/>
      <c r="G283" s="14"/>
      <c r="H283" s="65"/>
      <c r="I283" s="70"/>
      <c r="J283" s="14"/>
      <c r="K283" s="69"/>
      <c r="L283" s="15"/>
      <c r="M283" s="16"/>
      <c r="N283" s="17"/>
      <c r="O283" s="72"/>
      <c r="P283" s="18"/>
      <c r="Q283" s="60"/>
      <c r="R283" s="19"/>
      <c r="S283" s="18"/>
      <c r="T283" s="75"/>
      <c r="U283" s="20"/>
      <c r="V283" s="21"/>
      <c r="W283" s="22"/>
      <c r="Y283" s="78" t="e">
        <f>VLOOKUP(V283,[1]IOT!$A:$B,2,0)</f>
        <v>#N/A</v>
      </c>
      <c r="Z283" s="78">
        <f>IF(ISNA(VLOOKUP(K283,[2]Sheet1!$A:$B,2,0)),0,(VLOOKUP(K283,[2]Sheet1!$A:$B,2,0)))</f>
        <v>0</v>
      </c>
      <c r="AA283" s="78">
        <f t="shared" si="38"/>
        <v>0</v>
      </c>
      <c r="AB283" s="78" t="e">
        <f>VLOOKUP(K283,[1]IOT!$A:$E,5,0)</f>
        <v>#N/A</v>
      </c>
      <c r="AC283" s="78"/>
      <c r="AD283" s="78" t="e">
        <f>VLOOKUP(K283,[1]IOT!$A:$F,6,0)</f>
        <v>#N/A</v>
      </c>
      <c r="AE283" s="78"/>
      <c r="AF283" s="78"/>
      <c r="AG283" s="78"/>
      <c r="AH283" s="78" t="e">
        <f>VLOOKUP(K283,[1]IOT!$A:$G,7,0)</f>
        <v>#N/A</v>
      </c>
      <c r="AI283" s="78" t="e">
        <f>VLOOKUP(K283,[1]IOT!$A:$H,8,0)</f>
        <v>#N/A</v>
      </c>
      <c r="AJ283" s="78" t="e">
        <f>VLOOKUP(K283,[1]IOT!$A:$I,9,0)</f>
        <v>#N/A</v>
      </c>
      <c r="AK283" s="78" t="e">
        <f>VLOOKUP(K283,[1]IOT!$A:$J,10,0)</f>
        <v>#N/A</v>
      </c>
      <c r="AL283" s="78" t="e">
        <f>VLOOKUP(K283,[1]IOT!$A:$K,11,0)</f>
        <v>#N/A</v>
      </c>
      <c r="AM283" s="78"/>
      <c r="AN283" s="78"/>
      <c r="AO283" s="79">
        <f t="shared" si="39"/>
        <v>0</v>
      </c>
      <c r="AP283" s="80">
        <f t="shared" si="40"/>
        <v>0</v>
      </c>
      <c r="AQ283" s="77"/>
      <c r="AR283" s="6" t="str">
        <f t="shared" si="41"/>
        <v/>
      </c>
    </row>
    <row r="284" spans="1:44" s="6" customFormat="1" ht="47.25" customHeight="1" x14ac:dyDescent="0.35">
      <c r="A284" s="71"/>
      <c r="B284" s="68"/>
      <c r="C284" s="25"/>
      <c r="D284" s="25"/>
      <c r="E284" s="67"/>
      <c r="F284" s="62"/>
      <c r="G284" s="14"/>
      <c r="H284" s="65"/>
      <c r="I284" s="70"/>
      <c r="J284" s="14"/>
      <c r="K284" s="69"/>
      <c r="L284" s="15"/>
      <c r="M284" s="16"/>
      <c r="N284" s="17"/>
      <c r="O284" s="72"/>
      <c r="P284" s="18"/>
      <c r="Q284" s="60"/>
      <c r="R284" s="19"/>
      <c r="S284" s="18"/>
      <c r="T284" s="75"/>
      <c r="U284" s="20"/>
      <c r="V284" s="21"/>
      <c r="W284" s="22"/>
      <c r="Y284" s="78" t="e">
        <f>VLOOKUP(V284,[1]IOT!$A:$B,2,0)</f>
        <v>#N/A</v>
      </c>
      <c r="Z284" s="78">
        <f>IF(ISNA(VLOOKUP(K284,[2]Sheet1!$A:$B,2,0)),0,(VLOOKUP(K284,[2]Sheet1!$A:$B,2,0)))</f>
        <v>0</v>
      </c>
      <c r="AA284" s="78">
        <f t="shared" si="38"/>
        <v>0</v>
      </c>
      <c r="AB284" s="78" t="e">
        <f>VLOOKUP(K284,[1]IOT!$A:$E,5,0)</f>
        <v>#N/A</v>
      </c>
      <c r="AC284" s="78"/>
      <c r="AD284" s="78" t="e">
        <f>VLOOKUP(K284,[1]IOT!$A:$F,6,0)</f>
        <v>#N/A</v>
      </c>
      <c r="AE284" s="78"/>
      <c r="AF284" s="78"/>
      <c r="AG284" s="78"/>
      <c r="AH284" s="78" t="e">
        <f>VLOOKUP(K284,[1]IOT!$A:$G,7,0)</f>
        <v>#N/A</v>
      </c>
      <c r="AI284" s="78" t="e">
        <f>VLOOKUP(K284,[1]IOT!$A:$H,8,0)</f>
        <v>#N/A</v>
      </c>
      <c r="AJ284" s="78" t="e">
        <f>VLOOKUP(K284,[1]IOT!$A:$I,9,0)</f>
        <v>#N/A</v>
      </c>
      <c r="AK284" s="78" t="e">
        <f>VLOOKUP(K284,[1]IOT!$A:$J,10,0)</f>
        <v>#N/A</v>
      </c>
      <c r="AL284" s="78" t="e">
        <f>VLOOKUP(K284,[1]IOT!$A:$K,11,0)</f>
        <v>#N/A</v>
      </c>
      <c r="AM284" s="78"/>
      <c r="AN284" s="78"/>
      <c r="AO284" s="79">
        <f t="shared" si="39"/>
        <v>0</v>
      </c>
      <c r="AP284" s="80">
        <f t="shared" si="40"/>
        <v>0</v>
      </c>
      <c r="AQ284" s="77"/>
      <c r="AR284" s="6" t="str">
        <f t="shared" si="41"/>
        <v/>
      </c>
    </row>
    <row r="285" spans="1:44" s="6" customFormat="1" ht="47.25" customHeight="1" x14ac:dyDescent="0.35">
      <c r="A285" s="71"/>
      <c r="B285" s="68"/>
      <c r="C285" s="25"/>
      <c r="D285" s="25"/>
      <c r="E285" s="67"/>
      <c r="F285" s="62"/>
      <c r="G285" s="14"/>
      <c r="H285" s="65"/>
      <c r="I285" s="70"/>
      <c r="J285" s="14"/>
      <c r="K285" s="69"/>
      <c r="L285" s="15"/>
      <c r="M285" s="16"/>
      <c r="N285" s="17"/>
      <c r="O285" s="72"/>
      <c r="P285" s="18"/>
      <c r="Q285" s="60"/>
      <c r="R285" s="19"/>
      <c r="S285" s="18"/>
      <c r="T285" s="75"/>
      <c r="U285" s="20"/>
      <c r="V285" s="21"/>
      <c r="W285" s="22"/>
      <c r="Y285" s="78" t="e">
        <f>VLOOKUP(V285,[1]IOT!$A:$B,2,0)</f>
        <v>#N/A</v>
      </c>
      <c r="Z285" s="78">
        <f>IF(ISNA(VLOOKUP(K285,[2]Sheet1!$A:$B,2,0)),0,(VLOOKUP(K285,[2]Sheet1!$A:$B,2,0)))</f>
        <v>0</v>
      </c>
      <c r="AA285" s="78">
        <f t="shared" si="38"/>
        <v>0</v>
      </c>
      <c r="AB285" s="78" t="e">
        <f>VLOOKUP(K285,[1]IOT!$A:$E,5,0)</f>
        <v>#N/A</v>
      </c>
      <c r="AC285" s="78"/>
      <c r="AD285" s="78" t="e">
        <f>VLOOKUP(K285,[1]IOT!$A:$F,6,0)</f>
        <v>#N/A</v>
      </c>
      <c r="AE285" s="78"/>
      <c r="AF285" s="78"/>
      <c r="AG285" s="78"/>
      <c r="AH285" s="78" t="e">
        <f>VLOOKUP(K285,[1]IOT!$A:$G,7,0)</f>
        <v>#N/A</v>
      </c>
      <c r="AI285" s="78" t="e">
        <f>VLOOKUP(K285,[1]IOT!$A:$H,8,0)</f>
        <v>#N/A</v>
      </c>
      <c r="AJ285" s="78" t="e">
        <f>VLOOKUP(K285,[1]IOT!$A:$I,9,0)</f>
        <v>#N/A</v>
      </c>
      <c r="AK285" s="78" t="e">
        <f>VLOOKUP(K285,[1]IOT!$A:$J,10,0)</f>
        <v>#N/A</v>
      </c>
      <c r="AL285" s="78" t="e">
        <f>VLOOKUP(K285,[1]IOT!$A:$K,11,0)</f>
        <v>#N/A</v>
      </c>
      <c r="AM285" s="78"/>
      <c r="AN285" s="78"/>
      <c r="AO285" s="79">
        <f t="shared" si="39"/>
        <v>0</v>
      </c>
      <c r="AP285" s="80">
        <f t="shared" si="40"/>
        <v>0</v>
      </c>
      <c r="AQ285" s="77"/>
      <c r="AR285" s="6" t="str">
        <f t="shared" si="41"/>
        <v/>
      </c>
    </row>
    <row r="286" spans="1:44" s="6" customFormat="1" ht="47.25" customHeight="1" x14ac:dyDescent="0.35">
      <c r="A286" s="71"/>
      <c r="B286" s="68"/>
      <c r="C286" s="25"/>
      <c r="D286" s="25"/>
      <c r="E286" s="67"/>
      <c r="F286" s="62"/>
      <c r="G286" s="14"/>
      <c r="H286" s="65"/>
      <c r="I286" s="70"/>
      <c r="J286" s="14"/>
      <c r="K286" s="69"/>
      <c r="L286" s="15"/>
      <c r="M286" s="16"/>
      <c r="N286" s="17"/>
      <c r="O286" s="72"/>
      <c r="P286" s="18"/>
      <c r="Q286" s="60"/>
      <c r="R286" s="19"/>
      <c r="S286" s="18"/>
      <c r="T286" s="75"/>
      <c r="U286" s="20"/>
      <c r="V286" s="21"/>
      <c r="W286" s="22"/>
      <c r="Y286" s="78" t="e">
        <f>VLOOKUP(V286,[1]IOT!$A:$B,2,0)</f>
        <v>#N/A</v>
      </c>
      <c r="Z286" s="78">
        <f>IF(ISNA(VLOOKUP(K286,[2]Sheet1!$A:$B,2,0)),0,(VLOOKUP(K286,[2]Sheet1!$A:$B,2,0)))</f>
        <v>0</v>
      </c>
      <c r="AA286" s="78">
        <f t="shared" si="38"/>
        <v>0</v>
      </c>
      <c r="AB286" s="78" t="e">
        <f>VLOOKUP(K286,[1]IOT!$A:$E,5,0)</f>
        <v>#N/A</v>
      </c>
      <c r="AC286" s="78"/>
      <c r="AD286" s="78" t="e">
        <f>VLOOKUP(K286,[1]IOT!$A:$F,6,0)</f>
        <v>#N/A</v>
      </c>
      <c r="AE286" s="78"/>
      <c r="AF286" s="78"/>
      <c r="AG286" s="78"/>
      <c r="AH286" s="78" t="e">
        <f>VLOOKUP(K286,[1]IOT!$A:$G,7,0)</f>
        <v>#N/A</v>
      </c>
      <c r="AI286" s="78" t="e">
        <f>VLOOKUP(K286,[1]IOT!$A:$H,8,0)</f>
        <v>#N/A</v>
      </c>
      <c r="AJ286" s="78" t="e">
        <f>VLOOKUP(K286,[1]IOT!$A:$I,9,0)</f>
        <v>#N/A</v>
      </c>
      <c r="AK286" s="78" t="e">
        <f>VLOOKUP(K286,[1]IOT!$A:$J,10,0)</f>
        <v>#N/A</v>
      </c>
      <c r="AL286" s="78" t="e">
        <f>VLOOKUP(K286,[1]IOT!$A:$K,11,0)</f>
        <v>#N/A</v>
      </c>
      <c r="AM286" s="78"/>
      <c r="AN286" s="78"/>
      <c r="AO286" s="79">
        <f t="shared" si="39"/>
        <v>0</v>
      </c>
      <c r="AP286" s="80">
        <f t="shared" si="40"/>
        <v>0</v>
      </c>
      <c r="AQ286" s="77"/>
      <c r="AR286" s="6" t="str">
        <f t="shared" si="41"/>
        <v/>
      </c>
    </row>
    <row r="287" spans="1:44" s="6" customFormat="1" ht="47.25" customHeight="1" x14ac:dyDescent="0.35">
      <c r="A287" s="71"/>
      <c r="B287" s="68"/>
      <c r="C287" s="25"/>
      <c r="D287" s="25"/>
      <c r="E287" s="67"/>
      <c r="F287" s="62"/>
      <c r="G287" s="14"/>
      <c r="H287" s="65"/>
      <c r="I287" s="70"/>
      <c r="J287" s="14"/>
      <c r="K287" s="69"/>
      <c r="L287" s="15"/>
      <c r="M287" s="16"/>
      <c r="N287" s="17"/>
      <c r="O287" s="72"/>
      <c r="P287" s="18"/>
      <c r="Q287" s="60"/>
      <c r="R287" s="19"/>
      <c r="S287" s="18"/>
      <c r="T287" s="75"/>
      <c r="U287" s="20"/>
      <c r="V287" s="21"/>
      <c r="W287" s="22"/>
      <c r="Y287" s="78" t="e">
        <f>VLOOKUP(V287,[1]IOT!$A:$B,2,0)</f>
        <v>#N/A</v>
      </c>
      <c r="Z287" s="78">
        <f>IF(ISNA(VLOOKUP(K287,[2]Sheet1!$A:$B,2,0)),0,(VLOOKUP(K287,[2]Sheet1!$A:$B,2,0)))</f>
        <v>0</v>
      </c>
      <c r="AA287" s="78">
        <f t="shared" si="38"/>
        <v>0</v>
      </c>
      <c r="AB287" s="78" t="e">
        <f>VLOOKUP(K287,[1]IOT!$A:$E,5,0)</f>
        <v>#N/A</v>
      </c>
      <c r="AC287" s="78"/>
      <c r="AD287" s="78" t="e">
        <f>VLOOKUP(K287,[1]IOT!$A:$F,6,0)</f>
        <v>#N/A</v>
      </c>
      <c r="AE287" s="78"/>
      <c r="AF287" s="78"/>
      <c r="AG287" s="78"/>
      <c r="AH287" s="78" t="e">
        <f>VLOOKUP(K287,[1]IOT!$A:$G,7,0)</f>
        <v>#N/A</v>
      </c>
      <c r="AI287" s="78" t="e">
        <f>VLOOKUP(K287,[1]IOT!$A:$H,8,0)</f>
        <v>#N/A</v>
      </c>
      <c r="AJ287" s="78" t="e">
        <f>VLOOKUP(K287,[1]IOT!$A:$I,9,0)</f>
        <v>#N/A</v>
      </c>
      <c r="AK287" s="78" t="e">
        <f>VLOOKUP(K287,[1]IOT!$A:$J,10,0)</f>
        <v>#N/A</v>
      </c>
      <c r="AL287" s="78" t="e">
        <f>VLOOKUP(K287,[1]IOT!$A:$K,11,0)</f>
        <v>#N/A</v>
      </c>
      <c r="AM287" s="78"/>
      <c r="AN287" s="78"/>
      <c r="AO287" s="79">
        <f t="shared" si="39"/>
        <v>0</v>
      </c>
      <c r="AP287" s="80">
        <f t="shared" si="40"/>
        <v>0</v>
      </c>
      <c r="AQ287" s="77"/>
      <c r="AR287" s="6" t="str">
        <f t="shared" si="41"/>
        <v/>
      </c>
    </row>
    <row r="288" spans="1:44" s="6" customFormat="1" ht="47.25" customHeight="1" x14ac:dyDescent="0.35">
      <c r="A288" s="71"/>
      <c r="B288" s="68"/>
      <c r="C288" s="25"/>
      <c r="D288" s="25"/>
      <c r="E288" s="67"/>
      <c r="F288" s="62"/>
      <c r="G288" s="14"/>
      <c r="H288" s="65"/>
      <c r="I288" s="70"/>
      <c r="J288" s="14"/>
      <c r="K288" s="69"/>
      <c r="L288" s="15"/>
      <c r="M288" s="16"/>
      <c r="N288" s="17"/>
      <c r="O288" s="72"/>
      <c r="P288" s="18"/>
      <c r="Q288" s="60"/>
      <c r="R288" s="19"/>
      <c r="S288" s="18"/>
      <c r="T288" s="75"/>
      <c r="U288" s="20"/>
      <c r="V288" s="21"/>
      <c r="W288" s="22"/>
      <c r="Y288" s="78" t="e">
        <f>VLOOKUP(V288,[1]IOT!$A:$B,2,0)</f>
        <v>#N/A</v>
      </c>
      <c r="Z288" s="78">
        <f>IF(ISNA(VLOOKUP(K288,[2]Sheet1!$A:$B,2,0)),0,(VLOOKUP(K288,[2]Sheet1!$A:$B,2,0)))</f>
        <v>0</v>
      </c>
      <c r="AA288" s="78">
        <f t="shared" si="38"/>
        <v>0</v>
      </c>
      <c r="AB288" s="78" t="e">
        <f>VLOOKUP(K288,[1]IOT!$A:$E,5,0)</f>
        <v>#N/A</v>
      </c>
      <c r="AC288" s="78"/>
      <c r="AD288" s="78" t="e">
        <f>VLOOKUP(K288,[1]IOT!$A:$F,6,0)</f>
        <v>#N/A</v>
      </c>
      <c r="AE288" s="78"/>
      <c r="AF288" s="78"/>
      <c r="AG288" s="78"/>
      <c r="AH288" s="78" t="e">
        <f>VLOOKUP(K288,[1]IOT!$A:$G,7,0)</f>
        <v>#N/A</v>
      </c>
      <c r="AI288" s="78" t="e">
        <f>VLOOKUP(K288,[1]IOT!$A:$H,8,0)</f>
        <v>#N/A</v>
      </c>
      <c r="AJ288" s="78" t="e">
        <f>VLOOKUP(K288,[1]IOT!$A:$I,9,0)</f>
        <v>#N/A</v>
      </c>
      <c r="AK288" s="78" t="e">
        <f>VLOOKUP(K288,[1]IOT!$A:$J,10,0)</f>
        <v>#N/A</v>
      </c>
      <c r="AL288" s="78" t="e">
        <f>VLOOKUP(K288,[1]IOT!$A:$K,11,0)</f>
        <v>#N/A</v>
      </c>
      <c r="AM288" s="78"/>
      <c r="AN288" s="78"/>
      <c r="AO288" s="79">
        <f t="shared" si="39"/>
        <v>0</v>
      </c>
      <c r="AP288" s="80">
        <f t="shared" si="40"/>
        <v>0</v>
      </c>
      <c r="AQ288" s="77"/>
      <c r="AR288" s="6" t="str">
        <f t="shared" si="41"/>
        <v/>
      </c>
    </row>
    <row r="289" spans="1:44" s="6" customFormat="1" ht="47.25" customHeight="1" x14ac:dyDescent="0.35">
      <c r="A289" s="71"/>
      <c r="B289" s="68"/>
      <c r="C289" s="25"/>
      <c r="D289" s="25"/>
      <c r="E289" s="67"/>
      <c r="F289" s="62"/>
      <c r="G289" s="14"/>
      <c r="H289" s="65"/>
      <c r="I289" s="70"/>
      <c r="J289" s="14"/>
      <c r="K289" s="69"/>
      <c r="L289" s="15"/>
      <c r="M289" s="16"/>
      <c r="N289" s="17"/>
      <c r="O289" s="72"/>
      <c r="P289" s="18"/>
      <c r="Q289" s="60"/>
      <c r="R289" s="19"/>
      <c r="S289" s="18"/>
      <c r="T289" s="75"/>
      <c r="U289" s="20"/>
      <c r="V289" s="21"/>
      <c r="W289" s="22"/>
      <c r="Y289" s="78" t="e">
        <f>VLOOKUP(V289,[1]IOT!$A:$B,2,0)</f>
        <v>#N/A</v>
      </c>
      <c r="Z289" s="78">
        <f>IF(ISNA(VLOOKUP(K289,[2]Sheet1!$A:$B,2,0)),0,(VLOOKUP(K289,[2]Sheet1!$A:$B,2,0)))</f>
        <v>0</v>
      </c>
      <c r="AA289" s="78">
        <f t="shared" si="38"/>
        <v>0</v>
      </c>
      <c r="AB289" s="78" t="e">
        <f>VLOOKUP(K289,[1]IOT!$A:$E,5,0)</f>
        <v>#N/A</v>
      </c>
      <c r="AC289" s="78"/>
      <c r="AD289" s="78" t="e">
        <f>VLOOKUP(K289,[1]IOT!$A:$F,6,0)</f>
        <v>#N/A</v>
      </c>
      <c r="AE289" s="78"/>
      <c r="AF289" s="78"/>
      <c r="AG289" s="78"/>
      <c r="AH289" s="78" t="e">
        <f>VLOOKUP(K289,[1]IOT!$A:$G,7,0)</f>
        <v>#N/A</v>
      </c>
      <c r="AI289" s="78" t="e">
        <f>VLOOKUP(K289,[1]IOT!$A:$H,8,0)</f>
        <v>#N/A</v>
      </c>
      <c r="AJ289" s="78" t="e">
        <f>VLOOKUP(K289,[1]IOT!$A:$I,9,0)</f>
        <v>#N/A</v>
      </c>
      <c r="AK289" s="78" t="e">
        <f>VLOOKUP(K289,[1]IOT!$A:$J,10,0)</f>
        <v>#N/A</v>
      </c>
      <c r="AL289" s="78" t="e">
        <f>VLOOKUP(K289,[1]IOT!$A:$K,11,0)</f>
        <v>#N/A</v>
      </c>
      <c r="AM289" s="78"/>
      <c r="AN289" s="78"/>
      <c r="AO289" s="79">
        <f t="shared" si="39"/>
        <v>0</v>
      </c>
      <c r="AP289" s="80">
        <f t="shared" si="40"/>
        <v>0</v>
      </c>
      <c r="AQ289" s="77"/>
      <c r="AR289" s="6" t="str">
        <f t="shared" si="41"/>
        <v/>
      </c>
    </row>
    <row r="290" spans="1:44" s="6" customFormat="1" ht="47.25" customHeight="1" x14ac:dyDescent="0.35">
      <c r="A290" s="71"/>
      <c r="B290" s="68"/>
      <c r="C290" s="25"/>
      <c r="D290" s="25"/>
      <c r="E290" s="67"/>
      <c r="F290" s="62"/>
      <c r="G290" s="14"/>
      <c r="H290" s="65"/>
      <c r="I290" s="70"/>
      <c r="J290" s="14"/>
      <c r="K290" s="69"/>
      <c r="L290" s="15"/>
      <c r="M290" s="16"/>
      <c r="N290" s="17"/>
      <c r="O290" s="72"/>
      <c r="P290" s="18"/>
      <c r="Q290" s="60"/>
      <c r="R290" s="19"/>
      <c r="S290" s="18"/>
      <c r="T290" s="75"/>
      <c r="U290" s="20"/>
      <c r="V290" s="21"/>
      <c r="W290" s="22"/>
      <c r="Y290" s="78" t="e">
        <f>VLOOKUP(V290,[1]IOT!$A:$B,2,0)</f>
        <v>#N/A</v>
      </c>
      <c r="Z290" s="78">
        <f>IF(ISNA(VLOOKUP(K290,[2]Sheet1!$A:$B,2,0)),0,(VLOOKUP(K290,[2]Sheet1!$A:$B,2,0)))</f>
        <v>0</v>
      </c>
      <c r="AA290" s="78">
        <f t="shared" si="38"/>
        <v>0</v>
      </c>
      <c r="AB290" s="78" t="e">
        <f>VLOOKUP(K290,[1]IOT!$A:$E,5,0)</f>
        <v>#N/A</v>
      </c>
      <c r="AC290" s="78"/>
      <c r="AD290" s="78" t="e">
        <f>VLOOKUP(K290,[1]IOT!$A:$F,6,0)</f>
        <v>#N/A</v>
      </c>
      <c r="AE290" s="78"/>
      <c r="AF290" s="78"/>
      <c r="AG290" s="78"/>
      <c r="AH290" s="78" t="e">
        <f>VLOOKUP(K290,[1]IOT!$A:$G,7,0)</f>
        <v>#N/A</v>
      </c>
      <c r="AI290" s="78" t="e">
        <f>VLOOKUP(K290,[1]IOT!$A:$H,8,0)</f>
        <v>#N/A</v>
      </c>
      <c r="AJ290" s="78" t="e">
        <f>VLOOKUP(K290,[1]IOT!$A:$I,9,0)</f>
        <v>#N/A</v>
      </c>
      <c r="AK290" s="78" t="e">
        <f>VLOOKUP(K290,[1]IOT!$A:$J,10,0)</f>
        <v>#N/A</v>
      </c>
      <c r="AL290" s="78" t="e">
        <f>VLOOKUP(K290,[1]IOT!$A:$K,11,0)</f>
        <v>#N/A</v>
      </c>
      <c r="AM290" s="78"/>
      <c r="AN290" s="78"/>
      <c r="AO290" s="79">
        <f t="shared" si="39"/>
        <v>0</v>
      </c>
      <c r="AP290" s="80">
        <f t="shared" si="40"/>
        <v>0</v>
      </c>
      <c r="AQ290" s="77"/>
      <c r="AR290" s="6" t="str">
        <f t="shared" si="41"/>
        <v/>
      </c>
    </row>
  </sheetData>
  <autoFilter ref="A4:BA4" xr:uid="{00000000-0001-0000-0000-000000000000}"/>
  <mergeCells count="3">
    <mergeCell ref="A1:V1"/>
    <mergeCell ref="B2:G2"/>
    <mergeCell ref="B3:G3"/>
  </mergeCells>
  <conditionalFormatting sqref="U3:V3 U27:U290">
    <cfRule type="cellIs" dxfId="4" priority="35" stopIfTrue="1" operator="equal">
      <formula>0</formula>
    </cfRule>
  </conditionalFormatting>
  <conditionalFormatting sqref="W3">
    <cfRule type="cellIs" dxfId="3" priority="34" stopIfTrue="1" operator="equal">
      <formula>0</formula>
    </cfRule>
  </conditionalFormatting>
  <conditionalFormatting sqref="U17:U26">
    <cfRule type="cellIs" dxfId="2" priority="5" stopIfTrue="1" operator="equal">
      <formula>0</formula>
    </cfRule>
  </conditionalFormatting>
  <conditionalFormatting sqref="U7:U16">
    <cfRule type="cellIs" dxfId="1" priority="4" stopIfTrue="1" operator="equal">
      <formula>0</formula>
    </cfRule>
  </conditionalFormatting>
  <conditionalFormatting sqref="U5:U6">
    <cfRule type="cellIs" dxfId="0" priority="3" stopIfTrue="1" operator="equal">
      <formula>0</formula>
    </cfRule>
  </conditionalFormatting>
  <printOptions horizontalCentered="1"/>
  <pageMargins left="0" right="0" top="0.59055118110236204" bottom="0.39370078740157499" header="0" footer="0"/>
  <pageSetup paperSize="9" scale="46" orientation="landscape" r:id="rId1"/>
  <headerFooter alignWithMargins="0">
    <oddHeader xml:space="preserve">&amp;R&amp;20LẦN 01.Tháng 01.2026
        </oddHeader>
    <oddFooter>Page &amp;P of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O9:Q11"/>
  <sheetViews>
    <sheetView topLeftCell="A7" workbookViewId="0">
      <selection activeCell="I22" sqref="I22"/>
    </sheetView>
  </sheetViews>
  <sheetFormatPr defaultRowHeight="12.75" x14ac:dyDescent="0.2"/>
  <cols>
    <col min="15" max="17" width="26.140625" customWidth="1"/>
  </cols>
  <sheetData>
    <row r="9" spans="15:17" ht="13.5" thickBot="1" x14ac:dyDescent="0.25"/>
    <row r="10" spans="15:17" ht="36" customHeight="1" thickBot="1" x14ac:dyDescent="0.25">
      <c r="O10" s="11" t="s">
        <v>18</v>
      </c>
      <c r="P10" s="11" t="s">
        <v>19</v>
      </c>
      <c r="Q10" s="11" t="s">
        <v>20</v>
      </c>
    </row>
    <row r="11" spans="15:17" ht="86.25" customHeight="1" thickBot="1" x14ac:dyDescent="0.3">
      <c r="O11" s="59" t="s">
        <v>63</v>
      </c>
      <c r="P11" s="12" t="s">
        <v>21</v>
      </c>
      <c r="Q11" s="59" t="s">
        <v>64</v>
      </c>
    </row>
  </sheetData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Issue</vt:lpstr>
      <vt:lpstr>Sheet1</vt:lpstr>
      <vt:lpstr>Issue!Print_Area</vt:lpstr>
      <vt:lpstr>Issue!Print_Titles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scheduler2</dc:creator>
  <cp:lastModifiedBy>SINH NGUYEN THI</cp:lastModifiedBy>
  <cp:lastPrinted>2025-12-19T02:56:22Z</cp:lastPrinted>
  <dcterms:created xsi:type="dcterms:W3CDTF">2011-02-18T07:47:55Z</dcterms:created>
  <dcterms:modified xsi:type="dcterms:W3CDTF">2025-12-23T09:44:58Z</dcterms:modified>
</cp:coreProperties>
</file>